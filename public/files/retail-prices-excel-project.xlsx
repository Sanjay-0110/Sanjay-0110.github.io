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sanja\AppData\Local\Temp\rpfix\"/>
    </mc:Choice>
  </mc:AlternateContent>
  <xr:revisionPtr revIDLastSave="0" documentId="13_ncr:1_{6E76AF32-AA5D-4DD7-B753-333ED64D51E7}" xr6:coauthVersionLast="47" xr6:coauthVersionMax="47" xr10:uidLastSave="{00000000-0000-0000-0000-000000000000}"/>
  <bookViews>
    <workbookView xWindow="6270" yWindow="6195" windowWidth="17280" windowHeight="8880" activeTab="1" xr2:uid="{00000000-000D-0000-FFFF-FFFF00000000}"/>
  </bookViews>
  <sheets>
    <sheet name="README" sheetId="1" r:id="rId1"/>
    <sheet name="Dashboard" sheetId="2" r:id="rId2"/>
    <sheet name="Raw" sheetId="3" r:id="rId3"/>
    <sheet name="Assumptions" sheetId="4" r:id="rId4"/>
    <sheet name="Clean" sheetId="5" r:id="rId5"/>
    <sheet name="Cleaning_Log" sheetId="6" r:id="rId6"/>
    <sheet name="Analysis" sheetId="7" r:id="rId7"/>
  </sheets>
  <definedNames>
    <definedName name="c_category">Clean!$D$2:$D$2001</definedName>
    <definedName name="c_contributor">Clean!$H$2:$H$2001</definedName>
    <definedName name="c_currency">Clean!$F$2:$F$2001</definedName>
    <definedName name="c_month">Clean!$J$2:$J$2001</definedName>
    <definedName name="c_name_flag">Clean!$M$2:$M$2001</definedName>
    <definedName name="c_store">Clean!$G$2:$G$2001</definedName>
    <definedName name="c_usd">Clean!$L$2:$L$2001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" i="6" l="1"/>
  <c r="E6" i="6" s="1"/>
  <c r="B50" i="7"/>
  <c r="B49" i="7"/>
  <c r="B48" i="7"/>
  <c r="B47" i="7"/>
  <c r="B46" i="7"/>
  <c r="B45" i="7"/>
  <c r="B44" i="7"/>
  <c r="B43" i="7"/>
  <c r="B39" i="7"/>
  <c r="C39" i="7" s="1"/>
  <c r="B38" i="7"/>
  <c r="C38" i="7" s="1"/>
  <c r="B37" i="7"/>
  <c r="C37" i="7" s="1"/>
  <c r="B36" i="7"/>
  <c r="C36" i="7" s="1"/>
  <c r="B35" i="7"/>
  <c r="C35" i="7" s="1"/>
  <c r="B34" i="7"/>
  <c r="C34" i="7" s="1"/>
  <c r="B33" i="7"/>
  <c r="C33" i="7" s="1"/>
  <c r="B32" i="7"/>
  <c r="C32" i="7" s="1"/>
  <c r="B31" i="7"/>
  <c r="C31" i="7" s="1"/>
  <c r="B30" i="7"/>
  <c r="C30" i="7" s="1"/>
  <c r="E29" i="7"/>
  <c r="B29" i="7"/>
  <c r="C29" i="7" s="1"/>
  <c r="B28" i="7"/>
  <c r="C28" i="7" s="1"/>
  <c r="D24" i="7"/>
  <c r="B24" i="7"/>
  <c r="C24" i="7" s="1"/>
  <c r="D23" i="7"/>
  <c r="B23" i="7"/>
  <c r="C23" i="7" s="1"/>
  <c r="D22" i="7"/>
  <c r="B22" i="7"/>
  <c r="C22" i="7" s="1"/>
  <c r="D21" i="7"/>
  <c r="B21" i="7"/>
  <c r="C21" i="7" s="1"/>
  <c r="D20" i="7"/>
  <c r="B20" i="7"/>
  <c r="C20" i="7" s="1"/>
  <c r="D19" i="7"/>
  <c r="B19" i="7"/>
  <c r="C19" i="7" s="1"/>
  <c r="D18" i="7"/>
  <c r="B18" i="7"/>
  <c r="C18" i="7" s="1"/>
  <c r="D17" i="7"/>
  <c r="B17" i="7"/>
  <c r="C17" i="7" s="1"/>
  <c r="D16" i="7"/>
  <c r="B16" i="7"/>
  <c r="C16" i="7" s="1"/>
  <c r="D15" i="7"/>
  <c r="B15" i="7"/>
  <c r="C15" i="7" s="1"/>
  <c r="D14" i="7"/>
  <c r="B14" i="7"/>
  <c r="C14" i="7" s="1"/>
  <c r="D13" i="7"/>
  <c r="B13" i="7"/>
  <c r="C13" i="7" s="1"/>
  <c r="D12" i="7"/>
  <c r="B12" i="7"/>
  <c r="C12" i="7" s="1"/>
  <c r="D11" i="7"/>
  <c r="B11" i="7"/>
  <c r="C11" i="7" s="1"/>
  <c r="D10" i="7"/>
  <c r="B10" i="7"/>
  <c r="C10" i="7" s="1"/>
  <c r="D9" i="7"/>
  <c r="B9" i="7"/>
  <c r="C9" i="7" s="1"/>
  <c r="D8" i="7"/>
  <c r="B8" i="7"/>
  <c r="C8" i="7" s="1"/>
  <c r="D7" i="7"/>
  <c r="B7" i="7"/>
  <c r="C7" i="7" s="1"/>
  <c r="D6" i="7"/>
  <c r="B6" i="7"/>
  <c r="C6" i="7" s="1"/>
  <c r="D5" i="7"/>
  <c r="B5" i="7"/>
  <c r="C5" i="7" s="1"/>
  <c r="E17" i="6"/>
  <c r="D16" i="6"/>
  <c r="E16" i="6" s="1"/>
  <c r="E15" i="6"/>
  <c r="D14" i="6"/>
  <c r="E14" i="6" s="1"/>
  <c r="D13" i="6"/>
  <c r="E13" i="6" s="1"/>
  <c r="D12" i="6"/>
  <c r="E12" i="6" s="1"/>
  <c r="D11" i="6"/>
  <c r="E11" i="6" s="1"/>
  <c r="D10" i="6"/>
  <c r="E10" i="6" s="1"/>
  <c r="D9" i="6"/>
  <c r="E9" i="6" s="1"/>
  <c r="D8" i="6"/>
  <c r="E8" i="6" s="1"/>
  <c r="D7" i="6"/>
  <c r="E7" i="6" s="1"/>
  <c r="D5" i="6"/>
  <c r="E5" i="6" s="1"/>
  <c r="D4" i="6"/>
  <c r="E4" i="6" s="1"/>
  <c r="M2001" i="5"/>
  <c r="K2001" i="5"/>
  <c r="L2001" i="5" s="1"/>
  <c r="M2000" i="5"/>
  <c r="K2000" i="5"/>
  <c r="L2000" i="5" s="1"/>
  <c r="M1999" i="5"/>
  <c r="K1999" i="5"/>
  <c r="L1999" i="5" s="1"/>
  <c r="M1998" i="5"/>
  <c r="K1998" i="5"/>
  <c r="L1998" i="5" s="1"/>
  <c r="M1997" i="5"/>
  <c r="K1997" i="5"/>
  <c r="L1997" i="5" s="1"/>
  <c r="M1996" i="5"/>
  <c r="K1996" i="5"/>
  <c r="L1996" i="5" s="1"/>
  <c r="M1995" i="5"/>
  <c r="K1995" i="5"/>
  <c r="L1995" i="5" s="1"/>
  <c r="M1994" i="5"/>
  <c r="K1994" i="5"/>
  <c r="L1994" i="5" s="1"/>
  <c r="M1993" i="5"/>
  <c r="K1993" i="5"/>
  <c r="L1993" i="5" s="1"/>
  <c r="M1992" i="5"/>
  <c r="K1992" i="5"/>
  <c r="L1992" i="5" s="1"/>
  <c r="M1991" i="5"/>
  <c r="K1991" i="5"/>
  <c r="L1991" i="5" s="1"/>
  <c r="M1990" i="5"/>
  <c r="K1990" i="5"/>
  <c r="L1990" i="5" s="1"/>
  <c r="M1989" i="5"/>
  <c r="K1989" i="5"/>
  <c r="L1989" i="5" s="1"/>
  <c r="M1988" i="5"/>
  <c r="K1988" i="5"/>
  <c r="L1988" i="5" s="1"/>
  <c r="M1987" i="5"/>
  <c r="K1987" i="5"/>
  <c r="L1987" i="5" s="1"/>
  <c r="M1986" i="5"/>
  <c r="K1986" i="5"/>
  <c r="L1986" i="5" s="1"/>
  <c r="M1985" i="5"/>
  <c r="K1985" i="5"/>
  <c r="L1985" i="5" s="1"/>
  <c r="M1984" i="5"/>
  <c r="K1984" i="5"/>
  <c r="L1984" i="5" s="1"/>
  <c r="M1983" i="5"/>
  <c r="K1983" i="5"/>
  <c r="L1983" i="5" s="1"/>
  <c r="M1982" i="5"/>
  <c r="K1982" i="5"/>
  <c r="L1982" i="5" s="1"/>
  <c r="M1981" i="5"/>
  <c r="K1981" i="5"/>
  <c r="L1981" i="5" s="1"/>
  <c r="M1980" i="5"/>
  <c r="K1980" i="5"/>
  <c r="L1980" i="5" s="1"/>
  <c r="M1979" i="5"/>
  <c r="K1979" i="5"/>
  <c r="L1979" i="5" s="1"/>
  <c r="M1978" i="5"/>
  <c r="K1978" i="5"/>
  <c r="L1978" i="5" s="1"/>
  <c r="M1977" i="5"/>
  <c r="K1977" i="5"/>
  <c r="L1977" i="5" s="1"/>
  <c r="M1976" i="5"/>
  <c r="K1976" i="5"/>
  <c r="L1976" i="5" s="1"/>
  <c r="M1975" i="5"/>
  <c r="K1975" i="5"/>
  <c r="L1975" i="5" s="1"/>
  <c r="M1974" i="5"/>
  <c r="K1974" i="5"/>
  <c r="L1974" i="5" s="1"/>
  <c r="M1973" i="5"/>
  <c r="K1973" i="5"/>
  <c r="L1973" i="5" s="1"/>
  <c r="M1972" i="5"/>
  <c r="K1972" i="5"/>
  <c r="L1972" i="5" s="1"/>
  <c r="M1971" i="5"/>
  <c r="K1971" i="5"/>
  <c r="L1971" i="5" s="1"/>
  <c r="M1970" i="5"/>
  <c r="K1970" i="5"/>
  <c r="L1970" i="5" s="1"/>
  <c r="M1969" i="5"/>
  <c r="K1969" i="5"/>
  <c r="L1969" i="5" s="1"/>
  <c r="M1968" i="5"/>
  <c r="K1968" i="5"/>
  <c r="L1968" i="5" s="1"/>
  <c r="M1967" i="5"/>
  <c r="K1967" i="5"/>
  <c r="L1967" i="5" s="1"/>
  <c r="M1966" i="5"/>
  <c r="K1966" i="5"/>
  <c r="L1966" i="5" s="1"/>
  <c r="M1965" i="5"/>
  <c r="K1965" i="5"/>
  <c r="L1965" i="5" s="1"/>
  <c r="M1964" i="5"/>
  <c r="K1964" i="5"/>
  <c r="L1964" i="5" s="1"/>
  <c r="M1963" i="5"/>
  <c r="K1963" i="5"/>
  <c r="L1963" i="5" s="1"/>
  <c r="M1962" i="5"/>
  <c r="K1962" i="5"/>
  <c r="L1962" i="5" s="1"/>
  <c r="M1961" i="5"/>
  <c r="K1961" i="5"/>
  <c r="L1961" i="5" s="1"/>
  <c r="M1960" i="5"/>
  <c r="K1960" i="5"/>
  <c r="L1960" i="5" s="1"/>
  <c r="M1959" i="5"/>
  <c r="K1959" i="5"/>
  <c r="L1959" i="5" s="1"/>
  <c r="M1958" i="5"/>
  <c r="K1958" i="5"/>
  <c r="L1958" i="5" s="1"/>
  <c r="M1957" i="5"/>
  <c r="K1957" i="5"/>
  <c r="L1957" i="5" s="1"/>
  <c r="M1956" i="5"/>
  <c r="K1956" i="5"/>
  <c r="L1956" i="5" s="1"/>
  <c r="M1955" i="5"/>
  <c r="K1955" i="5"/>
  <c r="L1955" i="5" s="1"/>
  <c r="M1954" i="5"/>
  <c r="K1954" i="5"/>
  <c r="L1954" i="5" s="1"/>
  <c r="M1953" i="5"/>
  <c r="K1953" i="5"/>
  <c r="L1953" i="5" s="1"/>
  <c r="M1952" i="5"/>
  <c r="K1952" i="5"/>
  <c r="L1952" i="5" s="1"/>
  <c r="M1951" i="5"/>
  <c r="K1951" i="5"/>
  <c r="L1951" i="5" s="1"/>
  <c r="M1950" i="5"/>
  <c r="K1950" i="5"/>
  <c r="L1950" i="5" s="1"/>
  <c r="M1949" i="5"/>
  <c r="K1949" i="5"/>
  <c r="L1949" i="5" s="1"/>
  <c r="M1948" i="5"/>
  <c r="K1948" i="5"/>
  <c r="L1948" i="5" s="1"/>
  <c r="M1947" i="5"/>
  <c r="K1947" i="5"/>
  <c r="L1947" i="5" s="1"/>
  <c r="M1946" i="5"/>
  <c r="K1946" i="5"/>
  <c r="L1946" i="5" s="1"/>
  <c r="M1945" i="5"/>
  <c r="K1945" i="5"/>
  <c r="L1945" i="5" s="1"/>
  <c r="M1944" i="5"/>
  <c r="K1944" i="5"/>
  <c r="L1944" i="5" s="1"/>
  <c r="M1943" i="5"/>
  <c r="K1943" i="5"/>
  <c r="L1943" i="5" s="1"/>
  <c r="M1942" i="5"/>
  <c r="K1942" i="5"/>
  <c r="L1942" i="5" s="1"/>
  <c r="M1941" i="5"/>
  <c r="K1941" i="5"/>
  <c r="L1941" i="5" s="1"/>
  <c r="M1940" i="5"/>
  <c r="K1940" i="5"/>
  <c r="L1940" i="5" s="1"/>
  <c r="M1939" i="5"/>
  <c r="K1939" i="5"/>
  <c r="L1939" i="5" s="1"/>
  <c r="M1938" i="5"/>
  <c r="K1938" i="5"/>
  <c r="L1938" i="5" s="1"/>
  <c r="M1937" i="5"/>
  <c r="K1937" i="5"/>
  <c r="L1937" i="5" s="1"/>
  <c r="M1936" i="5"/>
  <c r="K1936" i="5"/>
  <c r="L1936" i="5" s="1"/>
  <c r="M1935" i="5"/>
  <c r="K1935" i="5"/>
  <c r="L1935" i="5" s="1"/>
  <c r="M1934" i="5"/>
  <c r="K1934" i="5"/>
  <c r="L1934" i="5" s="1"/>
  <c r="M1933" i="5"/>
  <c r="K1933" i="5"/>
  <c r="L1933" i="5" s="1"/>
  <c r="M1932" i="5"/>
  <c r="K1932" i="5"/>
  <c r="L1932" i="5" s="1"/>
  <c r="M1931" i="5"/>
  <c r="K1931" i="5"/>
  <c r="L1931" i="5" s="1"/>
  <c r="M1930" i="5"/>
  <c r="K1930" i="5"/>
  <c r="L1930" i="5" s="1"/>
  <c r="M1929" i="5"/>
  <c r="K1929" i="5"/>
  <c r="L1929" i="5" s="1"/>
  <c r="M1928" i="5"/>
  <c r="K1928" i="5"/>
  <c r="L1928" i="5" s="1"/>
  <c r="M1927" i="5"/>
  <c r="K1927" i="5"/>
  <c r="L1927" i="5" s="1"/>
  <c r="M1926" i="5"/>
  <c r="K1926" i="5"/>
  <c r="L1926" i="5" s="1"/>
  <c r="M1925" i="5"/>
  <c r="K1925" i="5"/>
  <c r="L1925" i="5" s="1"/>
  <c r="M1924" i="5"/>
  <c r="K1924" i="5"/>
  <c r="L1924" i="5" s="1"/>
  <c r="M1923" i="5"/>
  <c r="K1923" i="5"/>
  <c r="L1923" i="5" s="1"/>
  <c r="M1922" i="5"/>
  <c r="K1922" i="5"/>
  <c r="L1922" i="5" s="1"/>
  <c r="M1921" i="5"/>
  <c r="K1921" i="5"/>
  <c r="L1921" i="5" s="1"/>
  <c r="M1920" i="5"/>
  <c r="K1920" i="5"/>
  <c r="L1920" i="5" s="1"/>
  <c r="M1919" i="5"/>
  <c r="K1919" i="5"/>
  <c r="L1919" i="5" s="1"/>
  <c r="M1918" i="5"/>
  <c r="K1918" i="5"/>
  <c r="L1918" i="5" s="1"/>
  <c r="M1917" i="5"/>
  <c r="K1917" i="5"/>
  <c r="L1917" i="5" s="1"/>
  <c r="M1916" i="5"/>
  <c r="K1916" i="5"/>
  <c r="L1916" i="5" s="1"/>
  <c r="M1915" i="5"/>
  <c r="K1915" i="5"/>
  <c r="L1915" i="5" s="1"/>
  <c r="M1914" i="5"/>
  <c r="E34" i="7" s="1"/>
  <c r="K1914" i="5"/>
  <c r="L1914" i="5" s="1"/>
  <c r="D34" i="7" s="1"/>
  <c r="M1913" i="5"/>
  <c r="K1913" i="5"/>
  <c r="L1913" i="5" s="1"/>
  <c r="M1912" i="5"/>
  <c r="K1912" i="5"/>
  <c r="L1912" i="5" s="1"/>
  <c r="M1911" i="5"/>
  <c r="K1911" i="5"/>
  <c r="L1911" i="5" s="1"/>
  <c r="M1910" i="5"/>
  <c r="K1910" i="5"/>
  <c r="L1910" i="5" s="1"/>
  <c r="M1909" i="5"/>
  <c r="K1909" i="5"/>
  <c r="L1909" i="5" s="1"/>
  <c r="M1908" i="5"/>
  <c r="K1908" i="5"/>
  <c r="L1908" i="5" s="1"/>
  <c r="M1907" i="5"/>
  <c r="K1907" i="5"/>
  <c r="L1907" i="5" s="1"/>
  <c r="M1906" i="5"/>
  <c r="K1906" i="5"/>
  <c r="L1906" i="5" s="1"/>
  <c r="M1905" i="5"/>
  <c r="K1905" i="5"/>
  <c r="L1905" i="5" s="1"/>
  <c r="M1904" i="5"/>
  <c r="K1904" i="5"/>
  <c r="L1904" i="5" s="1"/>
  <c r="M1903" i="5"/>
  <c r="K1903" i="5"/>
  <c r="L1903" i="5" s="1"/>
  <c r="M1902" i="5"/>
  <c r="K1902" i="5"/>
  <c r="L1902" i="5" s="1"/>
  <c r="M1901" i="5"/>
  <c r="K1901" i="5"/>
  <c r="L1901" i="5" s="1"/>
  <c r="M1900" i="5"/>
  <c r="K1900" i="5"/>
  <c r="L1900" i="5" s="1"/>
  <c r="M1899" i="5"/>
  <c r="K1899" i="5"/>
  <c r="L1899" i="5" s="1"/>
  <c r="M1898" i="5"/>
  <c r="K1898" i="5"/>
  <c r="L1898" i="5" s="1"/>
  <c r="M1897" i="5"/>
  <c r="K1897" i="5"/>
  <c r="L1897" i="5" s="1"/>
  <c r="M1896" i="5"/>
  <c r="K1896" i="5"/>
  <c r="L1896" i="5" s="1"/>
  <c r="M1895" i="5"/>
  <c r="K1895" i="5"/>
  <c r="L1895" i="5" s="1"/>
  <c r="M1894" i="5"/>
  <c r="K1894" i="5"/>
  <c r="L1894" i="5" s="1"/>
  <c r="M1893" i="5"/>
  <c r="K1893" i="5"/>
  <c r="L1893" i="5" s="1"/>
  <c r="M1892" i="5"/>
  <c r="K1892" i="5"/>
  <c r="L1892" i="5" s="1"/>
  <c r="M1891" i="5"/>
  <c r="K1891" i="5"/>
  <c r="L1891" i="5" s="1"/>
  <c r="M1890" i="5"/>
  <c r="K1890" i="5"/>
  <c r="L1890" i="5" s="1"/>
  <c r="M1889" i="5"/>
  <c r="K1889" i="5"/>
  <c r="L1889" i="5" s="1"/>
  <c r="M1888" i="5"/>
  <c r="K1888" i="5"/>
  <c r="L1888" i="5" s="1"/>
  <c r="M1887" i="5"/>
  <c r="K1887" i="5"/>
  <c r="L1887" i="5" s="1"/>
  <c r="M1886" i="5"/>
  <c r="K1886" i="5"/>
  <c r="L1886" i="5" s="1"/>
  <c r="M1885" i="5"/>
  <c r="K1885" i="5"/>
  <c r="L1885" i="5" s="1"/>
  <c r="M1884" i="5"/>
  <c r="K1884" i="5"/>
  <c r="L1884" i="5" s="1"/>
  <c r="M1883" i="5"/>
  <c r="K1883" i="5"/>
  <c r="L1883" i="5" s="1"/>
  <c r="M1882" i="5"/>
  <c r="K1882" i="5"/>
  <c r="L1882" i="5" s="1"/>
  <c r="M1881" i="5"/>
  <c r="K1881" i="5"/>
  <c r="L1881" i="5" s="1"/>
  <c r="M1880" i="5"/>
  <c r="K1880" i="5"/>
  <c r="L1880" i="5" s="1"/>
  <c r="M1879" i="5"/>
  <c r="K1879" i="5"/>
  <c r="L1879" i="5" s="1"/>
  <c r="M1878" i="5"/>
  <c r="K1878" i="5"/>
  <c r="L1878" i="5" s="1"/>
  <c r="M1877" i="5"/>
  <c r="K1877" i="5"/>
  <c r="L1877" i="5" s="1"/>
  <c r="M1876" i="5"/>
  <c r="K1876" i="5"/>
  <c r="L1876" i="5" s="1"/>
  <c r="M1875" i="5"/>
  <c r="K1875" i="5"/>
  <c r="L1875" i="5" s="1"/>
  <c r="M1874" i="5"/>
  <c r="K1874" i="5"/>
  <c r="L1874" i="5" s="1"/>
  <c r="M1873" i="5"/>
  <c r="K1873" i="5"/>
  <c r="L1873" i="5" s="1"/>
  <c r="M1872" i="5"/>
  <c r="K1872" i="5"/>
  <c r="L1872" i="5" s="1"/>
  <c r="M1871" i="5"/>
  <c r="K1871" i="5"/>
  <c r="L1871" i="5" s="1"/>
  <c r="M1870" i="5"/>
  <c r="K1870" i="5"/>
  <c r="L1870" i="5" s="1"/>
  <c r="M1869" i="5"/>
  <c r="K1869" i="5"/>
  <c r="L1869" i="5" s="1"/>
  <c r="M1868" i="5"/>
  <c r="K1868" i="5"/>
  <c r="L1868" i="5" s="1"/>
  <c r="M1867" i="5"/>
  <c r="K1867" i="5"/>
  <c r="L1867" i="5" s="1"/>
  <c r="M1866" i="5"/>
  <c r="K1866" i="5"/>
  <c r="L1866" i="5" s="1"/>
  <c r="M1865" i="5"/>
  <c r="K1865" i="5"/>
  <c r="L1865" i="5" s="1"/>
  <c r="M1864" i="5"/>
  <c r="K1864" i="5"/>
  <c r="L1864" i="5" s="1"/>
  <c r="M1863" i="5"/>
  <c r="K1863" i="5"/>
  <c r="L1863" i="5" s="1"/>
  <c r="M1862" i="5"/>
  <c r="K1862" i="5"/>
  <c r="L1862" i="5" s="1"/>
  <c r="M1861" i="5"/>
  <c r="K1861" i="5"/>
  <c r="L1861" i="5" s="1"/>
  <c r="M1860" i="5"/>
  <c r="K1860" i="5"/>
  <c r="L1860" i="5" s="1"/>
  <c r="M1859" i="5"/>
  <c r="K1859" i="5"/>
  <c r="L1859" i="5" s="1"/>
  <c r="M1858" i="5"/>
  <c r="K1858" i="5"/>
  <c r="L1858" i="5" s="1"/>
  <c r="M1857" i="5"/>
  <c r="K1857" i="5"/>
  <c r="L1857" i="5" s="1"/>
  <c r="M1856" i="5"/>
  <c r="K1856" i="5"/>
  <c r="L1856" i="5" s="1"/>
  <c r="M1855" i="5"/>
  <c r="K1855" i="5"/>
  <c r="L1855" i="5" s="1"/>
  <c r="M1854" i="5"/>
  <c r="K1854" i="5"/>
  <c r="L1854" i="5" s="1"/>
  <c r="M1853" i="5"/>
  <c r="K1853" i="5"/>
  <c r="L1853" i="5" s="1"/>
  <c r="M1852" i="5"/>
  <c r="K1852" i="5"/>
  <c r="L1852" i="5" s="1"/>
  <c r="M1851" i="5"/>
  <c r="K1851" i="5"/>
  <c r="L1851" i="5" s="1"/>
  <c r="M1850" i="5"/>
  <c r="K1850" i="5"/>
  <c r="L1850" i="5" s="1"/>
  <c r="M1849" i="5"/>
  <c r="K1849" i="5"/>
  <c r="L1849" i="5" s="1"/>
  <c r="M1848" i="5"/>
  <c r="K1848" i="5"/>
  <c r="L1848" i="5" s="1"/>
  <c r="M1847" i="5"/>
  <c r="K1847" i="5"/>
  <c r="L1847" i="5" s="1"/>
  <c r="M1846" i="5"/>
  <c r="K1846" i="5"/>
  <c r="L1846" i="5" s="1"/>
  <c r="M1845" i="5"/>
  <c r="K1845" i="5"/>
  <c r="L1845" i="5" s="1"/>
  <c r="M1844" i="5"/>
  <c r="E38" i="7" s="1"/>
  <c r="K1844" i="5"/>
  <c r="L1844" i="5" s="1"/>
  <c r="D38" i="7" s="1"/>
  <c r="M1843" i="5"/>
  <c r="K1843" i="5"/>
  <c r="L1843" i="5" s="1"/>
  <c r="M1842" i="5"/>
  <c r="K1842" i="5"/>
  <c r="L1842" i="5" s="1"/>
  <c r="M1841" i="5"/>
  <c r="K1841" i="5"/>
  <c r="L1841" i="5" s="1"/>
  <c r="M1840" i="5"/>
  <c r="K1840" i="5"/>
  <c r="L1840" i="5" s="1"/>
  <c r="M1839" i="5"/>
  <c r="K1839" i="5"/>
  <c r="L1839" i="5" s="1"/>
  <c r="M1838" i="5"/>
  <c r="K1838" i="5"/>
  <c r="L1838" i="5" s="1"/>
  <c r="M1837" i="5"/>
  <c r="K1837" i="5"/>
  <c r="L1837" i="5" s="1"/>
  <c r="M1836" i="5"/>
  <c r="K1836" i="5"/>
  <c r="L1836" i="5" s="1"/>
  <c r="M1835" i="5"/>
  <c r="K1835" i="5"/>
  <c r="L1835" i="5" s="1"/>
  <c r="M1834" i="5"/>
  <c r="K1834" i="5"/>
  <c r="L1834" i="5" s="1"/>
  <c r="M1833" i="5"/>
  <c r="K1833" i="5"/>
  <c r="L1833" i="5" s="1"/>
  <c r="M1832" i="5"/>
  <c r="K1832" i="5"/>
  <c r="L1832" i="5" s="1"/>
  <c r="M1831" i="5"/>
  <c r="K1831" i="5"/>
  <c r="L1831" i="5" s="1"/>
  <c r="M1830" i="5"/>
  <c r="K1830" i="5"/>
  <c r="L1830" i="5" s="1"/>
  <c r="M1829" i="5"/>
  <c r="K1829" i="5"/>
  <c r="L1829" i="5" s="1"/>
  <c r="M1828" i="5"/>
  <c r="K1828" i="5"/>
  <c r="L1828" i="5" s="1"/>
  <c r="M1827" i="5"/>
  <c r="K1827" i="5"/>
  <c r="L1827" i="5" s="1"/>
  <c r="M1826" i="5"/>
  <c r="K1826" i="5"/>
  <c r="L1826" i="5" s="1"/>
  <c r="M1825" i="5"/>
  <c r="K1825" i="5"/>
  <c r="L1825" i="5" s="1"/>
  <c r="M1824" i="5"/>
  <c r="K1824" i="5"/>
  <c r="L1824" i="5" s="1"/>
  <c r="M1823" i="5"/>
  <c r="K1823" i="5"/>
  <c r="L1823" i="5" s="1"/>
  <c r="M1822" i="5"/>
  <c r="K1822" i="5"/>
  <c r="L1822" i="5" s="1"/>
  <c r="M1821" i="5"/>
  <c r="K1821" i="5"/>
  <c r="L1821" i="5" s="1"/>
  <c r="M1820" i="5"/>
  <c r="E35" i="7" s="1"/>
  <c r="K1820" i="5"/>
  <c r="L1820" i="5" s="1"/>
  <c r="M1819" i="5"/>
  <c r="K1819" i="5"/>
  <c r="L1819" i="5" s="1"/>
  <c r="M1818" i="5"/>
  <c r="K1818" i="5"/>
  <c r="L1818" i="5" s="1"/>
  <c r="E19" i="7" s="1"/>
  <c r="M1817" i="5"/>
  <c r="K1817" i="5"/>
  <c r="L1817" i="5" s="1"/>
  <c r="M1816" i="5"/>
  <c r="K1816" i="5"/>
  <c r="L1816" i="5" s="1"/>
  <c r="M1815" i="5"/>
  <c r="K1815" i="5"/>
  <c r="L1815" i="5" s="1"/>
  <c r="E24" i="7" s="1"/>
  <c r="M1814" i="5"/>
  <c r="K1814" i="5"/>
  <c r="L1814" i="5" s="1"/>
  <c r="M1813" i="5"/>
  <c r="K1813" i="5"/>
  <c r="L1813" i="5" s="1"/>
  <c r="M1812" i="5"/>
  <c r="K1812" i="5"/>
  <c r="L1812" i="5" s="1"/>
  <c r="M1811" i="5"/>
  <c r="K1811" i="5"/>
  <c r="L1811" i="5" s="1"/>
  <c r="M1810" i="5"/>
  <c r="K1810" i="5"/>
  <c r="L1810" i="5" s="1"/>
  <c r="M1809" i="5"/>
  <c r="K1809" i="5"/>
  <c r="L1809" i="5" s="1"/>
  <c r="M1808" i="5"/>
  <c r="K1808" i="5"/>
  <c r="L1808" i="5" s="1"/>
  <c r="M1807" i="5"/>
  <c r="K1807" i="5"/>
  <c r="L1807" i="5" s="1"/>
  <c r="M1806" i="5"/>
  <c r="K1806" i="5"/>
  <c r="L1806" i="5" s="1"/>
  <c r="M1805" i="5"/>
  <c r="K1805" i="5"/>
  <c r="L1805" i="5" s="1"/>
  <c r="M1804" i="5"/>
  <c r="K1804" i="5"/>
  <c r="L1804" i="5" s="1"/>
  <c r="M1803" i="5"/>
  <c r="C9" i="2" s="1"/>
  <c r="K1803" i="5"/>
  <c r="L1803" i="5" s="1"/>
  <c r="M1802" i="5"/>
  <c r="K1802" i="5"/>
  <c r="L1802" i="5" s="1"/>
  <c r="M1801" i="5"/>
  <c r="K1801" i="5"/>
  <c r="L1801" i="5" s="1"/>
  <c r="M1800" i="5"/>
  <c r="K1800" i="5"/>
  <c r="L1800" i="5" s="1"/>
  <c r="M1799" i="5"/>
  <c r="K1799" i="5"/>
  <c r="L1799" i="5" s="1"/>
  <c r="M1798" i="5"/>
  <c r="K1798" i="5"/>
  <c r="L1798" i="5" s="1"/>
  <c r="M1797" i="5"/>
  <c r="K1797" i="5"/>
  <c r="L1797" i="5" s="1"/>
  <c r="M1796" i="5"/>
  <c r="K1796" i="5"/>
  <c r="L1796" i="5" s="1"/>
  <c r="M1795" i="5"/>
  <c r="K1795" i="5"/>
  <c r="L1795" i="5" s="1"/>
  <c r="M1794" i="5"/>
  <c r="K1794" i="5"/>
  <c r="L1794" i="5" s="1"/>
  <c r="E23" i="7" s="1"/>
  <c r="M1793" i="5"/>
  <c r="K1793" i="5"/>
  <c r="L1793" i="5" s="1"/>
  <c r="M1792" i="5"/>
  <c r="K1792" i="5"/>
  <c r="L1792" i="5" s="1"/>
  <c r="M1791" i="5"/>
  <c r="K1791" i="5"/>
  <c r="L1791" i="5" s="1"/>
  <c r="M1790" i="5"/>
  <c r="K1790" i="5"/>
  <c r="L1790" i="5" s="1"/>
  <c r="M1789" i="5"/>
  <c r="K1789" i="5"/>
  <c r="L1789" i="5" s="1"/>
  <c r="M1788" i="5"/>
  <c r="K1788" i="5"/>
  <c r="L1788" i="5" s="1"/>
  <c r="M1787" i="5"/>
  <c r="K1787" i="5"/>
  <c r="L1787" i="5" s="1"/>
  <c r="M1786" i="5"/>
  <c r="K1786" i="5"/>
  <c r="L1786" i="5" s="1"/>
  <c r="M1785" i="5"/>
  <c r="K1785" i="5"/>
  <c r="L1785" i="5" s="1"/>
  <c r="M1784" i="5"/>
  <c r="K1784" i="5"/>
  <c r="L1784" i="5" s="1"/>
  <c r="M1783" i="5"/>
  <c r="K1783" i="5"/>
  <c r="L1783" i="5" s="1"/>
  <c r="M1782" i="5"/>
  <c r="K1782" i="5"/>
  <c r="L1782" i="5" s="1"/>
  <c r="M1781" i="5"/>
  <c r="K1781" i="5"/>
  <c r="L1781" i="5" s="1"/>
  <c r="M1780" i="5"/>
  <c r="K1780" i="5"/>
  <c r="L1780" i="5" s="1"/>
  <c r="M1779" i="5"/>
  <c r="K1779" i="5"/>
  <c r="L1779" i="5" s="1"/>
  <c r="M1778" i="5"/>
  <c r="K1778" i="5"/>
  <c r="L1778" i="5" s="1"/>
  <c r="M1777" i="5"/>
  <c r="K1777" i="5"/>
  <c r="L1777" i="5" s="1"/>
  <c r="M1776" i="5"/>
  <c r="K1776" i="5"/>
  <c r="L1776" i="5" s="1"/>
  <c r="M1775" i="5"/>
  <c r="K1775" i="5"/>
  <c r="L1775" i="5" s="1"/>
  <c r="M1774" i="5"/>
  <c r="K1774" i="5"/>
  <c r="L1774" i="5" s="1"/>
  <c r="M1773" i="5"/>
  <c r="K1773" i="5"/>
  <c r="L1773" i="5" s="1"/>
  <c r="M1772" i="5"/>
  <c r="K1772" i="5"/>
  <c r="L1772" i="5" s="1"/>
  <c r="M1771" i="5"/>
  <c r="K1771" i="5"/>
  <c r="L1771" i="5" s="1"/>
  <c r="M1770" i="5"/>
  <c r="K1770" i="5"/>
  <c r="L1770" i="5" s="1"/>
  <c r="M1769" i="5"/>
  <c r="K1769" i="5"/>
  <c r="L1769" i="5" s="1"/>
  <c r="M1768" i="5"/>
  <c r="K1768" i="5"/>
  <c r="L1768" i="5" s="1"/>
  <c r="M1767" i="5"/>
  <c r="K1767" i="5"/>
  <c r="L1767" i="5" s="1"/>
  <c r="M1766" i="5"/>
  <c r="K1766" i="5"/>
  <c r="L1766" i="5" s="1"/>
  <c r="M1765" i="5"/>
  <c r="K1765" i="5"/>
  <c r="L1765" i="5" s="1"/>
  <c r="M1764" i="5"/>
  <c r="K1764" i="5"/>
  <c r="L1764" i="5" s="1"/>
  <c r="M1763" i="5"/>
  <c r="K1763" i="5"/>
  <c r="L1763" i="5" s="1"/>
  <c r="M1762" i="5"/>
  <c r="K1762" i="5"/>
  <c r="L1762" i="5" s="1"/>
  <c r="M1761" i="5"/>
  <c r="K1761" i="5"/>
  <c r="L1761" i="5" s="1"/>
  <c r="M1760" i="5"/>
  <c r="K1760" i="5"/>
  <c r="L1760" i="5" s="1"/>
  <c r="M1759" i="5"/>
  <c r="K1759" i="5"/>
  <c r="L1759" i="5" s="1"/>
  <c r="M1758" i="5"/>
  <c r="K1758" i="5"/>
  <c r="L1758" i="5" s="1"/>
  <c r="M1757" i="5"/>
  <c r="K1757" i="5"/>
  <c r="L1757" i="5" s="1"/>
  <c r="M1756" i="5"/>
  <c r="K1756" i="5"/>
  <c r="L1756" i="5" s="1"/>
  <c r="M1755" i="5"/>
  <c r="K1755" i="5"/>
  <c r="L1755" i="5" s="1"/>
  <c r="M1754" i="5"/>
  <c r="K1754" i="5"/>
  <c r="L1754" i="5" s="1"/>
  <c r="M1753" i="5"/>
  <c r="K1753" i="5"/>
  <c r="L1753" i="5" s="1"/>
  <c r="M1752" i="5"/>
  <c r="K1752" i="5"/>
  <c r="L1752" i="5" s="1"/>
  <c r="M1751" i="5"/>
  <c r="K1751" i="5"/>
  <c r="L1751" i="5" s="1"/>
  <c r="E22" i="7" s="1"/>
  <c r="M1750" i="5"/>
  <c r="K1750" i="5"/>
  <c r="L1750" i="5" s="1"/>
  <c r="M1749" i="5"/>
  <c r="K1749" i="5"/>
  <c r="L1749" i="5" s="1"/>
  <c r="M1748" i="5"/>
  <c r="K1748" i="5"/>
  <c r="L1748" i="5" s="1"/>
  <c r="M1747" i="5"/>
  <c r="K1747" i="5"/>
  <c r="L1747" i="5" s="1"/>
  <c r="M1746" i="5"/>
  <c r="K1746" i="5"/>
  <c r="L1746" i="5" s="1"/>
  <c r="M1745" i="5"/>
  <c r="K1745" i="5"/>
  <c r="L1745" i="5" s="1"/>
  <c r="M1744" i="5"/>
  <c r="K1744" i="5"/>
  <c r="L1744" i="5" s="1"/>
  <c r="M1743" i="5"/>
  <c r="K1743" i="5"/>
  <c r="L1743" i="5" s="1"/>
  <c r="M1742" i="5"/>
  <c r="K1742" i="5"/>
  <c r="L1742" i="5" s="1"/>
  <c r="M1741" i="5"/>
  <c r="K1741" i="5"/>
  <c r="L1741" i="5" s="1"/>
  <c r="M1740" i="5"/>
  <c r="K1740" i="5"/>
  <c r="L1740" i="5" s="1"/>
  <c r="M1739" i="5"/>
  <c r="K1739" i="5"/>
  <c r="L1739" i="5" s="1"/>
  <c r="M1738" i="5"/>
  <c r="K1738" i="5"/>
  <c r="L1738" i="5" s="1"/>
  <c r="M1737" i="5"/>
  <c r="K1737" i="5"/>
  <c r="L1737" i="5" s="1"/>
  <c r="M1736" i="5"/>
  <c r="K1736" i="5"/>
  <c r="L1736" i="5" s="1"/>
  <c r="M1735" i="5"/>
  <c r="K1735" i="5"/>
  <c r="L1735" i="5" s="1"/>
  <c r="M1734" i="5"/>
  <c r="K1734" i="5"/>
  <c r="L1734" i="5" s="1"/>
  <c r="M1733" i="5"/>
  <c r="K1733" i="5"/>
  <c r="L1733" i="5" s="1"/>
  <c r="M1732" i="5"/>
  <c r="K1732" i="5"/>
  <c r="L1732" i="5" s="1"/>
  <c r="M1731" i="5"/>
  <c r="K1731" i="5"/>
  <c r="L1731" i="5" s="1"/>
  <c r="M1730" i="5"/>
  <c r="K1730" i="5"/>
  <c r="L1730" i="5" s="1"/>
  <c r="M1729" i="5"/>
  <c r="K1729" i="5"/>
  <c r="L1729" i="5" s="1"/>
  <c r="M1728" i="5"/>
  <c r="K1728" i="5"/>
  <c r="L1728" i="5" s="1"/>
  <c r="M1727" i="5"/>
  <c r="K1727" i="5"/>
  <c r="L1727" i="5" s="1"/>
  <c r="M1726" i="5"/>
  <c r="K1726" i="5"/>
  <c r="L1726" i="5" s="1"/>
  <c r="M1725" i="5"/>
  <c r="K1725" i="5"/>
  <c r="L1725" i="5" s="1"/>
  <c r="M1724" i="5"/>
  <c r="K1724" i="5"/>
  <c r="L1724" i="5" s="1"/>
  <c r="M1723" i="5"/>
  <c r="K1723" i="5"/>
  <c r="L1723" i="5" s="1"/>
  <c r="M1722" i="5"/>
  <c r="K1722" i="5"/>
  <c r="L1722" i="5" s="1"/>
  <c r="M1721" i="5"/>
  <c r="K1721" i="5"/>
  <c r="L1721" i="5" s="1"/>
  <c r="M1720" i="5"/>
  <c r="K1720" i="5"/>
  <c r="L1720" i="5" s="1"/>
  <c r="M1719" i="5"/>
  <c r="K1719" i="5"/>
  <c r="L1719" i="5" s="1"/>
  <c r="M1718" i="5"/>
  <c r="K1718" i="5"/>
  <c r="L1718" i="5" s="1"/>
  <c r="M1717" i="5"/>
  <c r="K1717" i="5"/>
  <c r="L1717" i="5" s="1"/>
  <c r="M1716" i="5"/>
  <c r="K1716" i="5"/>
  <c r="L1716" i="5" s="1"/>
  <c r="M1715" i="5"/>
  <c r="K1715" i="5"/>
  <c r="L1715" i="5" s="1"/>
  <c r="M1714" i="5"/>
  <c r="K1714" i="5"/>
  <c r="L1714" i="5" s="1"/>
  <c r="M1713" i="5"/>
  <c r="K1713" i="5"/>
  <c r="L1713" i="5" s="1"/>
  <c r="M1712" i="5"/>
  <c r="K1712" i="5"/>
  <c r="L1712" i="5" s="1"/>
  <c r="M1711" i="5"/>
  <c r="K1711" i="5"/>
  <c r="L1711" i="5" s="1"/>
  <c r="M1710" i="5"/>
  <c r="K1710" i="5"/>
  <c r="L1710" i="5" s="1"/>
  <c r="M1709" i="5"/>
  <c r="K1709" i="5"/>
  <c r="L1709" i="5" s="1"/>
  <c r="M1708" i="5"/>
  <c r="K1708" i="5"/>
  <c r="L1708" i="5" s="1"/>
  <c r="M1707" i="5"/>
  <c r="K1707" i="5"/>
  <c r="L1707" i="5" s="1"/>
  <c r="M1706" i="5"/>
  <c r="K1706" i="5"/>
  <c r="L1706" i="5" s="1"/>
  <c r="M1705" i="5"/>
  <c r="K1705" i="5"/>
  <c r="L1705" i="5" s="1"/>
  <c r="M1704" i="5"/>
  <c r="K1704" i="5"/>
  <c r="L1704" i="5" s="1"/>
  <c r="M1703" i="5"/>
  <c r="K1703" i="5"/>
  <c r="L1703" i="5" s="1"/>
  <c r="M1702" i="5"/>
  <c r="K1702" i="5"/>
  <c r="L1702" i="5" s="1"/>
  <c r="M1701" i="5"/>
  <c r="K1701" i="5"/>
  <c r="L1701" i="5" s="1"/>
  <c r="M1700" i="5"/>
  <c r="K1700" i="5"/>
  <c r="L1700" i="5" s="1"/>
  <c r="M1699" i="5"/>
  <c r="K1699" i="5"/>
  <c r="L1699" i="5" s="1"/>
  <c r="M1698" i="5"/>
  <c r="K1698" i="5"/>
  <c r="L1698" i="5" s="1"/>
  <c r="M1697" i="5"/>
  <c r="K1697" i="5"/>
  <c r="L1697" i="5" s="1"/>
  <c r="M1696" i="5"/>
  <c r="K1696" i="5"/>
  <c r="L1696" i="5" s="1"/>
  <c r="M1695" i="5"/>
  <c r="K1695" i="5"/>
  <c r="L1695" i="5" s="1"/>
  <c r="M1694" i="5"/>
  <c r="K1694" i="5"/>
  <c r="L1694" i="5" s="1"/>
  <c r="M1693" i="5"/>
  <c r="K1693" i="5"/>
  <c r="L1693" i="5" s="1"/>
  <c r="M1692" i="5"/>
  <c r="K1692" i="5"/>
  <c r="L1692" i="5" s="1"/>
  <c r="M1691" i="5"/>
  <c r="K1691" i="5"/>
  <c r="L1691" i="5" s="1"/>
  <c r="M1690" i="5"/>
  <c r="K1690" i="5"/>
  <c r="L1690" i="5" s="1"/>
  <c r="M1689" i="5"/>
  <c r="K1689" i="5"/>
  <c r="L1689" i="5" s="1"/>
  <c r="M1688" i="5"/>
  <c r="K1688" i="5"/>
  <c r="L1688" i="5" s="1"/>
  <c r="M1687" i="5"/>
  <c r="K1687" i="5"/>
  <c r="L1687" i="5" s="1"/>
  <c r="M1686" i="5"/>
  <c r="K1686" i="5"/>
  <c r="L1686" i="5" s="1"/>
  <c r="M1685" i="5"/>
  <c r="K1685" i="5"/>
  <c r="L1685" i="5" s="1"/>
  <c r="M1684" i="5"/>
  <c r="K1684" i="5"/>
  <c r="L1684" i="5" s="1"/>
  <c r="M1683" i="5"/>
  <c r="K1683" i="5"/>
  <c r="L1683" i="5" s="1"/>
  <c r="M1682" i="5"/>
  <c r="K1682" i="5"/>
  <c r="L1682" i="5" s="1"/>
  <c r="M1681" i="5"/>
  <c r="K1681" i="5"/>
  <c r="L1681" i="5" s="1"/>
  <c r="M1680" i="5"/>
  <c r="K1680" i="5"/>
  <c r="L1680" i="5" s="1"/>
  <c r="M1679" i="5"/>
  <c r="K1679" i="5"/>
  <c r="L1679" i="5" s="1"/>
  <c r="M1678" i="5"/>
  <c r="K1678" i="5"/>
  <c r="L1678" i="5" s="1"/>
  <c r="M1677" i="5"/>
  <c r="K1677" i="5"/>
  <c r="L1677" i="5" s="1"/>
  <c r="M1676" i="5"/>
  <c r="K1676" i="5"/>
  <c r="L1676" i="5" s="1"/>
  <c r="M1675" i="5"/>
  <c r="K1675" i="5"/>
  <c r="L1675" i="5" s="1"/>
  <c r="M1674" i="5"/>
  <c r="K1674" i="5"/>
  <c r="L1674" i="5" s="1"/>
  <c r="M1673" i="5"/>
  <c r="K1673" i="5"/>
  <c r="L1673" i="5" s="1"/>
  <c r="M1672" i="5"/>
  <c r="K1672" i="5"/>
  <c r="L1672" i="5" s="1"/>
  <c r="M1671" i="5"/>
  <c r="K1671" i="5"/>
  <c r="L1671" i="5" s="1"/>
  <c r="M1670" i="5"/>
  <c r="K1670" i="5"/>
  <c r="L1670" i="5" s="1"/>
  <c r="M1669" i="5"/>
  <c r="K1669" i="5"/>
  <c r="L1669" i="5" s="1"/>
  <c r="M1668" i="5"/>
  <c r="K1668" i="5"/>
  <c r="L1668" i="5" s="1"/>
  <c r="M1667" i="5"/>
  <c r="K1667" i="5"/>
  <c r="L1667" i="5" s="1"/>
  <c r="M1666" i="5"/>
  <c r="K1666" i="5"/>
  <c r="L1666" i="5" s="1"/>
  <c r="M1665" i="5"/>
  <c r="K1665" i="5"/>
  <c r="L1665" i="5" s="1"/>
  <c r="M1664" i="5"/>
  <c r="K1664" i="5"/>
  <c r="L1664" i="5" s="1"/>
  <c r="M1663" i="5"/>
  <c r="K1663" i="5"/>
  <c r="L1663" i="5" s="1"/>
  <c r="M1662" i="5"/>
  <c r="K1662" i="5"/>
  <c r="L1662" i="5" s="1"/>
  <c r="M1661" i="5"/>
  <c r="K1661" i="5"/>
  <c r="L1661" i="5" s="1"/>
  <c r="M1660" i="5"/>
  <c r="K1660" i="5"/>
  <c r="L1660" i="5" s="1"/>
  <c r="M1659" i="5"/>
  <c r="K1659" i="5"/>
  <c r="L1659" i="5" s="1"/>
  <c r="M1658" i="5"/>
  <c r="K1658" i="5"/>
  <c r="L1658" i="5" s="1"/>
  <c r="M1657" i="5"/>
  <c r="K1657" i="5"/>
  <c r="L1657" i="5" s="1"/>
  <c r="M1656" i="5"/>
  <c r="K1656" i="5"/>
  <c r="L1656" i="5" s="1"/>
  <c r="M1655" i="5"/>
  <c r="K1655" i="5"/>
  <c r="L1655" i="5" s="1"/>
  <c r="M1654" i="5"/>
  <c r="K1654" i="5"/>
  <c r="L1654" i="5" s="1"/>
  <c r="M1653" i="5"/>
  <c r="K1653" i="5"/>
  <c r="L1653" i="5" s="1"/>
  <c r="M1652" i="5"/>
  <c r="K1652" i="5"/>
  <c r="L1652" i="5" s="1"/>
  <c r="M1651" i="5"/>
  <c r="K1651" i="5"/>
  <c r="L1651" i="5" s="1"/>
  <c r="M1650" i="5"/>
  <c r="K1650" i="5"/>
  <c r="L1650" i="5" s="1"/>
  <c r="M1649" i="5"/>
  <c r="K1649" i="5"/>
  <c r="L1649" i="5" s="1"/>
  <c r="M1648" i="5"/>
  <c r="K1648" i="5"/>
  <c r="L1648" i="5" s="1"/>
  <c r="M1647" i="5"/>
  <c r="K1647" i="5"/>
  <c r="L1647" i="5" s="1"/>
  <c r="M1646" i="5"/>
  <c r="K1646" i="5"/>
  <c r="L1646" i="5" s="1"/>
  <c r="M1645" i="5"/>
  <c r="K1645" i="5"/>
  <c r="L1645" i="5" s="1"/>
  <c r="M1644" i="5"/>
  <c r="K1644" i="5"/>
  <c r="L1644" i="5" s="1"/>
  <c r="M1643" i="5"/>
  <c r="K1643" i="5"/>
  <c r="L1643" i="5" s="1"/>
  <c r="M1642" i="5"/>
  <c r="K1642" i="5"/>
  <c r="L1642" i="5" s="1"/>
  <c r="M1641" i="5"/>
  <c r="K1641" i="5"/>
  <c r="L1641" i="5" s="1"/>
  <c r="M1640" i="5"/>
  <c r="K1640" i="5"/>
  <c r="L1640" i="5" s="1"/>
  <c r="M1639" i="5"/>
  <c r="K1639" i="5"/>
  <c r="L1639" i="5" s="1"/>
  <c r="M1638" i="5"/>
  <c r="K1638" i="5"/>
  <c r="L1638" i="5" s="1"/>
  <c r="M1637" i="5"/>
  <c r="K1637" i="5"/>
  <c r="L1637" i="5" s="1"/>
  <c r="M1636" i="5"/>
  <c r="K1636" i="5"/>
  <c r="L1636" i="5" s="1"/>
  <c r="M1635" i="5"/>
  <c r="K1635" i="5"/>
  <c r="L1635" i="5" s="1"/>
  <c r="M1634" i="5"/>
  <c r="K1634" i="5"/>
  <c r="L1634" i="5" s="1"/>
  <c r="M1633" i="5"/>
  <c r="K1633" i="5"/>
  <c r="L1633" i="5" s="1"/>
  <c r="M1632" i="5"/>
  <c r="K1632" i="5"/>
  <c r="L1632" i="5" s="1"/>
  <c r="M1631" i="5"/>
  <c r="K1631" i="5"/>
  <c r="L1631" i="5" s="1"/>
  <c r="M1630" i="5"/>
  <c r="K1630" i="5"/>
  <c r="L1630" i="5" s="1"/>
  <c r="M1629" i="5"/>
  <c r="K1629" i="5"/>
  <c r="L1629" i="5" s="1"/>
  <c r="M1628" i="5"/>
  <c r="K1628" i="5"/>
  <c r="L1628" i="5" s="1"/>
  <c r="M1627" i="5"/>
  <c r="K1627" i="5"/>
  <c r="L1627" i="5" s="1"/>
  <c r="M1626" i="5"/>
  <c r="K1626" i="5"/>
  <c r="L1626" i="5" s="1"/>
  <c r="M1625" i="5"/>
  <c r="K1625" i="5"/>
  <c r="L1625" i="5" s="1"/>
  <c r="M1624" i="5"/>
  <c r="K1624" i="5"/>
  <c r="L1624" i="5" s="1"/>
  <c r="M1623" i="5"/>
  <c r="K1623" i="5"/>
  <c r="L1623" i="5" s="1"/>
  <c r="M1622" i="5"/>
  <c r="K1622" i="5"/>
  <c r="L1622" i="5" s="1"/>
  <c r="M1621" i="5"/>
  <c r="K1621" i="5"/>
  <c r="L1621" i="5" s="1"/>
  <c r="M1620" i="5"/>
  <c r="K1620" i="5"/>
  <c r="L1620" i="5" s="1"/>
  <c r="M1619" i="5"/>
  <c r="K1619" i="5"/>
  <c r="L1619" i="5" s="1"/>
  <c r="M1618" i="5"/>
  <c r="K1618" i="5"/>
  <c r="L1618" i="5" s="1"/>
  <c r="M1617" i="5"/>
  <c r="K1617" i="5"/>
  <c r="L1617" i="5" s="1"/>
  <c r="M1616" i="5"/>
  <c r="K1616" i="5"/>
  <c r="L1616" i="5" s="1"/>
  <c r="M1615" i="5"/>
  <c r="K1615" i="5"/>
  <c r="L1615" i="5" s="1"/>
  <c r="M1614" i="5"/>
  <c r="K1614" i="5"/>
  <c r="L1614" i="5" s="1"/>
  <c r="M1613" i="5"/>
  <c r="K1613" i="5"/>
  <c r="L1613" i="5" s="1"/>
  <c r="M1612" i="5"/>
  <c r="K1612" i="5"/>
  <c r="L1612" i="5" s="1"/>
  <c r="M1611" i="5"/>
  <c r="K1611" i="5"/>
  <c r="L1611" i="5" s="1"/>
  <c r="M1610" i="5"/>
  <c r="K1610" i="5"/>
  <c r="L1610" i="5" s="1"/>
  <c r="M1609" i="5"/>
  <c r="K1609" i="5"/>
  <c r="L1609" i="5" s="1"/>
  <c r="M1608" i="5"/>
  <c r="K1608" i="5"/>
  <c r="L1608" i="5" s="1"/>
  <c r="M1607" i="5"/>
  <c r="K1607" i="5"/>
  <c r="L1607" i="5" s="1"/>
  <c r="M1606" i="5"/>
  <c r="K1606" i="5"/>
  <c r="L1606" i="5" s="1"/>
  <c r="M1605" i="5"/>
  <c r="K1605" i="5"/>
  <c r="L1605" i="5" s="1"/>
  <c r="M1604" i="5"/>
  <c r="K1604" i="5"/>
  <c r="L1604" i="5" s="1"/>
  <c r="M1603" i="5"/>
  <c r="K1603" i="5"/>
  <c r="L1603" i="5" s="1"/>
  <c r="M1602" i="5"/>
  <c r="K1602" i="5"/>
  <c r="L1602" i="5" s="1"/>
  <c r="M1601" i="5"/>
  <c r="K1601" i="5"/>
  <c r="L1601" i="5" s="1"/>
  <c r="M1600" i="5"/>
  <c r="K1600" i="5"/>
  <c r="L1600" i="5" s="1"/>
  <c r="M1599" i="5"/>
  <c r="K1599" i="5"/>
  <c r="L1599" i="5" s="1"/>
  <c r="M1598" i="5"/>
  <c r="K1598" i="5"/>
  <c r="L1598" i="5" s="1"/>
  <c r="M1597" i="5"/>
  <c r="K1597" i="5"/>
  <c r="L1597" i="5" s="1"/>
  <c r="M1596" i="5"/>
  <c r="K1596" i="5"/>
  <c r="L1596" i="5" s="1"/>
  <c r="M1595" i="5"/>
  <c r="K1595" i="5"/>
  <c r="L1595" i="5" s="1"/>
  <c r="M1594" i="5"/>
  <c r="K1594" i="5"/>
  <c r="L1594" i="5" s="1"/>
  <c r="M1593" i="5"/>
  <c r="K1593" i="5"/>
  <c r="L1593" i="5" s="1"/>
  <c r="M1592" i="5"/>
  <c r="K1592" i="5"/>
  <c r="L1592" i="5" s="1"/>
  <c r="M1591" i="5"/>
  <c r="K1591" i="5"/>
  <c r="L1591" i="5" s="1"/>
  <c r="M1590" i="5"/>
  <c r="K1590" i="5"/>
  <c r="L1590" i="5" s="1"/>
  <c r="M1589" i="5"/>
  <c r="K1589" i="5"/>
  <c r="L1589" i="5" s="1"/>
  <c r="M1588" i="5"/>
  <c r="K1588" i="5"/>
  <c r="L1588" i="5" s="1"/>
  <c r="M1587" i="5"/>
  <c r="E31" i="7" s="1"/>
  <c r="K1587" i="5"/>
  <c r="L1587" i="5" s="1"/>
  <c r="D31" i="7" s="1"/>
  <c r="M1586" i="5"/>
  <c r="K1586" i="5"/>
  <c r="L1586" i="5" s="1"/>
  <c r="M1585" i="5"/>
  <c r="K1585" i="5"/>
  <c r="L1585" i="5" s="1"/>
  <c r="M1584" i="5"/>
  <c r="K1584" i="5"/>
  <c r="L1584" i="5" s="1"/>
  <c r="M1583" i="5"/>
  <c r="K1583" i="5"/>
  <c r="L1583" i="5" s="1"/>
  <c r="M1582" i="5"/>
  <c r="K1582" i="5"/>
  <c r="L1582" i="5" s="1"/>
  <c r="M1581" i="5"/>
  <c r="K1581" i="5"/>
  <c r="L1581" i="5" s="1"/>
  <c r="M1580" i="5"/>
  <c r="K1580" i="5"/>
  <c r="L1580" i="5" s="1"/>
  <c r="M1579" i="5"/>
  <c r="K1579" i="5"/>
  <c r="L1579" i="5" s="1"/>
  <c r="M1578" i="5"/>
  <c r="K1578" i="5"/>
  <c r="L1578" i="5" s="1"/>
  <c r="M1577" i="5"/>
  <c r="K1577" i="5"/>
  <c r="L1577" i="5" s="1"/>
  <c r="M1576" i="5"/>
  <c r="K1576" i="5"/>
  <c r="L1576" i="5" s="1"/>
  <c r="M1575" i="5"/>
  <c r="K1575" i="5"/>
  <c r="L1575" i="5" s="1"/>
  <c r="M1574" i="5"/>
  <c r="K1574" i="5"/>
  <c r="L1574" i="5" s="1"/>
  <c r="M1573" i="5"/>
  <c r="K1573" i="5"/>
  <c r="L1573" i="5" s="1"/>
  <c r="M1572" i="5"/>
  <c r="K1572" i="5"/>
  <c r="L1572" i="5" s="1"/>
  <c r="M1571" i="5"/>
  <c r="K1571" i="5"/>
  <c r="L1571" i="5" s="1"/>
  <c r="M1570" i="5"/>
  <c r="E30" i="7" s="1"/>
  <c r="K1570" i="5"/>
  <c r="L1570" i="5" s="1"/>
  <c r="M1569" i="5"/>
  <c r="K1569" i="5"/>
  <c r="L1569" i="5" s="1"/>
  <c r="M1568" i="5"/>
  <c r="K1568" i="5"/>
  <c r="L1568" i="5" s="1"/>
  <c r="M1567" i="5"/>
  <c r="K1567" i="5"/>
  <c r="L1567" i="5" s="1"/>
  <c r="M1566" i="5"/>
  <c r="K1566" i="5"/>
  <c r="L1566" i="5" s="1"/>
  <c r="M1565" i="5"/>
  <c r="K1565" i="5"/>
  <c r="L1565" i="5" s="1"/>
  <c r="M1564" i="5"/>
  <c r="K1564" i="5"/>
  <c r="L1564" i="5" s="1"/>
  <c r="M1563" i="5"/>
  <c r="K1563" i="5"/>
  <c r="L1563" i="5" s="1"/>
  <c r="M1562" i="5"/>
  <c r="K1562" i="5"/>
  <c r="L1562" i="5" s="1"/>
  <c r="M1561" i="5"/>
  <c r="K1561" i="5"/>
  <c r="L1561" i="5" s="1"/>
  <c r="M1560" i="5"/>
  <c r="K1560" i="5"/>
  <c r="L1560" i="5" s="1"/>
  <c r="M1559" i="5"/>
  <c r="K1559" i="5"/>
  <c r="L1559" i="5" s="1"/>
  <c r="M1558" i="5"/>
  <c r="K1558" i="5"/>
  <c r="L1558" i="5" s="1"/>
  <c r="M1557" i="5"/>
  <c r="E32" i="7" s="1"/>
  <c r="K1557" i="5"/>
  <c r="L1557" i="5" s="1"/>
  <c r="M1556" i="5"/>
  <c r="K1556" i="5"/>
  <c r="L1556" i="5" s="1"/>
  <c r="M1555" i="5"/>
  <c r="K1555" i="5"/>
  <c r="L1555" i="5" s="1"/>
  <c r="M1554" i="5"/>
  <c r="K1554" i="5"/>
  <c r="L1554" i="5" s="1"/>
  <c r="M1553" i="5"/>
  <c r="K1553" i="5"/>
  <c r="L1553" i="5" s="1"/>
  <c r="M1552" i="5"/>
  <c r="K1552" i="5"/>
  <c r="L1552" i="5" s="1"/>
  <c r="M1551" i="5"/>
  <c r="K1551" i="5"/>
  <c r="L1551" i="5" s="1"/>
  <c r="M1550" i="5"/>
  <c r="K1550" i="5"/>
  <c r="L1550" i="5" s="1"/>
  <c r="M1549" i="5"/>
  <c r="K1549" i="5"/>
  <c r="L1549" i="5" s="1"/>
  <c r="M1548" i="5"/>
  <c r="K1548" i="5"/>
  <c r="L1548" i="5" s="1"/>
  <c r="M1547" i="5"/>
  <c r="K1547" i="5"/>
  <c r="L1547" i="5" s="1"/>
  <c r="M1546" i="5"/>
  <c r="K1546" i="5"/>
  <c r="L1546" i="5" s="1"/>
  <c r="M1545" i="5"/>
  <c r="K1545" i="5"/>
  <c r="L1545" i="5" s="1"/>
  <c r="M1544" i="5"/>
  <c r="K1544" i="5"/>
  <c r="L1544" i="5" s="1"/>
  <c r="M1543" i="5"/>
  <c r="K1543" i="5"/>
  <c r="L1543" i="5" s="1"/>
  <c r="M1542" i="5"/>
  <c r="K1542" i="5"/>
  <c r="L1542" i="5" s="1"/>
  <c r="M1541" i="5"/>
  <c r="K1541" i="5"/>
  <c r="L1541" i="5" s="1"/>
  <c r="M1540" i="5"/>
  <c r="K1540" i="5"/>
  <c r="L1540" i="5" s="1"/>
  <c r="M1539" i="5"/>
  <c r="K1539" i="5"/>
  <c r="L1539" i="5" s="1"/>
  <c r="M1538" i="5"/>
  <c r="K1538" i="5"/>
  <c r="L1538" i="5" s="1"/>
  <c r="M1537" i="5"/>
  <c r="K1537" i="5"/>
  <c r="L1537" i="5" s="1"/>
  <c r="M1536" i="5"/>
  <c r="K1536" i="5"/>
  <c r="L1536" i="5" s="1"/>
  <c r="M1535" i="5"/>
  <c r="K1535" i="5"/>
  <c r="L1535" i="5" s="1"/>
  <c r="M1534" i="5"/>
  <c r="E28" i="7" s="1"/>
  <c r="K1534" i="5"/>
  <c r="L1534" i="5" s="1"/>
  <c r="M1533" i="5"/>
  <c r="K1533" i="5"/>
  <c r="L1533" i="5" s="1"/>
  <c r="M1532" i="5"/>
  <c r="K1532" i="5"/>
  <c r="L1532" i="5" s="1"/>
  <c r="M1531" i="5"/>
  <c r="K1531" i="5"/>
  <c r="L1531" i="5" s="1"/>
  <c r="M1530" i="5"/>
  <c r="K1530" i="5"/>
  <c r="L1530" i="5" s="1"/>
  <c r="M1529" i="5"/>
  <c r="K1529" i="5"/>
  <c r="L1529" i="5" s="1"/>
  <c r="M1528" i="5"/>
  <c r="K1528" i="5"/>
  <c r="L1528" i="5" s="1"/>
  <c r="M1527" i="5"/>
  <c r="K1527" i="5"/>
  <c r="L1527" i="5" s="1"/>
  <c r="M1526" i="5"/>
  <c r="K1526" i="5"/>
  <c r="L1526" i="5" s="1"/>
  <c r="M1525" i="5"/>
  <c r="K1525" i="5"/>
  <c r="L1525" i="5" s="1"/>
  <c r="M1524" i="5"/>
  <c r="K1524" i="5"/>
  <c r="L1524" i="5" s="1"/>
  <c r="M1523" i="5"/>
  <c r="K1523" i="5"/>
  <c r="L1523" i="5" s="1"/>
  <c r="M1522" i="5"/>
  <c r="K1522" i="5"/>
  <c r="L1522" i="5" s="1"/>
  <c r="M1521" i="5"/>
  <c r="K1521" i="5"/>
  <c r="L1521" i="5" s="1"/>
  <c r="M1520" i="5"/>
  <c r="K1520" i="5"/>
  <c r="L1520" i="5" s="1"/>
  <c r="M1519" i="5"/>
  <c r="K1519" i="5"/>
  <c r="L1519" i="5" s="1"/>
  <c r="M1518" i="5"/>
  <c r="K1518" i="5"/>
  <c r="L1518" i="5" s="1"/>
  <c r="M1517" i="5"/>
  <c r="K1517" i="5"/>
  <c r="L1517" i="5" s="1"/>
  <c r="M1516" i="5"/>
  <c r="K1516" i="5"/>
  <c r="L1516" i="5" s="1"/>
  <c r="M1515" i="5"/>
  <c r="K1515" i="5"/>
  <c r="L1515" i="5" s="1"/>
  <c r="M1514" i="5"/>
  <c r="K1514" i="5"/>
  <c r="L1514" i="5" s="1"/>
  <c r="M1513" i="5"/>
  <c r="K1513" i="5"/>
  <c r="L1513" i="5" s="1"/>
  <c r="M1512" i="5"/>
  <c r="K1512" i="5"/>
  <c r="L1512" i="5" s="1"/>
  <c r="M1511" i="5"/>
  <c r="K1511" i="5"/>
  <c r="L1511" i="5" s="1"/>
  <c r="M1510" i="5"/>
  <c r="K1510" i="5"/>
  <c r="L1510" i="5" s="1"/>
  <c r="M1509" i="5"/>
  <c r="K1509" i="5"/>
  <c r="L1509" i="5" s="1"/>
  <c r="M1508" i="5"/>
  <c r="K1508" i="5"/>
  <c r="L1508" i="5" s="1"/>
  <c r="M1507" i="5"/>
  <c r="K1507" i="5"/>
  <c r="L1507" i="5" s="1"/>
  <c r="M1506" i="5"/>
  <c r="K1506" i="5"/>
  <c r="L1506" i="5" s="1"/>
  <c r="M1505" i="5"/>
  <c r="K1505" i="5"/>
  <c r="L1505" i="5" s="1"/>
  <c r="M1504" i="5"/>
  <c r="K1504" i="5"/>
  <c r="L1504" i="5" s="1"/>
  <c r="M1503" i="5"/>
  <c r="K1503" i="5"/>
  <c r="L1503" i="5" s="1"/>
  <c r="M1502" i="5"/>
  <c r="K1502" i="5"/>
  <c r="L1502" i="5" s="1"/>
  <c r="M1501" i="5"/>
  <c r="K1501" i="5"/>
  <c r="L1501" i="5" s="1"/>
  <c r="M1500" i="5"/>
  <c r="K1500" i="5"/>
  <c r="L1500" i="5" s="1"/>
  <c r="M1499" i="5"/>
  <c r="K1499" i="5"/>
  <c r="L1499" i="5" s="1"/>
  <c r="M1498" i="5"/>
  <c r="K1498" i="5"/>
  <c r="L1498" i="5" s="1"/>
  <c r="M1497" i="5"/>
  <c r="K1497" i="5"/>
  <c r="L1497" i="5" s="1"/>
  <c r="M1496" i="5"/>
  <c r="K1496" i="5"/>
  <c r="L1496" i="5" s="1"/>
  <c r="M1495" i="5"/>
  <c r="K1495" i="5"/>
  <c r="L1495" i="5" s="1"/>
  <c r="M1494" i="5"/>
  <c r="K1494" i="5"/>
  <c r="L1494" i="5" s="1"/>
  <c r="M1493" i="5"/>
  <c r="K1493" i="5"/>
  <c r="L1493" i="5" s="1"/>
  <c r="M1492" i="5"/>
  <c r="K1492" i="5"/>
  <c r="L1492" i="5" s="1"/>
  <c r="M1491" i="5"/>
  <c r="K1491" i="5"/>
  <c r="L1491" i="5" s="1"/>
  <c r="M1490" i="5"/>
  <c r="K1490" i="5"/>
  <c r="L1490" i="5" s="1"/>
  <c r="M1489" i="5"/>
  <c r="K1489" i="5"/>
  <c r="L1489" i="5" s="1"/>
  <c r="M1488" i="5"/>
  <c r="K1488" i="5"/>
  <c r="L1488" i="5" s="1"/>
  <c r="M1487" i="5"/>
  <c r="K1487" i="5"/>
  <c r="L1487" i="5" s="1"/>
  <c r="M1486" i="5"/>
  <c r="K1486" i="5"/>
  <c r="L1486" i="5" s="1"/>
  <c r="M1485" i="5"/>
  <c r="K1485" i="5"/>
  <c r="L1485" i="5" s="1"/>
  <c r="M1484" i="5"/>
  <c r="K1484" i="5"/>
  <c r="L1484" i="5" s="1"/>
  <c r="M1483" i="5"/>
  <c r="K1483" i="5"/>
  <c r="L1483" i="5" s="1"/>
  <c r="M1482" i="5"/>
  <c r="K1482" i="5"/>
  <c r="L1482" i="5" s="1"/>
  <c r="M1481" i="5"/>
  <c r="K1481" i="5"/>
  <c r="L1481" i="5" s="1"/>
  <c r="M1480" i="5"/>
  <c r="K1480" i="5"/>
  <c r="L1480" i="5" s="1"/>
  <c r="M1479" i="5"/>
  <c r="K1479" i="5"/>
  <c r="L1479" i="5" s="1"/>
  <c r="M1478" i="5"/>
  <c r="K1478" i="5"/>
  <c r="L1478" i="5" s="1"/>
  <c r="M1477" i="5"/>
  <c r="K1477" i="5"/>
  <c r="L1477" i="5" s="1"/>
  <c r="M1476" i="5"/>
  <c r="K1476" i="5"/>
  <c r="L1476" i="5" s="1"/>
  <c r="M1475" i="5"/>
  <c r="K1475" i="5"/>
  <c r="L1475" i="5" s="1"/>
  <c r="M1474" i="5"/>
  <c r="K1474" i="5"/>
  <c r="L1474" i="5" s="1"/>
  <c r="M1473" i="5"/>
  <c r="K1473" i="5"/>
  <c r="L1473" i="5" s="1"/>
  <c r="M1472" i="5"/>
  <c r="K1472" i="5"/>
  <c r="L1472" i="5" s="1"/>
  <c r="M1471" i="5"/>
  <c r="K1471" i="5"/>
  <c r="L1471" i="5" s="1"/>
  <c r="M1470" i="5"/>
  <c r="K1470" i="5"/>
  <c r="L1470" i="5" s="1"/>
  <c r="M1469" i="5"/>
  <c r="K1469" i="5"/>
  <c r="L1469" i="5" s="1"/>
  <c r="M1468" i="5"/>
  <c r="K1468" i="5"/>
  <c r="L1468" i="5" s="1"/>
  <c r="M1467" i="5"/>
  <c r="K1467" i="5"/>
  <c r="L1467" i="5" s="1"/>
  <c r="M1466" i="5"/>
  <c r="K1466" i="5"/>
  <c r="L1466" i="5" s="1"/>
  <c r="M1465" i="5"/>
  <c r="K1465" i="5"/>
  <c r="L1465" i="5" s="1"/>
  <c r="M1464" i="5"/>
  <c r="K1464" i="5"/>
  <c r="L1464" i="5" s="1"/>
  <c r="M1463" i="5"/>
  <c r="K1463" i="5"/>
  <c r="L1463" i="5" s="1"/>
  <c r="M1462" i="5"/>
  <c r="K1462" i="5"/>
  <c r="L1462" i="5" s="1"/>
  <c r="M1461" i="5"/>
  <c r="K1461" i="5"/>
  <c r="L1461" i="5" s="1"/>
  <c r="M1460" i="5"/>
  <c r="K1460" i="5"/>
  <c r="L1460" i="5" s="1"/>
  <c r="M1459" i="5"/>
  <c r="K1459" i="5"/>
  <c r="L1459" i="5" s="1"/>
  <c r="M1458" i="5"/>
  <c r="K1458" i="5"/>
  <c r="L1458" i="5" s="1"/>
  <c r="M1457" i="5"/>
  <c r="K1457" i="5"/>
  <c r="L1457" i="5" s="1"/>
  <c r="M1456" i="5"/>
  <c r="K1456" i="5"/>
  <c r="L1456" i="5" s="1"/>
  <c r="M1455" i="5"/>
  <c r="K1455" i="5"/>
  <c r="L1455" i="5" s="1"/>
  <c r="M1454" i="5"/>
  <c r="K1454" i="5"/>
  <c r="L1454" i="5" s="1"/>
  <c r="M1453" i="5"/>
  <c r="K1453" i="5"/>
  <c r="L1453" i="5" s="1"/>
  <c r="M1452" i="5"/>
  <c r="K1452" i="5"/>
  <c r="L1452" i="5" s="1"/>
  <c r="M1451" i="5"/>
  <c r="K1451" i="5"/>
  <c r="L1451" i="5" s="1"/>
  <c r="M1450" i="5"/>
  <c r="K1450" i="5"/>
  <c r="L1450" i="5" s="1"/>
  <c r="M1449" i="5"/>
  <c r="K1449" i="5"/>
  <c r="L1449" i="5" s="1"/>
  <c r="M1448" i="5"/>
  <c r="K1448" i="5"/>
  <c r="L1448" i="5" s="1"/>
  <c r="M1447" i="5"/>
  <c r="K1447" i="5"/>
  <c r="L1447" i="5" s="1"/>
  <c r="M1446" i="5"/>
  <c r="K1446" i="5"/>
  <c r="L1446" i="5" s="1"/>
  <c r="M1445" i="5"/>
  <c r="K1445" i="5"/>
  <c r="L1445" i="5" s="1"/>
  <c r="M1444" i="5"/>
  <c r="K1444" i="5"/>
  <c r="L1444" i="5" s="1"/>
  <c r="M1443" i="5"/>
  <c r="K1443" i="5"/>
  <c r="L1443" i="5" s="1"/>
  <c r="M1442" i="5"/>
  <c r="K1442" i="5"/>
  <c r="L1442" i="5" s="1"/>
  <c r="M1441" i="5"/>
  <c r="K1441" i="5"/>
  <c r="L1441" i="5" s="1"/>
  <c r="M1440" i="5"/>
  <c r="K1440" i="5"/>
  <c r="L1440" i="5" s="1"/>
  <c r="M1439" i="5"/>
  <c r="K1439" i="5"/>
  <c r="L1439" i="5" s="1"/>
  <c r="M1438" i="5"/>
  <c r="K1438" i="5"/>
  <c r="L1438" i="5" s="1"/>
  <c r="M1437" i="5"/>
  <c r="K1437" i="5"/>
  <c r="L1437" i="5" s="1"/>
  <c r="M1436" i="5"/>
  <c r="K1436" i="5"/>
  <c r="L1436" i="5" s="1"/>
  <c r="M1435" i="5"/>
  <c r="K1435" i="5"/>
  <c r="L1435" i="5" s="1"/>
  <c r="M1434" i="5"/>
  <c r="K1434" i="5"/>
  <c r="L1434" i="5" s="1"/>
  <c r="M1433" i="5"/>
  <c r="K1433" i="5"/>
  <c r="L1433" i="5" s="1"/>
  <c r="M1432" i="5"/>
  <c r="K1432" i="5"/>
  <c r="L1432" i="5" s="1"/>
  <c r="M1431" i="5"/>
  <c r="K1431" i="5"/>
  <c r="L1431" i="5" s="1"/>
  <c r="M1430" i="5"/>
  <c r="K1430" i="5"/>
  <c r="L1430" i="5" s="1"/>
  <c r="M1429" i="5"/>
  <c r="K1429" i="5"/>
  <c r="L1429" i="5" s="1"/>
  <c r="M1428" i="5"/>
  <c r="K1428" i="5"/>
  <c r="L1428" i="5" s="1"/>
  <c r="M1427" i="5"/>
  <c r="K1427" i="5"/>
  <c r="L1427" i="5" s="1"/>
  <c r="M1426" i="5"/>
  <c r="K1426" i="5"/>
  <c r="L1426" i="5" s="1"/>
  <c r="M1425" i="5"/>
  <c r="K1425" i="5"/>
  <c r="L1425" i="5" s="1"/>
  <c r="M1424" i="5"/>
  <c r="K1424" i="5"/>
  <c r="L1424" i="5" s="1"/>
  <c r="M1423" i="5"/>
  <c r="K1423" i="5"/>
  <c r="L1423" i="5" s="1"/>
  <c r="M1422" i="5"/>
  <c r="K1422" i="5"/>
  <c r="L1422" i="5" s="1"/>
  <c r="M1421" i="5"/>
  <c r="K1421" i="5"/>
  <c r="L1421" i="5" s="1"/>
  <c r="M1420" i="5"/>
  <c r="K1420" i="5"/>
  <c r="L1420" i="5" s="1"/>
  <c r="M1419" i="5"/>
  <c r="K1419" i="5"/>
  <c r="L1419" i="5" s="1"/>
  <c r="M1418" i="5"/>
  <c r="K1418" i="5"/>
  <c r="L1418" i="5" s="1"/>
  <c r="M1417" i="5"/>
  <c r="K1417" i="5"/>
  <c r="L1417" i="5" s="1"/>
  <c r="M1416" i="5"/>
  <c r="K1416" i="5"/>
  <c r="L1416" i="5" s="1"/>
  <c r="M1415" i="5"/>
  <c r="K1415" i="5"/>
  <c r="L1415" i="5" s="1"/>
  <c r="M1414" i="5"/>
  <c r="K1414" i="5"/>
  <c r="L1414" i="5" s="1"/>
  <c r="M1413" i="5"/>
  <c r="K1413" i="5"/>
  <c r="L1413" i="5" s="1"/>
  <c r="M1412" i="5"/>
  <c r="K1412" i="5"/>
  <c r="L1412" i="5" s="1"/>
  <c r="M1411" i="5"/>
  <c r="K1411" i="5"/>
  <c r="L1411" i="5" s="1"/>
  <c r="M1410" i="5"/>
  <c r="K1410" i="5"/>
  <c r="L1410" i="5" s="1"/>
  <c r="M1409" i="5"/>
  <c r="K1409" i="5"/>
  <c r="L1409" i="5" s="1"/>
  <c r="M1408" i="5"/>
  <c r="K1408" i="5"/>
  <c r="L1408" i="5" s="1"/>
  <c r="M1407" i="5"/>
  <c r="K1407" i="5"/>
  <c r="L1407" i="5" s="1"/>
  <c r="M1406" i="5"/>
  <c r="K1406" i="5"/>
  <c r="L1406" i="5" s="1"/>
  <c r="M1405" i="5"/>
  <c r="K1405" i="5"/>
  <c r="L1405" i="5" s="1"/>
  <c r="M1404" i="5"/>
  <c r="K1404" i="5"/>
  <c r="L1404" i="5" s="1"/>
  <c r="M1403" i="5"/>
  <c r="K1403" i="5"/>
  <c r="L1403" i="5" s="1"/>
  <c r="M1402" i="5"/>
  <c r="K1402" i="5"/>
  <c r="L1402" i="5" s="1"/>
  <c r="M1401" i="5"/>
  <c r="K1401" i="5"/>
  <c r="L1401" i="5" s="1"/>
  <c r="M1400" i="5"/>
  <c r="K1400" i="5"/>
  <c r="L1400" i="5" s="1"/>
  <c r="M1399" i="5"/>
  <c r="K1399" i="5"/>
  <c r="L1399" i="5" s="1"/>
  <c r="M1398" i="5"/>
  <c r="K1398" i="5"/>
  <c r="L1398" i="5" s="1"/>
  <c r="M1397" i="5"/>
  <c r="K1397" i="5"/>
  <c r="L1397" i="5" s="1"/>
  <c r="M1396" i="5"/>
  <c r="K1396" i="5"/>
  <c r="L1396" i="5" s="1"/>
  <c r="M1395" i="5"/>
  <c r="K1395" i="5"/>
  <c r="L1395" i="5" s="1"/>
  <c r="M1394" i="5"/>
  <c r="K1394" i="5"/>
  <c r="L1394" i="5" s="1"/>
  <c r="M1393" i="5"/>
  <c r="K1393" i="5"/>
  <c r="L1393" i="5" s="1"/>
  <c r="M1392" i="5"/>
  <c r="K1392" i="5"/>
  <c r="L1392" i="5" s="1"/>
  <c r="M1391" i="5"/>
  <c r="K1391" i="5"/>
  <c r="L1391" i="5" s="1"/>
  <c r="M1390" i="5"/>
  <c r="K1390" i="5"/>
  <c r="L1390" i="5" s="1"/>
  <c r="M1389" i="5"/>
  <c r="K1389" i="5"/>
  <c r="L1389" i="5" s="1"/>
  <c r="M1388" i="5"/>
  <c r="K1388" i="5"/>
  <c r="L1388" i="5" s="1"/>
  <c r="M1387" i="5"/>
  <c r="K1387" i="5"/>
  <c r="L1387" i="5" s="1"/>
  <c r="M1386" i="5"/>
  <c r="K1386" i="5"/>
  <c r="L1386" i="5" s="1"/>
  <c r="M1385" i="5"/>
  <c r="K1385" i="5"/>
  <c r="L1385" i="5" s="1"/>
  <c r="M1384" i="5"/>
  <c r="K1384" i="5"/>
  <c r="L1384" i="5" s="1"/>
  <c r="M1383" i="5"/>
  <c r="K1383" i="5"/>
  <c r="L1383" i="5" s="1"/>
  <c r="M1382" i="5"/>
  <c r="K1382" i="5"/>
  <c r="L1382" i="5" s="1"/>
  <c r="M1381" i="5"/>
  <c r="K1381" i="5"/>
  <c r="L1381" i="5" s="1"/>
  <c r="M1380" i="5"/>
  <c r="K1380" i="5"/>
  <c r="L1380" i="5" s="1"/>
  <c r="M1379" i="5"/>
  <c r="K1379" i="5"/>
  <c r="L1379" i="5" s="1"/>
  <c r="M1378" i="5"/>
  <c r="K1378" i="5"/>
  <c r="L1378" i="5" s="1"/>
  <c r="M1377" i="5"/>
  <c r="K1377" i="5"/>
  <c r="L1377" i="5" s="1"/>
  <c r="M1376" i="5"/>
  <c r="K1376" i="5"/>
  <c r="L1376" i="5" s="1"/>
  <c r="M1375" i="5"/>
  <c r="K1375" i="5"/>
  <c r="L1375" i="5" s="1"/>
  <c r="M1374" i="5"/>
  <c r="K1374" i="5"/>
  <c r="L1374" i="5" s="1"/>
  <c r="M1373" i="5"/>
  <c r="K1373" i="5"/>
  <c r="L1373" i="5" s="1"/>
  <c r="M1372" i="5"/>
  <c r="K1372" i="5"/>
  <c r="L1372" i="5" s="1"/>
  <c r="M1371" i="5"/>
  <c r="K1371" i="5"/>
  <c r="L1371" i="5" s="1"/>
  <c r="M1370" i="5"/>
  <c r="K1370" i="5"/>
  <c r="L1370" i="5" s="1"/>
  <c r="M1369" i="5"/>
  <c r="K1369" i="5"/>
  <c r="L1369" i="5" s="1"/>
  <c r="M1368" i="5"/>
  <c r="K1368" i="5"/>
  <c r="L1368" i="5" s="1"/>
  <c r="M1367" i="5"/>
  <c r="K1367" i="5"/>
  <c r="L1367" i="5" s="1"/>
  <c r="M1366" i="5"/>
  <c r="K1366" i="5"/>
  <c r="L1366" i="5" s="1"/>
  <c r="M1365" i="5"/>
  <c r="K1365" i="5"/>
  <c r="L1365" i="5" s="1"/>
  <c r="M1364" i="5"/>
  <c r="K1364" i="5"/>
  <c r="L1364" i="5" s="1"/>
  <c r="M1363" i="5"/>
  <c r="K1363" i="5"/>
  <c r="L1363" i="5" s="1"/>
  <c r="M1362" i="5"/>
  <c r="K1362" i="5"/>
  <c r="L1362" i="5" s="1"/>
  <c r="M1361" i="5"/>
  <c r="K1361" i="5"/>
  <c r="L1361" i="5" s="1"/>
  <c r="M1360" i="5"/>
  <c r="K1360" i="5"/>
  <c r="L1360" i="5" s="1"/>
  <c r="M1359" i="5"/>
  <c r="K1359" i="5"/>
  <c r="L1359" i="5" s="1"/>
  <c r="M1358" i="5"/>
  <c r="K1358" i="5"/>
  <c r="L1358" i="5" s="1"/>
  <c r="M1357" i="5"/>
  <c r="K1357" i="5"/>
  <c r="L1357" i="5" s="1"/>
  <c r="M1356" i="5"/>
  <c r="K1356" i="5"/>
  <c r="L1356" i="5" s="1"/>
  <c r="M1355" i="5"/>
  <c r="K1355" i="5"/>
  <c r="L1355" i="5" s="1"/>
  <c r="M1354" i="5"/>
  <c r="K1354" i="5"/>
  <c r="L1354" i="5" s="1"/>
  <c r="M1353" i="5"/>
  <c r="K1353" i="5"/>
  <c r="L1353" i="5" s="1"/>
  <c r="M1352" i="5"/>
  <c r="K1352" i="5"/>
  <c r="L1352" i="5" s="1"/>
  <c r="M1351" i="5"/>
  <c r="K1351" i="5"/>
  <c r="L1351" i="5" s="1"/>
  <c r="M1350" i="5"/>
  <c r="K1350" i="5"/>
  <c r="L1350" i="5" s="1"/>
  <c r="M1349" i="5"/>
  <c r="K1349" i="5"/>
  <c r="L1349" i="5" s="1"/>
  <c r="M1348" i="5"/>
  <c r="K1348" i="5"/>
  <c r="L1348" i="5" s="1"/>
  <c r="M1347" i="5"/>
  <c r="K1347" i="5"/>
  <c r="L1347" i="5" s="1"/>
  <c r="M1346" i="5"/>
  <c r="K1346" i="5"/>
  <c r="L1346" i="5" s="1"/>
  <c r="M1345" i="5"/>
  <c r="K1345" i="5"/>
  <c r="L1345" i="5" s="1"/>
  <c r="M1344" i="5"/>
  <c r="K1344" i="5"/>
  <c r="L1344" i="5" s="1"/>
  <c r="M1343" i="5"/>
  <c r="K1343" i="5"/>
  <c r="L1343" i="5" s="1"/>
  <c r="M1342" i="5"/>
  <c r="K1342" i="5"/>
  <c r="L1342" i="5" s="1"/>
  <c r="M1341" i="5"/>
  <c r="K1341" i="5"/>
  <c r="L1341" i="5" s="1"/>
  <c r="M1340" i="5"/>
  <c r="K1340" i="5"/>
  <c r="L1340" i="5" s="1"/>
  <c r="M1339" i="5"/>
  <c r="K1339" i="5"/>
  <c r="L1339" i="5" s="1"/>
  <c r="M1338" i="5"/>
  <c r="K1338" i="5"/>
  <c r="L1338" i="5" s="1"/>
  <c r="M1337" i="5"/>
  <c r="K1337" i="5"/>
  <c r="L1337" i="5" s="1"/>
  <c r="M1336" i="5"/>
  <c r="K1336" i="5"/>
  <c r="L1336" i="5" s="1"/>
  <c r="M1335" i="5"/>
  <c r="K1335" i="5"/>
  <c r="L1335" i="5" s="1"/>
  <c r="M1334" i="5"/>
  <c r="K1334" i="5"/>
  <c r="L1334" i="5" s="1"/>
  <c r="M1333" i="5"/>
  <c r="K1333" i="5"/>
  <c r="L1333" i="5" s="1"/>
  <c r="M1332" i="5"/>
  <c r="K1332" i="5"/>
  <c r="L1332" i="5" s="1"/>
  <c r="M1331" i="5"/>
  <c r="K1331" i="5"/>
  <c r="L1331" i="5" s="1"/>
  <c r="M1330" i="5"/>
  <c r="K1330" i="5"/>
  <c r="L1330" i="5" s="1"/>
  <c r="M1329" i="5"/>
  <c r="K1329" i="5"/>
  <c r="L1329" i="5" s="1"/>
  <c r="M1328" i="5"/>
  <c r="K1328" i="5"/>
  <c r="L1328" i="5" s="1"/>
  <c r="M1327" i="5"/>
  <c r="K1327" i="5"/>
  <c r="L1327" i="5" s="1"/>
  <c r="M1326" i="5"/>
  <c r="K1326" i="5"/>
  <c r="L1326" i="5" s="1"/>
  <c r="M1325" i="5"/>
  <c r="K1325" i="5"/>
  <c r="L1325" i="5" s="1"/>
  <c r="M1324" i="5"/>
  <c r="K1324" i="5"/>
  <c r="L1324" i="5" s="1"/>
  <c r="M1323" i="5"/>
  <c r="K1323" i="5"/>
  <c r="L1323" i="5" s="1"/>
  <c r="M1322" i="5"/>
  <c r="K1322" i="5"/>
  <c r="L1322" i="5" s="1"/>
  <c r="M1321" i="5"/>
  <c r="K1321" i="5"/>
  <c r="L1321" i="5" s="1"/>
  <c r="M1320" i="5"/>
  <c r="K1320" i="5"/>
  <c r="L1320" i="5" s="1"/>
  <c r="M1319" i="5"/>
  <c r="K1319" i="5"/>
  <c r="L1319" i="5" s="1"/>
  <c r="M1318" i="5"/>
  <c r="K1318" i="5"/>
  <c r="L1318" i="5" s="1"/>
  <c r="M1317" i="5"/>
  <c r="K1317" i="5"/>
  <c r="L1317" i="5" s="1"/>
  <c r="M1316" i="5"/>
  <c r="K1316" i="5"/>
  <c r="L1316" i="5" s="1"/>
  <c r="M1315" i="5"/>
  <c r="K1315" i="5"/>
  <c r="L1315" i="5" s="1"/>
  <c r="M1314" i="5"/>
  <c r="K1314" i="5"/>
  <c r="L1314" i="5" s="1"/>
  <c r="M1313" i="5"/>
  <c r="K1313" i="5"/>
  <c r="L1313" i="5" s="1"/>
  <c r="M1312" i="5"/>
  <c r="K1312" i="5"/>
  <c r="L1312" i="5" s="1"/>
  <c r="M1311" i="5"/>
  <c r="K1311" i="5"/>
  <c r="L1311" i="5" s="1"/>
  <c r="M1310" i="5"/>
  <c r="K1310" i="5"/>
  <c r="L1310" i="5" s="1"/>
  <c r="M1309" i="5"/>
  <c r="K1309" i="5"/>
  <c r="L1309" i="5" s="1"/>
  <c r="M1308" i="5"/>
  <c r="K1308" i="5"/>
  <c r="L1308" i="5" s="1"/>
  <c r="M1307" i="5"/>
  <c r="K1307" i="5"/>
  <c r="L1307" i="5" s="1"/>
  <c r="M1306" i="5"/>
  <c r="K1306" i="5"/>
  <c r="L1306" i="5" s="1"/>
  <c r="M1305" i="5"/>
  <c r="K1305" i="5"/>
  <c r="L1305" i="5" s="1"/>
  <c r="M1304" i="5"/>
  <c r="K1304" i="5"/>
  <c r="L1304" i="5" s="1"/>
  <c r="M1303" i="5"/>
  <c r="K1303" i="5"/>
  <c r="L1303" i="5" s="1"/>
  <c r="M1302" i="5"/>
  <c r="K1302" i="5"/>
  <c r="L1302" i="5" s="1"/>
  <c r="M1301" i="5"/>
  <c r="K1301" i="5"/>
  <c r="L1301" i="5" s="1"/>
  <c r="M1300" i="5"/>
  <c r="K1300" i="5"/>
  <c r="L1300" i="5" s="1"/>
  <c r="M1299" i="5"/>
  <c r="K1299" i="5"/>
  <c r="L1299" i="5" s="1"/>
  <c r="M1298" i="5"/>
  <c r="K1298" i="5"/>
  <c r="L1298" i="5" s="1"/>
  <c r="M1297" i="5"/>
  <c r="K1297" i="5"/>
  <c r="L1297" i="5" s="1"/>
  <c r="M1296" i="5"/>
  <c r="K1296" i="5"/>
  <c r="L1296" i="5" s="1"/>
  <c r="M1295" i="5"/>
  <c r="K1295" i="5"/>
  <c r="L1295" i="5" s="1"/>
  <c r="M1294" i="5"/>
  <c r="K1294" i="5"/>
  <c r="L1294" i="5" s="1"/>
  <c r="M1293" i="5"/>
  <c r="K1293" i="5"/>
  <c r="L1293" i="5" s="1"/>
  <c r="M1292" i="5"/>
  <c r="K1292" i="5"/>
  <c r="L1292" i="5" s="1"/>
  <c r="M1291" i="5"/>
  <c r="K1291" i="5"/>
  <c r="L1291" i="5" s="1"/>
  <c r="M1290" i="5"/>
  <c r="K1290" i="5"/>
  <c r="L1290" i="5" s="1"/>
  <c r="M1289" i="5"/>
  <c r="K1289" i="5"/>
  <c r="L1289" i="5" s="1"/>
  <c r="M1288" i="5"/>
  <c r="K1288" i="5"/>
  <c r="L1288" i="5" s="1"/>
  <c r="M1287" i="5"/>
  <c r="K1287" i="5"/>
  <c r="L1287" i="5" s="1"/>
  <c r="M1286" i="5"/>
  <c r="K1286" i="5"/>
  <c r="L1286" i="5" s="1"/>
  <c r="M1285" i="5"/>
  <c r="K1285" i="5"/>
  <c r="L1285" i="5" s="1"/>
  <c r="M1284" i="5"/>
  <c r="K1284" i="5"/>
  <c r="L1284" i="5" s="1"/>
  <c r="M1283" i="5"/>
  <c r="K1283" i="5"/>
  <c r="L1283" i="5" s="1"/>
  <c r="M1282" i="5"/>
  <c r="K1282" i="5"/>
  <c r="L1282" i="5" s="1"/>
  <c r="M1281" i="5"/>
  <c r="K1281" i="5"/>
  <c r="L1281" i="5" s="1"/>
  <c r="M1280" i="5"/>
  <c r="K1280" i="5"/>
  <c r="L1280" i="5" s="1"/>
  <c r="M1279" i="5"/>
  <c r="K1279" i="5"/>
  <c r="L1279" i="5" s="1"/>
  <c r="M1278" i="5"/>
  <c r="K1278" i="5"/>
  <c r="L1278" i="5" s="1"/>
  <c r="M1277" i="5"/>
  <c r="K1277" i="5"/>
  <c r="L1277" i="5" s="1"/>
  <c r="M1276" i="5"/>
  <c r="K1276" i="5"/>
  <c r="L1276" i="5" s="1"/>
  <c r="M1275" i="5"/>
  <c r="K1275" i="5"/>
  <c r="L1275" i="5" s="1"/>
  <c r="M1274" i="5"/>
  <c r="K1274" i="5"/>
  <c r="L1274" i="5" s="1"/>
  <c r="M1273" i="5"/>
  <c r="K1273" i="5"/>
  <c r="L1273" i="5" s="1"/>
  <c r="M1272" i="5"/>
  <c r="K1272" i="5"/>
  <c r="L1272" i="5" s="1"/>
  <c r="M1271" i="5"/>
  <c r="K1271" i="5"/>
  <c r="L1271" i="5" s="1"/>
  <c r="M1270" i="5"/>
  <c r="K1270" i="5"/>
  <c r="L1270" i="5" s="1"/>
  <c r="M1269" i="5"/>
  <c r="K1269" i="5"/>
  <c r="L1269" i="5" s="1"/>
  <c r="M1268" i="5"/>
  <c r="K1268" i="5"/>
  <c r="L1268" i="5" s="1"/>
  <c r="M1267" i="5"/>
  <c r="K1267" i="5"/>
  <c r="L1267" i="5" s="1"/>
  <c r="M1266" i="5"/>
  <c r="K1266" i="5"/>
  <c r="L1266" i="5" s="1"/>
  <c r="M1265" i="5"/>
  <c r="K1265" i="5"/>
  <c r="L1265" i="5" s="1"/>
  <c r="M1264" i="5"/>
  <c r="K1264" i="5"/>
  <c r="L1264" i="5" s="1"/>
  <c r="M1263" i="5"/>
  <c r="K1263" i="5"/>
  <c r="L1263" i="5" s="1"/>
  <c r="M1262" i="5"/>
  <c r="K1262" i="5"/>
  <c r="L1262" i="5" s="1"/>
  <c r="M1261" i="5"/>
  <c r="K1261" i="5"/>
  <c r="L1261" i="5" s="1"/>
  <c r="M1260" i="5"/>
  <c r="K1260" i="5"/>
  <c r="L1260" i="5" s="1"/>
  <c r="M1259" i="5"/>
  <c r="K1259" i="5"/>
  <c r="L1259" i="5" s="1"/>
  <c r="M1258" i="5"/>
  <c r="K1258" i="5"/>
  <c r="L1258" i="5" s="1"/>
  <c r="M1257" i="5"/>
  <c r="K1257" i="5"/>
  <c r="L1257" i="5" s="1"/>
  <c r="M1256" i="5"/>
  <c r="K1256" i="5"/>
  <c r="L1256" i="5" s="1"/>
  <c r="M1255" i="5"/>
  <c r="K1255" i="5"/>
  <c r="L1255" i="5" s="1"/>
  <c r="M1254" i="5"/>
  <c r="K1254" i="5"/>
  <c r="L1254" i="5" s="1"/>
  <c r="M1253" i="5"/>
  <c r="K1253" i="5"/>
  <c r="L1253" i="5" s="1"/>
  <c r="M1252" i="5"/>
  <c r="K1252" i="5"/>
  <c r="L1252" i="5" s="1"/>
  <c r="M1251" i="5"/>
  <c r="K1251" i="5"/>
  <c r="L1251" i="5" s="1"/>
  <c r="M1250" i="5"/>
  <c r="K1250" i="5"/>
  <c r="L1250" i="5" s="1"/>
  <c r="M1249" i="5"/>
  <c r="K1249" i="5"/>
  <c r="L1249" i="5" s="1"/>
  <c r="M1248" i="5"/>
  <c r="K1248" i="5"/>
  <c r="L1248" i="5" s="1"/>
  <c r="M1247" i="5"/>
  <c r="K1247" i="5"/>
  <c r="L1247" i="5" s="1"/>
  <c r="M1246" i="5"/>
  <c r="K1246" i="5"/>
  <c r="L1246" i="5" s="1"/>
  <c r="M1245" i="5"/>
  <c r="K1245" i="5"/>
  <c r="L1245" i="5" s="1"/>
  <c r="M1244" i="5"/>
  <c r="K1244" i="5"/>
  <c r="L1244" i="5" s="1"/>
  <c r="M1243" i="5"/>
  <c r="K1243" i="5"/>
  <c r="L1243" i="5" s="1"/>
  <c r="M1242" i="5"/>
  <c r="K1242" i="5"/>
  <c r="L1242" i="5" s="1"/>
  <c r="M1241" i="5"/>
  <c r="K1241" i="5"/>
  <c r="L1241" i="5" s="1"/>
  <c r="M1240" i="5"/>
  <c r="K1240" i="5"/>
  <c r="L1240" i="5" s="1"/>
  <c r="M1239" i="5"/>
  <c r="K1239" i="5"/>
  <c r="L1239" i="5" s="1"/>
  <c r="M1238" i="5"/>
  <c r="K1238" i="5"/>
  <c r="L1238" i="5" s="1"/>
  <c r="M1237" i="5"/>
  <c r="K1237" i="5"/>
  <c r="L1237" i="5" s="1"/>
  <c r="M1236" i="5"/>
  <c r="K1236" i="5"/>
  <c r="L1236" i="5" s="1"/>
  <c r="M1235" i="5"/>
  <c r="K1235" i="5"/>
  <c r="L1235" i="5" s="1"/>
  <c r="M1234" i="5"/>
  <c r="K1234" i="5"/>
  <c r="L1234" i="5" s="1"/>
  <c r="M1233" i="5"/>
  <c r="K1233" i="5"/>
  <c r="L1233" i="5" s="1"/>
  <c r="M1232" i="5"/>
  <c r="K1232" i="5"/>
  <c r="L1232" i="5" s="1"/>
  <c r="M1231" i="5"/>
  <c r="K1231" i="5"/>
  <c r="L1231" i="5" s="1"/>
  <c r="M1230" i="5"/>
  <c r="K1230" i="5"/>
  <c r="L1230" i="5" s="1"/>
  <c r="M1229" i="5"/>
  <c r="K1229" i="5"/>
  <c r="L1229" i="5" s="1"/>
  <c r="M1228" i="5"/>
  <c r="K1228" i="5"/>
  <c r="L1228" i="5" s="1"/>
  <c r="M1227" i="5"/>
  <c r="K1227" i="5"/>
  <c r="L1227" i="5" s="1"/>
  <c r="M1226" i="5"/>
  <c r="K1226" i="5"/>
  <c r="L1226" i="5" s="1"/>
  <c r="M1225" i="5"/>
  <c r="K1225" i="5"/>
  <c r="L1225" i="5" s="1"/>
  <c r="M1224" i="5"/>
  <c r="K1224" i="5"/>
  <c r="L1224" i="5" s="1"/>
  <c r="M1223" i="5"/>
  <c r="K1223" i="5"/>
  <c r="L1223" i="5" s="1"/>
  <c r="M1222" i="5"/>
  <c r="K1222" i="5"/>
  <c r="L1222" i="5" s="1"/>
  <c r="M1221" i="5"/>
  <c r="K1221" i="5"/>
  <c r="L1221" i="5" s="1"/>
  <c r="M1220" i="5"/>
  <c r="K1220" i="5"/>
  <c r="L1220" i="5" s="1"/>
  <c r="M1219" i="5"/>
  <c r="K1219" i="5"/>
  <c r="L1219" i="5" s="1"/>
  <c r="M1218" i="5"/>
  <c r="K1218" i="5"/>
  <c r="L1218" i="5" s="1"/>
  <c r="M1217" i="5"/>
  <c r="K1217" i="5"/>
  <c r="L1217" i="5" s="1"/>
  <c r="M1216" i="5"/>
  <c r="K1216" i="5"/>
  <c r="L1216" i="5" s="1"/>
  <c r="M1215" i="5"/>
  <c r="K1215" i="5"/>
  <c r="L1215" i="5" s="1"/>
  <c r="M1214" i="5"/>
  <c r="K1214" i="5"/>
  <c r="L1214" i="5" s="1"/>
  <c r="M1213" i="5"/>
  <c r="K1213" i="5"/>
  <c r="L1213" i="5" s="1"/>
  <c r="M1212" i="5"/>
  <c r="K1212" i="5"/>
  <c r="L1212" i="5" s="1"/>
  <c r="M1211" i="5"/>
  <c r="K1211" i="5"/>
  <c r="L1211" i="5" s="1"/>
  <c r="M1210" i="5"/>
  <c r="K1210" i="5"/>
  <c r="L1210" i="5" s="1"/>
  <c r="M1209" i="5"/>
  <c r="K1209" i="5"/>
  <c r="L1209" i="5" s="1"/>
  <c r="M1208" i="5"/>
  <c r="K1208" i="5"/>
  <c r="L1208" i="5" s="1"/>
  <c r="M1207" i="5"/>
  <c r="K1207" i="5"/>
  <c r="L1207" i="5" s="1"/>
  <c r="M1206" i="5"/>
  <c r="K1206" i="5"/>
  <c r="L1206" i="5" s="1"/>
  <c r="M1205" i="5"/>
  <c r="K1205" i="5"/>
  <c r="L1205" i="5" s="1"/>
  <c r="M1204" i="5"/>
  <c r="K1204" i="5"/>
  <c r="L1204" i="5" s="1"/>
  <c r="M1203" i="5"/>
  <c r="K1203" i="5"/>
  <c r="L1203" i="5" s="1"/>
  <c r="M1202" i="5"/>
  <c r="K1202" i="5"/>
  <c r="L1202" i="5" s="1"/>
  <c r="M1201" i="5"/>
  <c r="K1201" i="5"/>
  <c r="L1201" i="5" s="1"/>
  <c r="M1200" i="5"/>
  <c r="K1200" i="5"/>
  <c r="L1200" i="5" s="1"/>
  <c r="M1199" i="5"/>
  <c r="K1199" i="5"/>
  <c r="L1199" i="5" s="1"/>
  <c r="M1198" i="5"/>
  <c r="K1198" i="5"/>
  <c r="L1198" i="5" s="1"/>
  <c r="M1197" i="5"/>
  <c r="K1197" i="5"/>
  <c r="L1197" i="5" s="1"/>
  <c r="M1196" i="5"/>
  <c r="K1196" i="5"/>
  <c r="L1196" i="5" s="1"/>
  <c r="M1195" i="5"/>
  <c r="K1195" i="5"/>
  <c r="L1195" i="5" s="1"/>
  <c r="M1194" i="5"/>
  <c r="K1194" i="5"/>
  <c r="L1194" i="5" s="1"/>
  <c r="M1193" i="5"/>
  <c r="K1193" i="5"/>
  <c r="L1193" i="5" s="1"/>
  <c r="M1192" i="5"/>
  <c r="K1192" i="5"/>
  <c r="L1192" i="5" s="1"/>
  <c r="M1191" i="5"/>
  <c r="K1191" i="5"/>
  <c r="L1191" i="5" s="1"/>
  <c r="M1190" i="5"/>
  <c r="K1190" i="5"/>
  <c r="L1190" i="5" s="1"/>
  <c r="M1189" i="5"/>
  <c r="K1189" i="5"/>
  <c r="L1189" i="5" s="1"/>
  <c r="M1188" i="5"/>
  <c r="K1188" i="5"/>
  <c r="L1188" i="5" s="1"/>
  <c r="M1187" i="5"/>
  <c r="K1187" i="5"/>
  <c r="L1187" i="5" s="1"/>
  <c r="M1186" i="5"/>
  <c r="K1186" i="5"/>
  <c r="L1186" i="5" s="1"/>
  <c r="M1185" i="5"/>
  <c r="K1185" i="5"/>
  <c r="L1185" i="5" s="1"/>
  <c r="M1184" i="5"/>
  <c r="K1184" i="5"/>
  <c r="L1184" i="5" s="1"/>
  <c r="M1183" i="5"/>
  <c r="K1183" i="5"/>
  <c r="L1183" i="5" s="1"/>
  <c r="M1182" i="5"/>
  <c r="K1182" i="5"/>
  <c r="L1182" i="5" s="1"/>
  <c r="M1181" i="5"/>
  <c r="K1181" i="5"/>
  <c r="L1181" i="5" s="1"/>
  <c r="M1180" i="5"/>
  <c r="K1180" i="5"/>
  <c r="L1180" i="5" s="1"/>
  <c r="M1179" i="5"/>
  <c r="K1179" i="5"/>
  <c r="L1179" i="5" s="1"/>
  <c r="M1178" i="5"/>
  <c r="K1178" i="5"/>
  <c r="L1178" i="5" s="1"/>
  <c r="M1177" i="5"/>
  <c r="K1177" i="5"/>
  <c r="L1177" i="5" s="1"/>
  <c r="M1176" i="5"/>
  <c r="K1176" i="5"/>
  <c r="L1176" i="5" s="1"/>
  <c r="M1175" i="5"/>
  <c r="K1175" i="5"/>
  <c r="L1175" i="5" s="1"/>
  <c r="M1174" i="5"/>
  <c r="K1174" i="5"/>
  <c r="L1174" i="5" s="1"/>
  <c r="M1173" i="5"/>
  <c r="K1173" i="5"/>
  <c r="L1173" i="5" s="1"/>
  <c r="M1172" i="5"/>
  <c r="K1172" i="5"/>
  <c r="L1172" i="5" s="1"/>
  <c r="M1171" i="5"/>
  <c r="K1171" i="5"/>
  <c r="L1171" i="5" s="1"/>
  <c r="M1170" i="5"/>
  <c r="K1170" i="5"/>
  <c r="L1170" i="5" s="1"/>
  <c r="M1169" i="5"/>
  <c r="K1169" i="5"/>
  <c r="L1169" i="5" s="1"/>
  <c r="M1168" i="5"/>
  <c r="K1168" i="5"/>
  <c r="L1168" i="5" s="1"/>
  <c r="M1167" i="5"/>
  <c r="K1167" i="5"/>
  <c r="L1167" i="5" s="1"/>
  <c r="M1166" i="5"/>
  <c r="K1166" i="5"/>
  <c r="L1166" i="5" s="1"/>
  <c r="M1165" i="5"/>
  <c r="K1165" i="5"/>
  <c r="L1165" i="5" s="1"/>
  <c r="M1164" i="5"/>
  <c r="K1164" i="5"/>
  <c r="L1164" i="5" s="1"/>
  <c r="M1163" i="5"/>
  <c r="K1163" i="5"/>
  <c r="L1163" i="5" s="1"/>
  <c r="M1162" i="5"/>
  <c r="K1162" i="5"/>
  <c r="L1162" i="5" s="1"/>
  <c r="M1161" i="5"/>
  <c r="K1161" i="5"/>
  <c r="L1161" i="5" s="1"/>
  <c r="M1160" i="5"/>
  <c r="K1160" i="5"/>
  <c r="L1160" i="5" s="1"/>
  <c r="M1159" i="5"/>
  <c r="K1159" i="5"/>
  <c r="L1159" i="5" s="1"/>
  <c r="M1158" i="5"/>
  <c r="K1158" i="5"/>
  <c r="L1158" i="5" s="1"/>
  <c r="M1157" i="5"/>
  <c r="K1157" i="5"/>
  <c r="L1157" i="5" s="1"/>
  <c r="M1156" i="5"/>
  <c r="K1156" i="5"/>
  <c r="L1156" i="5" s="1"/>
  <c r="M1155" i="5"/>
  <c r="K1155" i="5"/>
  <c r="L1155" i="5" s="1"/>
  <c r="M1154" i="5"/>
  <c r="K1154" i="5"/>
  <c r="L1154" i="5" s="1"/>
  <c r="M1153" i="5"/>
  <c r="K1153" i="5"/>
  <c r="L1153" i="5" s="1"/>
  <c r="M1152" i="5"/>
  <c r="K1152" i="5"/>
  <c r="L1152" i="5" s="1"/>
  <c r="M1151" i="5"/>
  <c r="K1151" i="5"/>
  <c r="L1151" i="5" s="1"/>
  <c r="M1150" i="5"/>
  <c r="K1150" i="5"/>
  <c r="L1150" i="5" s="1"/>
  <c r="M1149" i="5"/>
  <c r="K1149" i="5"/>
  <c r="L1149" i="5" s="1"/>
  <c r="M1148" i="5"/>
  <c r="K1148" i="5"/>
  <c r="L1148" i="5" s="1"/>
  <c r="M1147" i="5"/>
  <c r="K1147" i="5"/>
  <c r="L1147" i="5" s="1"/>
  <c r="M1146" i="5"/>
  <c r="K1146" i="5"/>
  <c r="L1146" i="5" s="1"/>
  <c r="M1145" i="5"/>
  <c r="K1145" i="5"/>
  <c r="L1145" i="5" s="1"/>
  <c r="M1144" i="5"/>
  <c r="K1144" i="5"/>
  <c r="L1144" i="5" s="1"/>
  <c r="M1143" i="5"/>
  <c r="K1143" i="5"/>
  <c r="L1143" i="5" s="1"/>
  <c r="M1142" i="5"/>
  <c r="K1142" i="5"/>
  <c r="L1142" i="5" s="1"/>
  <c r="M1141" i="5"/>
  <c r="K1141" i="5"/>
  <c r="L1141" i="5" s="1"/>
  <c r="M1140" i="5"/>
  <c r="K1140" i="5"/>
  <c r="L1140" i="5" s="1"/>
  <c r="M1139" i="5"/>
  <c r="K1139" i="5"/>
  <c r="L1139" i="5" s="1"/>
  <c r="M1138" i="5"/>
  <c r="K1138" i="5"/>
  <c r="L1138" i="5" s="1"/>
  <c r="M1137" i="5"/>
  <c r="K1137" i="5"/>
  <c r="L1137" i="5" s="1"/>
  <c r="M1136" i="5"/>
  <c r="K1136" i="5"/>
  <c r="L1136" i="5" s="1"/>
  <c r="M1135" i="5"/>
  <c r="K1135" i="5"/>
  <c r="L1135" i="5" s="1"/>
  <c r="M1134" i="5"/>
  <c r="K1134" i="5"/>
  <c r="L1134" i="5" s="1"/>
  <c r="M1133" i="5"/>
  <c r="K1133" i="5"/>
  <c r="L1133" i="5" s="1"/>
  <c r="M1132" i="5"/>
  <c r="K1132" i="5"/>
  <c r="L1132" i="5" s="1"/>
  <c r="M1131" i="5"/>
  <c r="K1131" i="5"/>
  <c r="L1131" i="5" s="1"/>
  <c r="M1130" i="5"/>
  <c r="K1130" i="5"/>
  <c r="L1130" i="5" s="1"/>
  <c r="M1129" i="5"/>
  <c r="K1129" i="5"/>
  <c r="L1129" i="5" s="1"/>
  <c r="M1128" i="5"/>
  <c r="K1128" i="5"/>
  <c r="L1128" i="5" s="1"/>
  <c r="M1127" i="5"/>
  <c r="K1127" i="5"/>
  <c r="L1127" i="5" s="1"/>
  <c r="M1126" i="5"/>
  <c r="K1126" i="5"/>
  <c r="L1126" i="5" s="1"/>
  <c r="M1125" i="5"/>
  <c r="K1125" i="5"/>
  <c r="L1125" i="5" s="1"/>
  <c r="M1124" i="5"/>
  <c r="K1124" i="5"/>
  <c r="L1124" i="5" s="1"/>
  <c r="M1123" i="5"/>
  <c r="K1123" i="5"/>
  <c r="L1123" i="5" s="1"/>
  <c r="M1122" i="5"/>
  <c r="K1122" i="5"/>
  <c r="L1122" i="5" s="1"/>
  <c r="M1121" i="5"/>
  <c r="K1121" i="5"/>
  <c r="L1121" i="5" s="1"/>
  <c r="M1120" i="5"/>
  <c r="K1120" i="5"/>
  <c r="L1120" i="5" s="1"/>
  <c r="M1119" i="5"/>
  <c r="K1119" i="5"/>
  <c r="L1119" i="5" s="1"/>
  <c r="M1118" i="5"/>
  <c r="K1118" i="5"/>
  <c r="L1118" i="5" s="1"/>
  <c r="M1117" i="5"/>
  <c r="K1117" i="5"/>
  <c r="L1117" i="5" s="1"/>
  <c r="M1116" i="5"/>
  <c r="K1116" i="5"/>
  <c r="L1116" i="5" s="1"/>
  <c r="M1115" i="5"/>
  <c r="K1115" i="5"/>
  <c r="L1115" i="5" s="1"/>
  <c r="M1114" i="5"/>
  <c r="K1114" i="5"/>
  <c r="L1114" i="5" s="1"/>
  <c r="M1113" i="5"/>
  <c r="K1113" i="5"/>
  <c r="L1113" i="5" s="1"/>
  <c r="M1112" i="5"/>
  <c r="K1112" i="5"/>
  <c r="L1112" i="5" s="1"/>
  <c r="M1111" i="5"/>
  <c r="K1111" i="5"/>
  <c r="L1111" i="5" s="1"/>
  <c r="M1110" i="5"/>
  <c r="K1110" i="5"/>
  <c r="L1110" i="5" s="1"/>
  <c r="M1109" i="5"/>
  <c r="K1109" i="5"/>
  <c r="L1109" i="5" s="1"/>
  <c r="M1108" i="5"/>
  <c r="K1108" i="5"/>
  <c r="L1108" i="5" s="1"/>
  <c r="M1107" i="5"/>
  <c r="K1107" i="5"/>
  <c r="L1107" i="5" s="1"/>
  <c r="M1106" i="5"/>
  <c r="K1106" i="5"/>
  <c r="L1106" i="5" s="1"/>
  <c r="M1105" i="5"/>
  <c r="K1105" i="5"/>
  <c r="L1105" i="5" s="1"/>
  <c r="M1104" i="5"/>
  <c r="K1104" i="5"/>
  <c r="L1104" i="5" s="1"/>
  <c r="M1103" i="5"/>
  <c r="K1103" i="5"/>
  <c r="L1103" i="5" s="1"/>
  <c r="M1102" i="5"/>
  <c r="K1102" i="5"/>
  <c r="L1102" i="5" s="1"/>
  <c r="M1101" i="5"/>
  <c r="K1101" i="5"/>
  <c r="L1101" i="5" s="1"/>
  <c r="M1100" i="5"/>
  <c r="K1100" i="5"/>
  <c r="L1100" i="5" s="1"/>
  <c r="M1099" i="5"/>
  <c r="K1099" i="5"/>
  <c r="L1099" i="5" s="1"/>
  <c r="M1098" i="5"/>
  <c r="K1098" i="5"/>
  <c r="L1098" i="5" s="1"/>
  <c r="M1097" i="5"/>
  <c r="K1097" i="5"/>
  <c r="L1097" i="5" s="1"/>
  <c r="M1096" i="5"/>
  <c r="K1096" i="5"/>
  <c r="L1096" i="5" s="1"/>
  <c r="M1095" i="5"/>
  <c r="K1095" i="5"/>
  <c r="L1095" i="5" s="1"/>
  <c r="M1094" i="5"/>
  <c r="K1094" i="5"/>
  <c r="L1094" i="5" s="1"/>
  <c r="M1093" i="5"/>
  <c r="K1093" i="5"/>
  <c r="L1093" i="5" s="1"/>
  <c r="M1092" i="5"/>
  <c r="K1092" i="5"/>
  <c r="L1092" i="5" s="1"/>
  <c r="M1091" i="5"/>
  <c r="K1091" i="5"/>
  <c r="L1091" i="5" s="1"/>
  <c r="M1090" i="5"/>
  <c r="K1090" i="5"/>
  <c r="L1090" i="5" s="1"/>
  <c r="M1089" i="5"/>
  <c r="K1089" i="5"/>
  <c r="L1089" i="5" s="1"/>
  <c r="M1088" i="5"/>
  <c r="K1088" i="5"/>
  <c r="L1088" i="5" s="1"/>
  <c r="M1087" i="5"/>
  <c r="K1087" i="5"/>
  <c r="L1087" i="5" s="1"/>
  <c r="M1086" i="5"/>
  <c r="K1086" i="5"/>
  <c r="L1086" i="5" s="1"/>
  <c r="M1085" i="5"/>
  <c r="K1085" i="5"/>
  <c r="L1085" i="5" s="1"/>
  <c r="M1084" i="5"/>
  <c r="K1084" i="5"/>
  <c r="L1084" i="5" s="1"/>
  <c r="M1083" i="5"/>
  <c r="K1083" i="5"/>
  <c r="L1083" i="5" s="1"/>
  <c r="M1082" i="5"/>
  <c r="K1082" i="5"/>
  <c r="L1082" i="5" s="1"/>
  <c r="M1081" i="5"/>
  <c r="K1081" i="5"/>
  <c r="L1081" i="5" s="1"/>
  <c r="M1080" i="5"/>
  <c r="K1080" i="5"/>
  <c r="L1080" i="5" s="1"/>
  <c r="M1079" i="5"/>
  <c r="K1079" i="5"/>
  <c r="L1079" i="5" s="1"/>
  <c r="M1078" i="5"/>
  <c r="K1078" i="5"/>
  <c r="L1078" i="5" s="1"/>
  <c r="M1077" i="5"/>
  <c r="K1077" i="5"/>
  <c r="L1077" i="5" s="1"/>
  <c r="M1076" i="5"/>
  <c r="K1076" i="5"/>
  <c r="L1076" i="5" s="1"/>
  <c r="M1075" i="5"/>
  <c r="K1075" i="5"/>
  <c r="L1075" i="5" s="1"/>
  <c r="M1074" i="5"/>
  <c r="K1074" i="5"/>
  <c r="L1074" i="5" s="1"/>
  <c r="M1073" i="5"/>
  <c r="K1073" i="5"/>
  <c r="L1073" i="5" s="1"/>
  <c r="M1072" i="5"/>
  <c r="K1072" i="5"/>
  <c r="L1072" i="5" s="1"/>
  <c r="M1071" i="5"/>
  <c r="K1071" i="5"/>
  <c r="L1071" i="5" s="1"/>
  <c r="M1070" i="5"/>
  <c r="K1070" i="5"/>
  <c r="L1070" i="5" s="1"/>
  <c r="M1069" i="5"/>
  <c r="K1069" i="5"/>
  <c r="L1069" i="5" s="1"/>
  <c r="M1068" i="5"/>
  <c r="K1068" i="5"/>
  <c r="L1068" i="5" s="1"/>
  <c r="M1067" i="5"/>
  <c r="K1067" i="5"/>
  <c r="L1067" i="5" s="1"/>
  <c r="M1066" i="5"/>
  <c r="K1066" i="5"/>
  <c r="L1066" i="5" s="1"/>
  <c r="M1065" i="5"/>
  <c r="K1065" i="5"/>
  <c r="L1065" i="5" s="1"/>
  <c r="M1064" i="5"/>
  <c r="K1064" i="5"/>
  <c r="L1064" i="5" s="1"/>
  <c r="M1063" i="5"/>
  <c r="K1063" i="5"/>
  <c r="L1063" i="5" s="1"/>
  <c r="M1062" i="5"/>
  <c r="K1062" i="5"/>
  <c r="L1062" i="5" s="1"/>
  <c r="M1061" i="5"/>
  <c r="K1061" i="5"/>
  <c r="L1061" i="5" s="1"/>
  <c r="M1060" i="5"/>
  <c r="K1060" i="5"/>
  <c r="L1060" i="5" s="1"/>
  <c r="M1059" i="5"/>
  <c r="K1059" i="5"/>
  <c r="L1059" i="5" s="1"/>
  <c r="M1058" i="5"/>
  <c r="K1058" i="5"/>
  <c r="L1058" i="5" s="1"/>
  <c r="M1057" i="5"/>
  <c r="K1057" i="5"/>
  <c r="L1057" i="5" s="1"/>
  <c r="M1056" i="5"/>
  <c r="K1056" i="5"/>
  <c r="L1056" i="5" s="1"/>
  <c r="M1055" i="5"/>
  <c r="K1055" i="5"/>
  <c r="L1055" i="5" s="1"/>
  <c r="M1054" i="5"/>
  <c r="K1054" i="5"/>
  <c r="L1054" i="5" s="1"/>
  <c r="M1053" i="5"/>
  <c r="K1053" i="5"/>
  <c r="L1053" i="5" s="1"/>
  <c r="M1052" i="5"/>
  <c r="K1052" i="5"/>
  <c r="L1052" i="5" s="1"/>
  <c r="M1051" i="5"/>
  <c r="K1051" i="5"/>
  <c r="L1051" i="5" s="1"/>
  <c r="M1050" i="5"/>
  <c r="K1050" i="5"/>
  <c r="L1050" i="5" s="1"/>
  <c r="M1049" i="5"/>
  <c r="K1049" i="5"/>
  <c r="L1049" i="5" s="1"/>
  <c r="M1048" i="5"/>
  <c r="K1048" i="5"/>
  <c r="L1048" i="5" s="1"/>
  <c r="M1047" i="5"/>
  <c r="K1047" i="5"/>
  <c r="L1047" i="5" s="1"/>
  <c r="M1046" i="5"/>
  <c r="K1046" i="5"/>
  <c r="L1046" i="5" s="1"/>
  <c r="M1045" i="5"/>
  <c r="K1045" i="5"/>
  <c r="L1045" i="5" s="1"/>
  <c r="M1044" i="5"/>
  <c r="K1044" i="5"/>
  <c r="L1044" i="5" s="1"/>
  <c r="M1043" i="5"/>
  <c r="K1043" i="5"/>
  <c r="L1043" i="5" s="1"/>
  <c r="M1042" i="5"/>
  <c r="K1042" i="5"/>
  <c r="L1042" i="5" s="1"/>
  <c r="M1041" i="5"/>
  <c r="K1041" i="5"/>
  <c r="L1041" i="5" s="1"/>
  <c r="M1040" i="5"/>
  <c r="K1040" i="5"/>
  <c r="L1040" i="5" s="1"/>
  <c r="M1039" i="5"/>
  <c r="K1039" i="5"/>
  <c r="L1039" i="5" s="1"/>
  <c r="M1038" i="5"/>
  <c r="K1038" i="5"/>
  <c r="L1038" i="5" s="1"/>
  <c r="M1037" i="5"/>
  <c r="K1037" i="5"/>
  <c r="L1037" i="5" s="1"/>
  <c r="M1036" i="5"/>
  <c r="K1036" i="5"/>
  <c r="L1036" i="5" s="1"/>
  <c r="M1035" i="5"/>
  <c r="K1035" i="5"/>
  <c r="L1035" i="5" s="1"/>
  <c r="M1034" i="5"/>
  <c r="K1034" i="5"/>
  <c r="L1034" i="5" s="1"/>
  <c r="M1033" i="5"/>
  <c r="K1033" i="5"/>
  <c r="L1033" i="5" s="1"/>
  <c r="M1032" i="5"/>
  <c r="K1032" i="5"/>
  <c r="L1032" i="5" s="1"/>
  <c r="M1031" i="5"/>
  <c r="K1031" i="5"/>
  <c r="L1031" i="5" s="1"/>
  <c r="M1030" i="5"/>
  <c r="K1030" i="5"/>
  <c r="L1030" i="5" s="1"/>
  <c r="M1029" i="5"/>
  <c r="K1029" i="5"/>
  <c r="L1029" i="5" s="1"/>
  <c r="M1028" i="5"/>
  <c r="K1028" i="5"/>
  <c r="L1028" i="5" s="1"/>
  <c r="M1027" i="5"/>
  <c r="K1027" i="5"/>
  <c r="L1027" i="5" s="1"/>
  <c r="M1026" i="5"/>
  <c r="K1026" i="5"/>
  <c r="L1026" i="5" s="1"/>
  <c r="M1025" i="5"/>
  <c r="K1025" i="5"/>
  <c r="L1025" i="5" s="1"/>
  <c r="M1024" i="5"/>
  <c r="K1024" i="5"/>
  <c r="L1024" i="5" s="1"/>
  <c r="M1023" i="5"/>
  <c r="K1023" i="5"/>
  <c r="L1023" i="5" s="1"/>
  <c r="M1022" i="5"/>
  <c r="K1022" i="5"/>
  <c r="L1022" i="5" s="1"/>
  <c r="M1021" i="5"/>
  <c r="K1021" i="5"/>
  <c r="L1021" i="5" s="1"/>
  <c r="M1020" i="5"/>
  <c r="K1020" i="5"/>
  <c r="L1020" i="5" s="1"/>
  <c r="M1019" i="5"/>
  <c r="K1019" i="5"/>
  <c r="L1019" i="5" s="1"/>
  <c r="M1018" i="5"/>
  <c r="K1018" i="5"/>
  <c r="L1018" i="5" s="1"/>
  <c r="M1017" i="5"/>
  <c r="K1017" i="5"/>
  <c r="L1017" i="5" s="1"/>
  <c r="M1016" i="5"/>
  <c r="K1016" i="5"/>
  <c r="L1016" i="5" s="1"/>
  <c r="M1015" i="5"/>
  <c r="K1015" i="5"/>
  <c r="L1015" i="5" s="1"/>
  <c r="M1014" i="5"/>
  <c r="K1014" i="5"/>
  <c r="L1014" i="5" s="1"/>
  <c r="M1013" i="5"/>
  <c r="K1013" i="5"/>
  <c r="L1013" i="5" s="1"/>
  <c r="M1012" i="5"/>
  <c r="K1012" i="5"/>
  <c r="L1012" i="5" s="1"/>
  <c r="M1011" i="5"/>
  <c r="K1011" i="5"/>
  <c r="L1011" i="5" s="1"/>
  <c r="M1010" i="5"/>
  <c r="K1010" i="5"/>
  <c r="L1010" i="5" s="1"/>
  <c r="M1009" i="5"/>
  <c r="K1009" i="5"/>
  <c r="L1009" i="5" s="1"/>
  <c r="M1008" i="5"/>
  <c r="K1008" i="5"/>
  <c r="L1008" i="5" s="1"/>
  <c r="M1007" i="5"/>
  <c r="K1007" i="5"/>
  <c r="L1007" i="5" s="1"/>
  <c r="M1006" i="5"/>
  <c r="K1006" i="5"/>
  <c r="L1006" i="5" s="1"/>
  <c r="M1005" i="5"/>
  <c r="K1005" i="5"/>
  <c r="L1005" i="5" s="1"/>
  <c r="M1004" i="5"/>
  <c r="K1004" i="5"/>
  <c r="L1004" i="5" s="1"/>
  <c r="M1003" i="5"/>
  <c r="K1003" i="5"/>
  <c r="L1003" i="5" s="1"/>
  <c r="M1002" i="5"/>
  <c r="K1002" i="5"/>
  <c r="L1002" i="5" s="1"/>
  <c r="M1001" i="5"/>
  <c r="K1001" i="5"/>
  <c r="L1001" i="5" s="1"/>
  <c r="M1000" i="5"/>
  <c r="K1000" i="5"/>
  <c r="L1000" i="5" s="1"/>
  <c r="M999" i="5"/>
  <c r="K999" i="5"/>
  <c r="L999" i="5" s="1"/>
  <c r="M998" i="5"/>
  <c r="K998" i="5"/>
  <c r="L998" i="5" s="1"/>
  <c r="M997" i="5"/>
  <c r="K997" i="5"/>
  <c r="L997" i="5" s="1"/>
  <c r="M996" i="5"/>
  <c r="K996" i="5"/>
  <c r="L996" i="5" s="1"/>
  <c r="M995" i="5"/>
  <c r="K995" i="5"/>
  <c r="L995" i="5" s="1"/>
  <c r="M994" i="5"/>
  <c r="K994" i="5"/>
  <c r="L994" i="5" s="1"/>
  <c r="M993" i="5"/>
  <c r="K993" i="5"/>
  <c r="L993" i="5" s="1"/>
  <c r="M992" i="5"/>
  <c r="K992" i="5"/>
  <c r="L992" i="5" s="1"/>
  <c r="M991" i="5"/>
  <c r="K991" i="5"/>
  <c r="L991" i="5" s="1"/>
  <c r="M990" i="5"/>
  <c r="K990" i="5"/>
  <c r="L990" i="5" s="1"/>
  <c r="M989" i="5"/>
  <c r="K989" i="5"/>
  <c r="L989" i="5" s="1"/>
  <c r="M988" i="5"/>
  <c r="K988" i="5"/>
  <c r="L988" i="5" s="1"/>
  <c r="M987" i="5"/>
  <c r="K987" i="5"/>
  <c r="L987" i="5" s="1"/>
  <c r="M986" i="5"/>
  <c r="K986" i="5"/>
  <c r="L986" i="5" s="1"/>
  <c r="M985" i="5"/>
  <c r="K985" i="5"/>
  <c r="L985" i="5" s="1"/>
  <c r="M984" i="5"/>
  <c r="K984" i="5"/>
  <c r="L984" i="5" s="1"/>
  <c r="M983" i="5"/>
  <c r="K983" i="5"/>
  <c r="L983" i="5" s="1"/>
  <c r="M982" i="5"/>
  <c r="K982" i="5"/>
  <c r="L982" i="5" s="1"/>
  <c r="M981" i="5"/>
  <c r="K981" i="5"/>
  <c r="L981" i="5" s="1"/>
  <c r="M980" i="5"/>
  <c r="K980" i="5"/>
  <c r="L980" i="5" s="1"/>
  <c r="M979" i="5"/>
  <c r="K979" i="5"/>
  <c r="L979" i="5" s="1"/>
  <c r="M978" i="5"/>
  <c r="K978" i="5"/>
  <c r="L978" i="5" s="1"/>
  <c r="M977" i="5"/>
  <c r="K977" i="5"/>
  <c r="L977" i="5" s="1"/>
  <c r="M976" i="5"/>
  <c r="K976" i="5"/>
  <c r="L976" i="5" s="1"/>
  <c r="M975" i="5"/>
  <c r="K975" i="5"/>
  <c r="L975" i="5" s="1"/>
  <c r="M974" i="5"/>
  <c r="K974" i="5"/>
  <c r="L974" i="5" s="1"/>
  <c r="M973" i="5"/>
  <c r="K973" i="5"/>
  <c r="L973" i="5" s="1"/>
  <c r="M972" i="5"/>
  <c r="K972" i="5"/>
  <c r="L972" i="5" s="1"/>
  <c r="M971" i="5"/>
  <c r="K971" i="5"/>
  <c r="L971" i="5" s="1"/>
  <c r="M970" i="5"/>
  <c r="K970" i="5"/>
  <c r="L970" i="5" s="1"/>
  <c r="M969" i="5"/>
  <c r="K969" i="5"/>
  <c r="L969" i="5" s="1"/>
  <c r="M968" i="5"/>
  <c r="K968" i="5"/>
  <c r="L968" i="5" s="1"/>
  <c r="M967" i="5"/>
  <c r="K967" i="5"/>
  <c r="L967" i="5" s="1"/>
  <c r="M966" i="5"/>
  <c r="K966" i="5"/>
  <c r="L966" i="5" s="1"/>
  <c r="M965" i="5"/>
  <c r="K965" i="5"/>
  <c r="L965" i="5" s="1"/>
  <c r="M964" i="5"/>
  <c r="K964" i="5"/>
  <c r="L964" i="5" s="1"/>
  <c r="M963" i="5"/>
  <c r="K963" i="5"/>
  <c r="L963" i="5" s="1"/>
  <c r="M962" i="5"/>
  <c r="K962" i="5"/>
  <c r="L962" i="5" s="1"/>
  <c r="M961" i="5"/>
  <c r="K961" i="5"/>
  <c r="L961" i="5" s="1"/>
  <c r="M960" i="5"/>
  <c r="K960" i="5"/>
  <c r="L960" i="5" s="1"/>
  <c r="M959" i="5"/>
  <c r="K959" i="5"/>
  <c r="L959" i="5" s="1"/>
  <c r="M958" i="5"/>
  <c r="K958" i="5"/>
  <c r="L958" i="5" s="1"/>
  <c r="M957" i="5"/>
  <c r="K957" i="5"/>
  <c r="L957" i="5" s="1"/>
  <c r="M956" i="5"/>
  <c r="K956" i="5"/>
  <c r="L956" i="5" s="1"/>
  <c r="M955" i="5"/>
  <c r="K955" i="5"/>
  <c r="L955" i="5" s="1"/>
  <c r="M954" i="5"/>
  <c r="K954" i="5"/>
  <c r="L954" i="5" s="1"/>
  <c r="M953" i="5"/>
  <c r="K953" i="5"/>
  <c r="L953" i="5" s="1"/>
  <c r="M952" i="5"/>
  <c r="K952" i="5"/>
  <c r="L952" i="5" s="1"/>
  <c r="M951" i="5"/>
  <c r="K951" i="5"/>
  <c r="L951" i="5" s="1"/>
  <c r="M950" i="5"/>
  <c r="K950" i="5"/>
  <c r="L950" i="5" s="1"/>
  <c r="M949" i="5"/>
  <c r="K949" i="5"/>
  <c r="L949" i="5" s="1"/>
  <c r="M948" i="5"/>
  <c r="K948" i="5"/>
  <c r="L948" i="5" s="1"/>
  <c r="M947" i="5"/>
  <c r="K947" i="5"/>
  <c r="L947" i="5" s="1"/>
  <c r="M946" i="5"/>
  <c r="K946" i="5"/>
  <c r="L946" i="5" s="1"/>
  <c r="M945" i="5"/>
  <c r="K945" i="5"/>
  <c r="L945" i="5" s="1"/>
  <c r="M944" i="5"/>
  <c r="K944" i="5"/>
  <c r="L944" i="5" s="1"/>
  <c r="M943" i="5"/>
  <c r="K943" i="5"/>
  <c r="L943" i="5" s="1"/>
  <c r="M942" i="5"/>
  <c r="K942" i="5"/>
  <c r="L942" i="5" s="1"/>
  <c r="M941" i="5"/>
  <c r="K941" i="5"/>
  <c r="L941" i="5" s="1"/>
  <c r="M940" i="5"/>
  <c r="K940" i="5"/>
  <c r="L940" i="5" s="1"/>
  <c r="M939" i="5"/>
  <c r="K939" i="5"/>
  <c r="L939" i="5" s="1"/>
  <c r="M938" i="5"/>
  <c r="K938" i="5"/>
  <c r="L938" i="5" s="1"/>
  <c r="M937" i="5"/>
  <c r="K937" i="5"/>
  <c r="L937" i="5" s="1"/>
  <c r="M936" i="5"/>
  <c r="K936" i="5"/>
  <c r="L936" i="5" s="1"/>
  <c r="M935" i="5"/>
  <c r="K935" i="5"/>
  <c r="L935" i="5" s="1"/>
  <c r="M934" i="5"/>
  <c r="K934" i="5"/>
  <c r="L934" i="5" s="1"/>
  <c r="M933" i="5"/>
  <c r="K933" i="5"/>
  <c r="L933" i="5" s="1"/>
  <c r="M932" i="5"/>
  <c r="K932" i="5"/>
  <c r="L932" i="5" s="1"/>
  <c r="M931" i="5"/>
  <c r="K931" i="5"/>
  <c r="L931" i="5" s="1"/>
  <c r="M930" i="5"/>
  <c r="K930" i="5"/>
  <c r="L930" i="5" s="1"/>
  <c r="M929" i="5"/>
  <c r="K929" i="5"/>
  <c r="L929" i="5" s="1"/>
  <c r="M928" i="5"/>
  <c r="K928" i="5"/>
  <c r="L928" i="5" s="1"/>
  <c r="M927" i="5"/>
  <c r="K927" i="5"/>
  <c r="L927" i="5" s="1"/>
  <c r="M926" i="5"/>
  <c r="K926" i="5"/>
  <c r="L926" i="5" s="1"/>
  <c r="M925" i="5"/>
  <c r="K925" i="5"/>
  <c r="L925" i="5" s="1"/>
  <c r="M924" i="5"/>
  <c r="K924" i="5"/>
  <c r="L924" i="5" s="1"/>
  <c r="M923" i="5"/>
  <c r="K923" i="5"/>
  <c r="L923" i="5" s="1"/>
  <c r="M922" i="5"/>
  <c r="K922" i="5"/>
  <c r="L922" i="5" s="1"/>
  <c r="M921" i="5"/>
  <c r="K921" i="5"/>
  <c r="L921" i="5" s="1"/>
  <c r="M920" i="5"/>
  <c r="K920" i="5"/>
  <c r="L920" i="5" s="1"/>
  <c r="M919" i="5"/>
  <c r="K919" i="5"/>
  <c r="L919" i="5" s="1"/>
  <c r="M918" i="5"/>
  <c r="K918" i="5"/>
  <c r="L918" i="5" s="1"/>
  <c r="M917" i="5"/>
  <c r="K917" i="5"/>
  <c r="L917" i="5" s="1"/>
  <c r="M916" i="5"/>
  <c r="K916" i="5"/>
  <c r="L916" i="5" s="1"/>
  <c r="M915" i="5"/>
  <c r="K915" i="5"/>
  <c r="L915" i="5" s="1"/>
  <c r="M914" i="5"/>
  <c r="K914" i="5"/>
  <c r="L914" i="5" s="1"/>
  <c r="M913" i="5"/>
  <c r="K913" i="5"/>
  <c r="L913" i="5" s="1"/>
  <c r="M912" i="5"/>
  <c r="K912" i="5"/>
  <c r="L912" i="5" s="1"/>
  <c r="M911" i="5"/>
  <c r="K911" i="5"/>
  <c r="L911" i="5" s="1"/>
  <c r="M910" i="5"/>
  <c r="K910" i="5"/>
  <c r="L910" i="5" s="1"/>
  <c r="M909" i="5"/>
  <c r="K909" i="5"/>
  <c r="L909" i="5" s="1"/>
  <c r="M908" i="5"/>
  <c r="K908" i="5"/>
  <c r="L908" i="5" s="1"/>
  <c r="M907" i="5"/>
  <c r="K907" i="5"/>
  <c r="L907" i="5" s="1"/>
  <c r="M906" i="5"/>
  <c r="K906" i="5"/>
  <c r="L906" i="5" s="1"/>
  <c r="M905" i="5"/>
  <c r="K905" i="5"/>
  <c r="L905" i="5" s="1"/>
  <c r="M904" i="5"/>
  <c r="K904" i="5"/>
  <c r="L904" i="5" s="1"/>
  <c r="M903" i="5"/>
  <c r="K903" i="5"/>
  <c r="L903" i="5" s="1"/>
  <c r="M902" i="5"/>
  <c r="K902" i="5"/>
  <c r="L902" i="5" s="1"/>
  <c r="M901" i="5"/>
  <c r="K901" i="5"/>
  <c r="L901" i="5" s="1"/>
  <c r="M900" i="5"/>
  <c r="K900" i="5"/>
  <c r="L900" i="5" s="1"/>
  <c r="M899" i="5"/>
  <c r="K899" i="5"/>
  <c r="L899" i="5" s="1"/>
  <c r="M898" i="5"/>
  <c r="K898" i="5"/>
  <c r="L898" i="5" s="1"/>
  <c r="M897" i="5"/>
  <c r="K897" i="5"/>
  <c r="L897" i="5" s="1"/>
  <c r="M896" i="5"/>
  <c r="K896" i="5"/>
  <c r="L896" i="5" s="1"/>
  <c r="M895" i="5"/>
  <c r="K895" i="5"/>
  <c r="L895" i="5" s="1"/>
  <c r="M894" i="5"/>
  <c r="K894" i="5"/>
  <c r="L894" i="5" s="1"/>
  <c r="M893" i="5"/>
  <c r="K893" i="5"/>
  <c r="L893" i="5" s="1"/>
  <c r="M892" i="5"/>
  <c r="K892" i="5"/>
  <c r="L892" i="5" s="1"/>
  <c r="M891" i="5"/>
  <c r="K891" i="5"/>
  <c r="L891" i="5" s="1"/>
  <c r="M890" i="5"/>
  <c r="K890" i="5"/>
  <c r="L890" i="5" s="1"/>
  <c r="M889" i="5"/>
  <c r="K889" i="5"/>
  <c r="L889" i="5" s="1"/>
  <c r="M888" i="5"/>
  <c r="K888" i="5"/>
  <c r="L888" i="5" s="1"/>
  <c r="M887" i="5"/>
  <c r="K887" i="5"/>
  <c r="L887" i="5" s="1"/>
  <c r="M886" i="5"/>
  <c r="K886" i="5"/>
  <c r="L886" i="5" s="1"/>
  <c r="M885" i="5"/>
  <c r="K885" i="5"/>
  <c r="L885" i="5" s="1"/>
  <c r="M884" i="5"/>
  <c r="K884" i="5"/>
  <c r="L884" i="5" s="1"/>
  <c r="M883" i="5"/>
  <c r="K883" i="5"/>
  <c r="L883" i="5" s="1"/>
  <c r="M882" i="5"/>
  <c r="K882" i="5"/>
  <c r="L882" i="5" s="1"/>
  <c r="M881" i="5"/>
  <c r="K881" i="5"/>
  <c r="L881" i="5" s="1"/>
  <c r="M880" i="5"/>
  <c r="K880" i="5"/>
  <c r="L880" i="5" s="1"/>
  <c r="M879" i="5"/>
  <c r="K879" i="5"/>
  <c r="L879" i="5" s="1"/>
  <c r="M878" i="5"/>
  <c r="K878" i="5"/>
  <c r="L878" i="5" s="1"/>
  <c r="M877" i="5"/>
  <c r="K877" i="5"/>
  <c r="L877" i="5" s="1"/>
  <c r="M876" i="5"/>
  <c r="K876" i="5"/>
  <c r="L876" i="5" s="1"/>
  <c r="M875" i="5"/>
  <c r="K875" i="5"/>
  <c r="L875" i="5" s="1"/>
  <c r="M874" i="5"/>
  <c r="K874" i="5"/>
  <c r="L874" i="5" s="1"/>
  <c r="M873" i="5"/>
  <c r="K873" i="5"/>
  <c r="L873" i="5" s="1"/>
  <c r="M872" i="5"/>
  <c r="K872" i="5"/>
  <c r="L872" i="5" s="1"/>
  <c r="M871" i="5"/>
  <c r="K871" i="5"/>
  <c r="L871" i="5" s="1"/>
  <c r="M870" i="5"/>
  <c r="K870" i="5"/>
  <c r="L870" i="5" s="1"/>
  <c r="M869" i="5"/>
  <c r="K869" i="5"/>
  <c r="L869" i="5" s="1"/>
  <c r="M868" i="5"/>
  <c r="K868" i="5"/>
  <c r="L868" i="5" s="1"/>
  <c r="M867" i="5"/>
  <c r="K867" i="5"/>
  <c r="L867" i="5" s="1"/>
  <c r="M866" i="5"/>
  <c r="K866" i="5"/>
  <c r="L866" i="5" s="1"/>
  <c r="M865" i="5"/>
  <c r="K865" i="5"/>
  <c r="L865" i="5" s="1"/>
  <c r="M864" i="5"/>
  <c r="K864" i="5"/>
  <c r="L864" i="5" s="1"/>
  <c r="M863" i="5"/>
  <c r="K863" i="5"/>
  <c r="L863" i="5" s="1"/>
  <c r="M862" i="5"/>
  <c r="K862" i="5"/>
  <c r="L862" i="5" s="1"/>
  <c r="M861" i="5"/>
  <c r="K861" i="5"/>
  <c r="L861" i="5" s="1"/>
  <c r="M860" i="5"/>
  <c r="K860" i="5"/>
  <c r="L860" i="5" s="1"/>
  <c r="M859" i="5"/>
  <c r="K859" i="5"/>
  <c r="L859" i="5" s="1"/>
  <c r="M858" i="5"/>
  <c r="K858" i="5"/>
  <c r="L858" i="5" s="1"/>
  <c r="M857" i="5"/>
  <c r="K857" i="5"/>
  <c r="L857" i="5" s="1"/>
  <c r="M856" i="5"/>
  <c r="K856" i="5"/>
  <c r="L856" i="5" s="1"/>
  <c r="M855" i="5"/>
  <c r="K855" i="5"/>
  <c r="L855" i="5" s="1"/>
  <c r="M854" i="5"/>
  <c r="K854" i="5"/>
  <c r="L854" i="5" s="1"/>
  <c r="M853" i="5"/>
  <c r="K853" i="5"/>
  <c r="L853" i="5" s="1"/>
  <c r="M852" i="5"/>
  <c r="K852" i="5"/>
  <c r="L852" i="5" s="1"/>
  <c r="M851" i="5"/>
  <c r="K851" i="5"/>
  <c r="L851" i="5" s="1"/>
  <c r="M850" i="5"/>
  <c r="K850" i="5"/>
  <c r="L850" i="5" s="1"/>
  <c r="M849" i="5"/>
  <c r="K849" i="5"/>
  <c r="L849" i="5" s="1"/>
  <c r="M848" i="5"/>
  <c r="K848" i="5"/>
  <c r="L848" i="5" s="1"/>
  <c r="M847" i="5"/>
  <c r="K847" i="5"/>
  <c r="L847" i="5" s="1"/>
  <c r="M846" i="5"/>
  <c r="K846" i="5"/>
  <c r="L846" i="5" s="1"/>
  <c r="M845" i="5"/>
  <c r="K845" i="5"/>
  <c r="L845" i="5" s="1"/>
  <c r="M844" i="5"/>
  <c r="K844" i="5"/>
  <c r="L844" i="5" s="1"/>
  <c r="M843" i="5"/>
  <c r="K843" i="5"/>
  <c r="L843" i="5" s="1"/>
  <c r="M842" i="5"/>
  <c r="K842" i="5"/>
  <c r="L842" i="5" s="1"/>
  <c r="M841" i="5"/>
  <c r="K841" i="5"/>
  <c r="L841" i="5" s="1"/>
  <c r="M840" i="5"/>
  <c r="K840" i="5"/>
  <c r="L840" i="5" s="1"/>
  <c r="M839" i="5"/>
  <c r="K839" i="5"/>
  <c r="L839" i="5" s="1"/>
  <c r="M838" i="5"/>
  <c r="K838" i="5"/>
  <c r="L838" i="5" s="1"/>
  <c r="M837" i="5"/>
  <c r="K837" i="5"/>
  <c r="L837" i="5" s="1"/>
  <c r="M836" i="5"/>
  <c r="K836" i="5"/>
  <c r="L836" i="5" s="1"/>
  <c r="M835" i="5"/>
  <c r="K835" i="5"/>
  <c r="L835" i="5" s="1"/>
  <c r="M834" i="5"/>
  <c r="K834" i="5"/>
  <c r="L834" i="5" s="1"/>
  <c r="M833" i="5"/>
  <c r="K833" i="5"/>
  <c r="L833" i="5" s="1"/>
  <c r="M832" i="5"/>
  <c r="K832" i="5"/>
  <c r="L832" i="5" s="1"/>
  <c r="M831" i="5"/>
  <c r="K831" i="5"/>
  <c r="L831" i="5" s="1"/>
  <c r="M830" i="5"/>
  <c r="K830" i="5"/>
  <c r="L830" i="5" s="1"/>
  <c r="M829" i="5"/>
  <c r="K829" i="5"/>
  <c r="L829" i="5" s="1"/>
  <c r="M828" i="5"/>
  <c r="K828" i="5"/>
  <c r="L828" i="5" s="1"/>
  <c r="M827" i="5"/>
  <c r="K827" i="5"/>
  <c r="L827" i="5" s="1"/>
  <c r="M826" i="5"/>
  <c r="K826" i="5"/>
  <c r="L826" i="5" s="1"/>
  <c r="M825" i="5"/>
  <c r="K825" i="5"/>
  <c r="L825" i="5" s="1"/>
  <c r="M824" i="5"/>
  <c r="K824" i="5"/>
  <c r="L824" i="5" s="1"/>
  <c r="M823" i="5"/>
  <c r="K823" i="5"/>
  <c r="L823" i="5" s="1"/>
  <c r="M822" i="5"/>
  <c r="K822" i="5"/>
  <c r="L822" i="5" s="1"/>
  <c r="M821" i="5"/>
  <c r="K821" i="5"/>
  <c r="L821" i="5" s="1"/>
  <c r="M820" i="5"/>
  <c r="K820" i="5"/>
  <c r="L820" i="5" s="1"/>
  <c r="M819" i="5"/>
  <c r="K819" i="5"/>
  <c r="L819" i="5" s="1"/>
  <c r="M818" i="5"/>
  <c r="K818" i="5"/>
  <c r="L818" i="5" s="1"/>
  <c r="M817" i="5"/>
  <c r="K817" i="5"/>
  <c r="L817" i="5" s="1"/>
  <c r="M816" i="5"/>
  <c r="K816" i="5"/>
  <c r="L816" i="5" s="1"/>
  <c r="M815" i="5"/>
  <c r="K815" i="5"/>
  <c r="L815" i="5" s="1"/>
  <c r="M814" i="5"/>
  <c r="K814" i="5"/>
  <c r="L814" i="5" s="1"/>
  <c r="M813" i="5"/>
  <c r="K813" i="5"/>
  <c r="L813" i="5" s="1"/>
  <c r="M812" i="5"/>
  <c r="K812" i="5"/>
  <c r="L812" i="5" s="1"/>
  <c r="M811" i="5"/>
  <c r="K811" i="5"/>
  <c r="L811" i="5" s="1"/>
  <c r="E15" i="7" s="1"/>
  <c r="M810" i="5"/>
  <c r="K810" i="5"/>
  <c r="L810" i="5" s="1"/>
  <c r="M809" i="5"/>
  <c r="K809" i="5"/>
  <c r="L809" i="5" s="1"/>
  <c r="M808" i="5"/>
  <c r="K808" i="5"/>
  <c r="L808" i="5" s="1"/>
  <c r="M807" i="5"/>
  <c r="K807" i="5"/>
  <c r="L807" i="5" s="1"/>
  <c r="M806" i="5"/>
  <c r="K806" i="5"/>
  <c r="L806" i="5" s="1"/>
  <c r="M805" i="5"/>
  <c r="K805" i="5"/>
  <c r="L805" i="5" s="1"/>
  <c r="M804" i="5"/>
  <c r="K804" i="5"/>
  <c r="L804" i="5" s="1"/>
  <c r="M803" i="5"/>
  <c r="K803" i="5"/>
  <c r="L803" i="5" s="1"/>
  <c r="M802" i="5"/>
  <c r="K802" i="5"/>
  <c r="L802" i="5" s="1"/>
  <c r="M801" i="5"/>
  <c r="K801" i="5"/>
  <c r="L801" i="5" s="1"/>
  <c r="M800" i="5"/>
  <c r="K800" i="5"/>
  <c r="L800" i="5" s="1"/>
  <c r="M799" i="5"/>
  <c r="K799" i="5"/>
  <c r="L799" i="5" s="1"/>
  <c r="M798" i="5"/>
  <c r="K798" i="5"/>
  <c r="L798" i="5" s="1"/>
  <c r="M797" i="5"/>
  <c r="K797" i="5"/>
  <c r="L797" i="5" s="1"/>
  <c r="M796" i="5"/>
  <c r="K796" i="5"/>
  <c r="L796" i="5" s="1"/>
  <c r="M795" i="5"/>
  <c r="K795" i="5"/>
  <c r="L795" i="5" s="1"/>
  <c r="M794" i="5"/>
  <c r="K794" i="5"/>
  <c r="L794" i="5" s="1"/>
  <c r="M793" i="5"/>
  <c r="K793" i="5"/>
  <c r="L793" i="5" s="1"/>
  <c r="M792" i="5"/>
  <c r="K792" i="5"/>
  <c r="L792" i="5" s="1"/>
  <c r="M791" i="5"/>
  <c r="K791" i="5"/>
  <c r="L791" i="5" s="1"/>
  <c r="M790" i="5"/>
  <c r="K790" i="5"/>
  <c r="L790" i="5" s="1"/>
  <c r="M789" i="5"/>
  <c r="K789" i="5"/>
  <c r="L789" i="5" s="1"/>
  <c r="M788" i="5"/>
  <c r="K788" i="5"/>
  <c r="L788" i="5" s="1"/>
  <c r="M787" i="5"/>
  <c r="K787" i="5"/>
  <c r="L787" i="5" s="1"/>
  <c r="M786" i="5"/>
  <c r="K786" i="5"/>
  <c r="L786" i="5" s="1"/>
  <c r="M785" i="5"/>
  <c r="K785" i="5"/>
  <c r="L785" i="5" s="1"/>
  <c r="M784" i="5"/>
  <c r="K784" i="5"/>
  <c r="L784" i="5" s="1"/>
  <c r="M783" i="5"/>
  <c r="K783" i="5"/>
  <c r="L783" i="5" s="1"/>
  <c r="M782" i="5"/>
  <c r="K782" i="5"/>
  <c r="L782" i="5" s="1"/>
  <c r="M781" i="5"/>
  <c r="K781" i="5"/>
  <c r="L781" i="5" s="1"/>
  <c r="M780" i="5"/>
  <c r="K780" i="5"/>
  <c r="L780" i="5" s="1"/>
  <c r="M779" i="5"/>
  <c r="K779" i="5"/>
  <c r="L779" i="5" s="1"/>
  <c r="M778" i="5"/>
  <c r="K778" i="5"/>
  <c r="L778" i="5" s="1"/>
  <c r="M777" i="5"/>
  <c r="K777" i="5"/>
  <c r="L777" i="5" s="1"/>
  <c r="M776" i="5"/>
  <c r="K776" i="5"/>
  <c r="L776" i="5" s="1"/>
  <c r="M775" i="5"/>
  <c r="K775" i="5"/>
  <c r="L775" i="5" s="1"/>
  <c r="M774" i="5"/>
  <c r="K774" i="5"/>
  <c r="L774" i="5" s="1"/>
  <c r="M773" i="5"/>
  <c r="K773" i="5"/>
  <c r="L773" i="5" s="1"/>
  <c r="M772" i="5"/>
  <c r="K772" i="5"/>
  <c r="L772" i="5" s="1"/>
  <c r="M771" i="5"/>
  <c r="K771" i="5"/>
  <c r="L771" i="5" s="1"/>
  <c r="M770" i="5"/>
  <c r="K770" i="5"/>
  <c r="L770" i="5" s="1"/>
  <c r="M769" i="5"/>
  <c r="K769" i="5"/>
  <c r="L769" i="5" s="1"/>
  <c r="M768" i="5"/>
  <c r="K768" i="5"/>
  <c r="L768" i="5" s="1"/>
  <c r="M767" i="5"/>
  <c r="K767" i="5"/>
  <c r="L767" i="5" s="1"/>
  <c r="M766" i="5"/>
  <c r="K766" i="5"/>
  <c r="L766" i="5" s="1"/>
  <c r="M765" i="5"/>
  <c r="K765" i="5"/>
  <c r="L765" i="5" s="1"/>
  <c r="M764" i="5"/>
  <c r="K764" i="5"/>
  <c r="L764" i="5" s="1"/>
  <c r="M763" i="5"/>
  <c r="K763" i="5"/>
  <c r="L763" i="5" s="1"/>
  <c r="M762" i="5"/>
  <c r="K762" i="5"/>
  <c r="L762" i="5" s="1"/>
  <c r="M761" i="5"/>
  <c r="K761" i="5"/>
  <c r="L761" i="5" s="1"/>
  <c r="M760" i="5"/>
  <c r="K760" i="5"/>
  <c r="L760" i="5" s="1"/>
  <c r="M759" i="5"/>
  <c r="K759" i="5"/>
  <c r="L759" i="5" s="1"/>
  <c r="M758" i="5"/>
  <c r="K758" i="5"/>
  <c r="L758" i="5" s="1"/>
  <c r="M757" i="5"/>
  <c r="K757" i="5"/>
  <c r="L757" i="5" s="1"/>
  <c r="M756" i="5"/>
  <c r="K756" i="5"/>
  <c r="L756" i="5" s="1"/>
  <c r="M755" i="5"/>
  <c r="K755" i="5"/>
  <c r="L755" i="5" s="1"/>
  <c r="M754" i="5"/>
  <c r="K754" i="5"/>
  <c r="L754" i="5" s="1"/>
  <c r="M753" i="5"/>
  <c r="K753" i="5"/>
  <c r="L753" i="5" s="1"/>
  <c r="M752" i="5"/>
  <c r="K752" i="5"/>
  <c r="L752" i="5" s="1"/>
  <c r="M751" i="5"/>
  <c r="K751" i="5"/>
  <c r="L751" i="5" s="1"/>
  <c r="M750" i="5"/>
  <c r="K750" i="5"/>
  <c r="L750" i="5" s="1"/>
  <c r="M749" i="5"/>
  <c r="K749" i="5"/>
  <c r="L749" i="5" s="1"/>
  <c r="M748" i="5"/>
  <c r="K748" i="5"/>
  <c r="L748" i="5" s="1"/>
  <c r="M747" i="5"/>
  <c r="K747" i="5"/>
  <c r="L747" i="5" s="1"/>
  <c r="M746" i="5"/>
  <c r="K746" i="5"/>
  <c r="L746" i="5" s="1"/>
  <c r="M745" i="5"/>
  <c r="K745" i="5"/>
  <c r="L745" i="5" s="1"/>
  <c r="M744" i="5"/>
  <c r="K744" i="5"/>
  <c r="L744" i="5" s="1"/>
  <c r="M743" i="5"/>
  <c r="K743" i="5"/>
  <c r="L743" i="5" s="1"/>
  <c r="M742" i="5"/>
  <c r="K742" i="5"/>
  <c r="L742" i="5" s="1"/>
  <c r="M741" i="5"/>
  <c r="K741" i="5"/>
  <c r="L741" i="5" s="1"/>
  <c r="M740" i="5"/>
  <c r="K740" i="5"/>
  <c r="L740" i="5" s="1"/>
  <c r="M739" i="5"/>
  <c r="K739" i="5"/>
  <c r="L739" i="5" s="1"/>
  <c r="M738" i="5"/>
  <c r="K738" i="5"/>
  <c r="L738" i="5" s="1"/>
  <c r="M737" i="5"/>
  <c r="K737" i="5"/>
  <c r="L737" i="5" s="1"/>
  <c r="M736" i="5"/>
  <c r="K736" i="5"/>
  <c r="L736" i="5" s="1"/>
  <c r="M735" i="5"/>
  <c r="K735" i="5"/>
  <c r="L735" i="5" s="1"/>
  <c r="M734" i="5"/>
  <c r="K734" i="5"/>
  <c r="L734" i="5" s="1"/>
  <c r="M733" i="5"/>
  <c r="K733" i="5"/>
  <c r="L733" i="5" s="1"/>
  <c r="M732" i="5"/>
  <c r="K732" i="5"/>
  <c r="L732" i="5" s="1"/>
  <c r="M731" i="5"/>
  <c r="K731" i="5"/>
  <c r="L731" i="5" s="1"/>
  <c r="M730" i="5"/>
  <c r="K730" i="5"/>
  <c r="L730" i="5" s="1"/>
  <c r="M729" i="5"/>
  <c r="K729" i="5"/>
  <c r="L729" i="5" s="1"/>
  <c r="M728" i="5"/>
  <c r="K728" i="5"/>
  <c r="L728" i="5" s="1"/>
  <c r="M727" i="5"/>
  <c r="K727" i="5"/>
  <c r="L727" i="5" s="1"/>
  <c r="M726" i="5"/>
  <c r="K726" i="5"/>
  <c r="L726" i="5" s="1"/>
  <c r="M725" i="5"/>
  <c r="K725" i="5"/>
  <c r="L725" i="5" s="1"/>
  <c r="M724" i="5"/>
  <c r="K724" i="5"/>
  <c r="L724" i="5" s="1"/>
  <c r="M723" i="5"/>
  <c r="K723" i="5"/>
  <c r="L723" i="5" s="1"/>
  <c r="M722" i="5"/>
  <c r="K722" i="5"/>
  <c r="L722" i="5" s="1"/>
  <c r="M721" i="5"/>
  <c r="K721" i="5"/>
  <c r="L721" i="5" s="1"/>
  <c r="M720" i="5"/>
  <c r="K720" i="5"/>
  <c r="L720" i="5" s="1"/>
  <c r="M719" i="5"/>
  <c r="K719" i="5"/>
  <c r="L719" i="5" s="1"/>
  <c r="M718" i="5"/>
  <c r="K718" i="5"/>
  <c r="L718" i="5" s="1"/>
  <c r="M717" i="5"/>
  <c r="K717" i="5"/>
  <c r="L717" i="5" s="1"/>
  <c r="M716" i="5"/>
  <c r="K716" i="5"/>
  <c r="L716" i="5" s="1"/>
  <c r="M715" i="5"/>
  <c r="K715" i="5"/>
  <c r="L715" i="5" s="1"/>
  <c r="M714" i="5"/>
  <c r="K714" i="5"/>
  <c r="L714" i="5" s="1"/>
  <c r="M713" i="5"/>
  <c r="K713" i="5"/>
  <c r="L713" i="5" s="1"/>
  <c r="M712" i="5"/>
  <c r="K712" i="5"/>
  <c r="L712" i="5" s="1"/>
  <c r="M711" i="5"/>
  <c r="K711" i="5"/>
  <c r="L711" i="5" s="1"/>
  <c r="M710" i="5"/>
  <c r="K710" i="5"/>
  <c r="L710" i="5" s="1"/>
  <c r="M709" i="5"/>
  <c r="K709" i="5"/>
  <c r="L709" i="5" s="1"/>
  <c r="M708" i="5"/>
  <c r="K708" i="5"/>
  <c r="L708" i="5" s="1"/>
  <c r="M707" i="5"/>
  <c r="K707" i="5"/>
  <c r="L707" i="5" s="1"/>
  <c r="M706" i="5"/>
  <c r="K706" i="5"/>
  <c r="L706" i="5" s="1"/>
  <c r="M705" i="5"/>
  <c r="K705" i="5"/>
  <c r="L705" i="5" s="1"/>
  <c r="M704" i="5"/>
  <c r="K704" i="5"/>
  <c r="L704" i="5" s="1"/>
  <c r="M703" i="5"/>
  <c r="K703" i="5"/>
  <c r="L703" i="5" s="1"/>
  <c r="M702" i="5"/>
  <c r="K702" i="5"/>
  <c r="L702" i="5" s="1"/>
  <c r="M701" i="5"/>
  <c r="K701" i="5"/>
  <c r="L701" i="5" s="1"/>
  <c r="M700" i="5"/>
  <c r="K700" i="5"/>
  <c r="L700" i="5" s="1"/>
  <c r="M699" i="5"/>
  <c r="K699" i="5"/>
  <c r="L699" i="5" s="1"/>
  <c r="M698" i="5"/>
  <c r="K698" i="5"/>
  <c r="L698" i="5" s="1"/>
  <c r="M697" i="5"/>
  <c r="K697" i="5"/>
  <c r="L697" i="5" s="1"/>
  <c r="M696" i="5"/>
  <c r="K696" i="5"/>
  <c r="L696" i="5" s="1"/>
  <c r="M695" i="5"/>
  <c r="K695" i="5"/>
  <c r="L695" i="5" s="1"/>
  <c r="M694" i="5"/>
  <c r="K694" i="5"/>
  <c r="L694" i="5" s="1"/>
  <c r="M693" i="5"/>
  <c r="K693" i="5"/>
  <c r="L693" i="5" s="1"/>
  <c r="M692" i="5"/>
  <c r="K692" i="5"/>
  <c r="L692" i="5" s="1"/>
  <c r="M691" i="5"/>
  <c r="K691" i="5"/>
  <c r="L691" i="5" s="1"/>
  <c r="M690" i="5"/>
  <c r="K690" i="5"/>
  <c r="L690" i="5" s="1"/>
  <c r="M689" i="5"/>
  <c r="K689" i="5"/>
  <c r="L689" i="5" s="1"/>
  <c r="M688" i="5"/>
  <c r="K688" i="5"/>
  <c r="L688" i="5" s="1"/>
  <c r="M687" i="5"/>
  <c r="K687" i="5"/>
  <c r="L687" i="5" s="1"/>
  <c r="M686" i="5"/>
  <c r="K686" i="5"/>
  <c r="L686" i="5" s="1"/>
  <c r="M685" i="5"/>
  <c r="K685" i="5"/>
  <c r="L685" i="5" s="1"/>
  <c r="M684" i="5"/>
  <c r="K684" i="5"/>
  <c r="L684" i="5" s="1"/>
  <c r="M683" i="5"/>
  <c r="K683" i="5"/>
  <c r="L683" i="5" s="1"/>
  <c r="M682" i="5"/>
  <c r="K682" i="5"/>
  <c r="L682" i="5" s="1"/>
  <c r="M681" i="5"/>
  <c r="K681" i="5"/>
  <c r="L681" i="5" s="1"/>
  <c r="M680" i="5"/>
  <c r="K680" i="5"/>
  <c r="L680" i="5" s="1"/>
  <c r="M679" i="5"/>
  <c r="K679" i="5"/>
  <c r="L679" i="5" s="1"/>
  <c r="M678" i="5"/>
  <c r="K678" i="5"/>
  <c r="L678" i="5" s="1"/>
  <c r="M677" i="5"/>
  <c r="K677" i="5"/>
  <c r="L677" i="5" s="1"/>
  <c r="M676" i="5"/>
  <c r="K676" i="5"/>
  <c r="L676" i="5" s="1"/>
  <c r="M675" i="5"/>
  <c r="K675" i="5"/>
  <c r="L675" i="5" s="1"/>
  <c r="M674" i="5"/>
  <c r="K674" i="5"/>
  <c r="L674" i="5" s="1"/>
  <c r="M673" i="5"/>
  <c r="K673" i="5"/>
  <c r="L673" i="5" s="1"/>
  <c r="M672" i="5"/>
  <c r="K672" i="5"/>
  <c r="L672" i="5" s="1"/>
  <c r="M671" i="5"/>
  <c r="K671" i="5"/>
  <c r="L671" i="5" s="1"/>
  <c r="M670" i="5"/>
  <c r="K670" i="5"/>
  <c r="L670" i="5" s="1"/>
  <c r="M669" i="5"/>
  <c r="K669" i="5"/>
  <c r="L669" i="5" s="1"/>
  <c r="M668" i="5"/>
  <c r="K668" i="5"/>
  <c r="L668" i="5" s="1"/>
  <c r="M667" i="5"/>
  <c r="K667" i="5"/>
  <c r="L667" i="5" s="1"/>
  <c r="M666" i="5"/>
  <c r="K666" i="5"/>
  <c r="L666" i="5" s="1"/>
  <c r="M665" i="5"/>
  <c r="K665" i="5"/>
  <c r="L665" i="5" s="1"/>
  <c r="M664" i="5"/>
  <c r="K664" i="5"/>
  <c r="L664" i="5" s="1"/>
  <c r="M663" i="5"/>
  <c r="K663" i="5"/>
  <c r="L663" i="5" s="1"/>
  <c r="M662" i="5"/>
  <c r="K662" i="5"/>
  <c r="L662" i="5" s="1"/>
  <c r="M661" i="5"/>
  <c r="K661" i="5"/>
  <c r="L661" i="5" s="1"/>
  <c r="M660" i="5"/>
  <c r="K660" i="5"/>
  <c r="L660" i="5" s="1"/>
  <c r="M659" i="5"/>
  <c r="K659" i="5"/>
  <c r="L659" i="5" s="1"/>
  <c r="M658" i="5"/>
  <c r="K658" i="5"/>
  <c r="L658" i="5" s="1"/>
  <c r="M657" i="5"/>
  <c r="K657" i="5"/>
  <c r="L657" i="5" s="1"/>
  <c r="M656" i="5"/>
  <c r="K656" i="5"/>
  <c r="L656" i="5" s="1"/>
  <c r="M655" i="5"/>
  <c r="K655" i="5"/>
  <c r="L655" i="5" s="1"/>
  <c r="M654" i="5"/>
  <c r="K654" i="5"/>
  <c r="L654" i="5" s="1"/>
  <c r="M653" i="5"/>
  <c r="K653" i="5"/>
  <c r="L653" i="5" s="1"/>
  <c r="M652" i="5"/>
  <c r="K652" i="5"/>
  <c r="L652" i="5" s="1"/>
  <c r="M651" i="5"/>
  <c r="K651" i="5"/>
  <c r="L651" i="5" s="1"/>
  <c r="M650" i="5"/>
  <c r="K650" i="5"/>
  <c r="L650" i="5" s="1"/>
  <c r="M649" i="5"/>
  <c r="K649" i="5"/>
  <c r="L649" i="5" s="1"/>
  <c r="M648" i="5"/>
  <c r="K648" i="5"/>
  <c r="L648" i="5" s="1"/>
  <c r="M647" i="5"/>
  <c r="K647" i="5"/>
  <c r="L647" i="5" s="1"/>
  <c r="M646" i="5"/>
  <c r="K646" i="5"/>
  <c r="L646" i="5" s="1"/>
  <c r="M645" i="5"/>
  <c r="K645" i="5"/>
  <c r="L645" i="5" s="1"/>
  <c r="M644" i="5"/>
  <c r="K644" i="5"/>
  <c r="L644" i="5" s="1"/>
  <c r="M643" i="5"/>
  <c r="K643" i="5"/>
  <c r="L643" i="5" s="1"/>
  <c r="M642" i="5"/>
  <c r="K642" i="5"/>
  <c r="L642" i="5" s="1"/>
  <c r="M641" i="5"/>
  <c r="K641" i="5"/>
  <c r="L641" i="5" s="1"/>
  <c r="M640" i="5"/>
  <c r="K640" i="5"/>
  <c r="L640" i="5" s="1"/>
  <c r="M639" i="5"/>
  <c r="K639" i="5"/>
  <c r="L639" i="5" s="1"/>
  <c r="M638" i="5"/>
  <c r="K638" i="5"/>
  <c r="L638" i="5" s="1"/>
  <c r="M637" i="5"/>
  <c r="K637" i="5"/>
  <c r="L637" i="5" s="1"/>
  <c r="M636" i="5"/>
  <c r="K636" i="5"/>
  <c r="L636" i="5" s="1"/>
  <c r="M635" i="5"/>
  <c r="K635" i="5"/>
  <c r="L635" i="5" s="1"/>
  <c r="M634" i="5"/>
  <c r="K634" i="5"/>
  <c r="L634" i="5" s="1"/>
  <c r="M633" i="5"/>
  <c r="K633" i="5"/>
  <c r="L633" i="5" s="1"/>
  <c r="M632" i="5"/>
  <c r="K632" i="5"/>
  <c r="L632" i="5" s="1"/>
  <c r="M631" i="5"/>
  <c r="K631" i="5"/>
  <c r="L631" i="5" s="1"/>
  <c r="M630" i="5"/>
  <c r="K630" i="5"/>
  <c r="L630" i="5" s="1"/>
  <c r="M629" i="5"/>
  <c r="K629" i="5"/>
  <c r="L629" i="5" s="1"/>
  <c r="M628" i="5"/>
  <c r="K628" i="5"/>
  <c r="L628" i="5" s="1"/>
  <c r="M627" i="5"/>
  <c r="K627" i="5"/>
  <c r="L627" i="5" s="1"/>
  <c r="M626" i="5"/>
  <c r="K626" i="5"/>
  <c r="L626" i="5" s="1"/>
  <c r="M625" i="5"/>
  <c r="K625" i="5"/>
  <c r="L625" i="5" s="1"/>
  <c r="M624" i="5"/>
  <c r="K624" i="5"/>
  <c r="L624" i="5" s="1"/>
  <c r="M623" i="5"/>
  <c r="K623" i="5"/>
  <c r="L623" i="5" s="1"/>
  <c r="M622" i="5"/>
  <c r="K622" i="5"/>
  <c r="L622" i="5" s="1"/>
  <c r="M621" i="5"/>
  <c r="K621" i="5"/>
  <c r="L621" i="5" s="1"/>
  <c r="M620" i="5"/>
  <c r="K620" i="5"/>
  <c r="L620" i="5" s="1"/>
  <c r="M619" i="5"/>
  <c r="K619" i="5"/>
  <c r="L619" i="5" s="1"/>
  <c r="M618" i="5"/>
  <c r="K618" i="5"/>
  <c r="L618" i="5" s="1"/>
  <c r="M617" i="5"/>
  <c r="K617" i="5"/>
  <c r="L617" i="5" s="1"/>
  <c r="M616" i="5"/>
  <c r="K616" i="5"/>
  <c r="L616" i="5" s="1"/>
  <c r="M615" i="5"/>
  <c r="K615" i="5"/>
  <c r="L615" i="5" s="1"/>
  <c r="M614" i="5"/>
  <c r="K614" i="5"/>
  <c r="L614" i="5" s="1"/>
  <c r="M613" i="5"/>
  <c r="K613" i="5"/>
  <c r="L613" i="5" s="1"/>
  <c r="M612" i="5"/>
  <c r="K612" i="5"/>
  <c r="L612" i="5" s="1"/>
  <c r="M611" i="5"/>
  <c r="K611" i="5"/>
  <c r="L611" i="5" s="1"/>
  <c r="M610" i="5"/>
  <c r="K610" i="5"/>
  <c r="L610" i="5" s="1"/>
  <c r="M609" i="5"/>
  <c r="K609" i="5"/>
  <c r="L609" i="5" s="1"/>
  <c r="M608" i="5"/>
  <c r="K608" i="5"/>
  <c r="L608" i="5" s="1"/>
  <c r="M607" i="5"/>
  <c r="K607" i="5"/>
  <c r="L607" i="5" s="1"/>
  <c r="M606" i="5"/>
  <c r="K606" i="5"/>
  <c r="L606" i="5" s="1"/>
  <c r="M605" i="5"/>
  <c r="K605" i="5"/>
  <c r="L605" i="5" s="1"/>
  <c r="M604" i="5"/>
  <c r="K604" i="5"/>
  <c r="L604" i="5" s="1"/>
  <c r="M603" i="5"/>
  <c r="K603" i="5"/>
  <c r="L603" i="5" s="1"/>
  <c r="M602" i="5"/>
  <c r="K602" i="5"/>
  <c r="L602" i="5" s="1"/>
  <c r="M601" i="5"/>
  <c r="K601" i="5"/>
  <c r="L601" i="5" s="1"/>
  <c r="M600" i="5"/>
  <c r="K600" i="5"/>
  <c r="L600" i="5" s="1"/>
  <c r="M599" i="5"/>
  <c r="K599" i="5"/>
  <c r="L599" i="5" s="1"/>
  <c r="M598" i="5"/>
  <c r="K598" i="5"/>
  <c r="L598" i="5" s="1"/>
  <c r="M597" i="5"/>
  <c r="K597" i="5"/>
  <c r="L597" i="5" s="1"/>
  <c r="M596" i="5"/>
  <c r="K596" i="5"/>
  <c r="L596" i="5" s="1"/>
  <c r="M595" i="5"/>
  <c r="K595" i="5"/>
  <c r="L595" i="5" s="1"/>
  <c r="M594" i="5"/>
  <c r="K594" i="5"/>
  <c r="L594" i="5" s="1"/>
  <c r="M593" i="5"/>
  <c r="K593" i="5"/>
  <c r="L593" i="5" s="1"/>
  <c r="M592" i="5"/>
  <c r="K592" i="5"/>
  <c r="L592" i="5" s="1"/>
  <c r="M591" i="5"/>
  <c r="K591" i="5"/>
  <c r="L591" i="5" s="1"/>
  <c r="M590" i="5"/>
  <c r="K590" i="5"/>
  <c r="L590" i="5" s="1"/>
  <c r="M589" i="5"/>
  <c r="K589" i="5"/>
  <c r="L589" i="5" s="1"/>
  <c r="M588" i="5"/>
  <c r="K588" i="5"/>
  <c r="L588" i="5" s="1"/>
  <c r="M587" i="5"/>
  <c r="K587" i="5"/>
  <c r="L587" i="5" s="1"/>
  <c r="M586" i="5"/>
  <c r="K586" i="5"/>
  <c r="L586" i="5" s="1"/>
  <c r="M585" i="5"/>
  <c r="K585" i="5"/>
  <c r="L585" i="5" s="1"/>
  <c r="M584" i="5"/>
  <c r="K584" i="5"/>
  <c r="L584" i="5" s="1"/>
  <c r="M583" i="5"/>
  <c r="K583" i="5"/>
  <c r="L583" i="5" s="1"/>
  <c r="M582" i="5"/>
  <c r="K582" i="5"/>
  <c r="L582" i="5" s="1"/>
  <c r="M581" i="5"/>
  <c r="K581" i="5"/>
  <c r="L581" i="5" s="1"/>
  <c r="M580" i="5"/>
  <c r="K580" i="5"/>
  <c r="L580" i="5" s="1"/>
  <c r="M579" i="5"/>
  <c r="K579" i="5"/>
  <c r="L579" i="5" s="1"/>
  <c r="M578" i="5"/>
  <c r="K578" i="5"/>
  <c r="L578" i="5" s="1"/>
  <c r="M577" i="5"/>
  <c r="K577" i="5"/>
  <c r="L577" i="5" s="1"/>
  <c r="M576" i="5"/>
  <c r="K576" i="5"/>
  <c r="L576" i="5" s="1"/>
  <c r="M575" i="5"/>
  <c r="K575" i="5"/>
  <c r="L575" i="5" s="1"/>
  <c r="M574" i="5"/>
  <c r="K574" i="5"/>
  <c r="L574" i="5" s="1"/>
  <c r="M573" i="5"/>
  <c r="K573" i="5"/>
  <c r="L573" i="5" s="1"/>
  <c r="M572" i="5"/>
  <c r="K572" i="5"/>
  <c r="L572" i="5" s="1"/>
  <c r="M571" i="5"/>
  <c r="K571" i="5"/>
  <c r="L571" i="5" s="1"/>
  <c r="M570" i="5"/>
  <c r="K570" i="5"/>
  <c r="L570" i="5" s="1"/>
  <c r="M569" i="5"/>
  <c r="K569" i="5"/>
  <c r="L569" i="5" s="1"/>
  <c r="M568" i="5"/>
  <c r="K568" i="5"/>
  <c r="L568" i="5" s="1"/>
  <c r="M567" i="5"/>
  <c r="K567" i="5"/>
  <c r="L567" i="5" s="1"/>
  <c r="M566" i="5"/>
  <c r="K566" i="5"/>
  <c r="L566" i="5" s="1"/>
  <c r="M565" i="5"/>
  <c r="K565" i="5"/>
  <c r="L565" i="5" s="1"/>
  <c r="M564" i="5"/>
  <c r="K564" i="5"/>
  <c r="L564" i="5" s="1"/>
  <c r="M563" i="5"/>
  <c r="K563" i="5"/>
  <c r="L563" i="5" s="1"/>
  <c r="M562" i="5"/>
  <c r="K562" i="5"/>
  <c r="L562" i="5" s="1"/>
  <c r="M561" i="5"/>
  <c r="K561" i="5"/>
  <c r="L561" i="5" s="1"/>
  <c r="M560" i="5"/>
  <c r="K560" i="5"/>
  <c r="L560" i="5" s="1"/>
  <c r="M559" i="5"/>
  <c r="K559" i="5"/>
  <c r="L559" i="5" s="1"/>
  <c r="M558" i="5"/>
  <c r="K558" i="5"/>
  <c r="L558" i="5" s="1"/>
  <c r="M557" i="5"/>
  <c r="K557" i="5"/>
  <c r="L557" i="5" s="1"/>
  <c r="M556" i="5"/>
  <c r="K556" i="5"/>
  <c r="L556" i="5" s="1"/>
  <c r="M555" i="5"/>
  <c r="K555" i="5"/>
  <c r="L555" i="5" s="1"/>
  <c r="M554" i="5"/>
  <c r="K554" i="5"/>
  <c r="L554" i="5" s="1"/>
  <c r="M553" i="5"/>
  <c r="K553" i="5"/>
  <c r="L553" i="5" s="1"/>
  <c r="M552" i="5"/>
  <c r="K552" i="5"/>
  <c r="L552" i="5" s="1"/>
  <c r="M551" i="5"/>
  <c r="K551" i="5"/>
  <c r="L551" i="5" s="1"/>
  <c r="M550" i="5"/>
  <c r="K550" i="5"/>
  <c r="L550" i="5" s="1"/>
  <c r="M549" i="5"/>
  <c r="K549" i="5"/>
  <c r="L549" i="5" s="1"/>
  <c r="M548" i="5"/>
  <c r="K548" i="5"/>
  <c r="L548" i="5" s="1"/>
  <c r="M547" i="5"/>
  <c r="K547" i="5"/>
  <c r="L547" i="5" s="1"/>
  <c r="M546" i="5"/>
  <c r="K546" i="5"/>
  <c r="L546" i="5" s="1"/>
  <c r="M545" i="5"/>
  <c r="K545" i="5"/>
  <c r="L545" i="5" s="1"/>
  <c r="M544" i="5"/>
  <c r="K544" i="5"/>
  <c r="L544" i="5" s="1"/>
  <c r="M543" i="5"/>
  <c r="K543" i="5"/>
  <c r="L543" i="5" s="1"/>
  <c r="M542" i="5"/>
  <c r="K542" i="5"/>
  <c r="L542" i="5" s="1"/>
  <c r="M541" i="5"/>
  <c r="K541" i="5"/>
  <c r="L541" i="5" s="1"/>
  <c r="M540" i="5"/>
  <c r="K540" i="5"/>
  <c r="L540" i="5" s="1"/>
  <c r="M539" i="5"/>
  <c r="K539" i="5"/>
  <c r="L539" i="5" s="1"/>
  <c r="M538" i="5"/>
  <c r="K538" i="5"/>
  <c r="L538" i="5" s="1"/>
  <c r="M537" i="5"/>
  <c r="K537" i="5"/>
  <c r="L537" i="5" s="1"/>
  <c r="M536" i="5"/>
  <c r="K536" i="5"/>
  <c r="L536" i="5" s="1"/>
  <c r="M535" i="5"/>
  <c r="K535" i="5"/>
  <c r="L535" i="5" s="1"/>
  <c r="M534" i="5"/>
  <c r="K534" i="5"/>
  <c r="L534" i="5" s="1"/>
  <c r="M533" i="5"/>
  <c r="K533" i="5"/>
  <c r="L533" i="5" s="1"/>
  <c r="M532" i="5"/>
  <c r="K532" i="5"/>
  <c r="L532" i="5" s="1"/>
  <c r="M531" i="5"/>
  <c r="K531" i="5"/>
  <c r="L531" i="5" s="1"/>
  <c r="M530" i="5"/>
  <c r="K530" i="5"/>
  <c r="L530" i="5" s="1"/>
  <c r="M529" i="5"/>
  <c r="K529" i="5"/>
  <c r="L529" i="5" s="1"/>
  <c r="M528" i="5"/>
  <c r="K528" i="5"/>
  <c r="L528" i="5" s="1"/>
  <c r="M527" i="5"/>
  <c r="K527" i="5"/>
  <c r="L527" i="5" s="1"/>
  <c r="M526" i="5"/>
  <c r="K526" i="5"/>
  <c r="L526" i="5" s="1"/>
  <c r="M525" i="5"/>
  <c r="K525" i="5"/>
  <c r="L525" i="5" s="1"/>
  <c r="M524" i="5"/>
  <c r="K524" i="5"/>
  <c r="L524" i="5" s="1"/>
  <c r="M523" i="5"/>
  <c r="K523" i="5"/>
  <c r="L523" i="5" s="1"/>
  <c r="M522" i="5"/>
  <c r="K522" i="5"/>
  <c r="L522" i="5" s="1"/>
  <c r="M521" i="5"/>
  <c r="K521" i="5"/>
  <c r="L521" i="5" s="1"/>
  <c r="M520" i="5"/>
  <c r="K520" i="5"/>
  <c r="L520" i="5" s="1"/>
  <c r="M519" i="5"/>
  <c r="K519" i="5"/>
  <c r="L519" i="5" s="1"/>
  <c r="M518" i="5"/>
  <c r="K518" i="5"/>
  <c r="L518" i="5" s="1"/>
  <c r="M517" i="5"/>
  <c r="K517" i="5"/>
  <c r="L517" i="5" s="1"/>
  <c r="M516" i="5"/>
  <c r="K516" i="5"/>
  <c r="L516" i="5" s="1"/>
  <c r="M515" i="5"/>
  <c r="K515" i="5"/>
  <c r="L515" i="5" s="1"/>
  <c r="M514" i="5"/>
  <c r="K514" i="5"/>
  <c r="L514" i="5" s="1"/>
  <c r="M513" i="5"/>
  <c r="K513" i="5"/>
  <c r="L513" i="5" s="1"/>
  <c r="M512" i="5"/>
  <c r="K512" i="5"/>
  <c r="L512" i="5" s="1"/>
  <c r="M511" i="5"/>
  <c r="E36" i="7" s="1"/>
  <c r="K511" i="5"/>
  <c r="L511" i="5" s="1"/>
  <c r="M510" i="5"/>
  <c r="K510" i="5"/>
  <c r="L510" i="5" s="1"/>
  <c r="M509" i="5"/>
  <c r="K509" i="5"/>
  <c r="L509" i="5" s="1"/>
  <c r="M508" i="5"/>
  <c r="K508" i="5"/>
  <c r="L508" i="5" s="1"/>
  <c r="M507" i="5"/>
  <c r="K507" i="5"/>
  <c r="L507" i="5" s="1"/>
  <c r="M506" i="5"/>
  <c r="K506" i="5"/>
  <c r="L506" i="5" s="1"/>
  <c r="M505" i="5"/>
  <c r="K505" i="5"/>
  <c r="L505" i="5" s="1"/>
  <c r="M504" i="5"/>
  <c r="K504" i="5"/>
  <c r="L504" i="5" s="1"/>
  <c r="M503" i="5"/>
  <c r="K503" i="5"/>
  <c r="L503" i="5" s="1"/>
  <c r="M502" i="5"/>
  <c r="K502" i="5"/>
  <c r="L502" i="5" s="1"/>
  <c r="M501" i="5"/>
  <c r="K501" i="5"/>
  <c r="L501" i="5" s="1"/>
  <c r="M500" i="5"/>
  <c r="K500" i="5"/>
  <c r="L500" i="5" s="1"/>
  <c r="M499" i="5"/>
  <c r="K499" i="5"/>
  <c r="L499" i="5" s="1"/>
  <c r="M498" i="5"/>
  <c r="K498" i="5"/>
  <c r="L498" i="5" s="1"/>
  <c r="M497" i="5"/>
  <c r="K497" i="5"/>
  <c r="L497" i="5" s="1"/>
  <c r="M496" i="5"/>
  <c r="K496" i="5"/>
  <c r="L496" i="5" s="1"/>
  <c r="M495" i="5"/>
  <c r="K495" i="5"/>
  <c r="L495" i="5" s="1"/>
  <c r="M494" i="5"/>
  <c r="K494" i="5"/>
  <c r="L494" i="5" s="1"/>
  <c r="M493" i="5"/>
  <c r="K493" i="5"/>
  <c r="L493" i="5" s="1"/>
  <c r="M492" i="5"/>
  <c r="K492" i="5"/>
  <c r="L492" i="5" s="1"/>
  <c r="M491" i="5"/>
  <c r="K491" i="5"/>
  <c r="L491" i="5" s="1"/>
  <c r="M490" i="5"/>
  <c r="K490" i="5"/>
  <c r="L490" i="5" s="1"/>
  <c r="M489" i="5"/>
  <c r="K489" i="5"/>
  <c r="L489" i="5" s="1"/>
  <c r="M488" i="5"/>
  <c r="K488" i="5"/>
  <c r="L488" i="5" s="1"/>
  <c r="M487" i="5"/>
  <c r="K487" i="5"/>
  <c r="L487" i="5" s="1"/>
  <c r="M486" i="5"/>
  <c r="K486" i="5"/>
  <c r="L486" i="5" s="1"/>
  <c r="M485" i="5"/>
  <c r="K485" i="5"/>
  <c r="L485" i="5" s="1"/>
  <c r="M484" i="5"/>
  <c r="K484" i="5"/>
  <c r="L484" i="5" s="1"/>
  <c r="M483" i="5"/>
  <c r="K483" i="5"/>
  <c r="L483" i="5" s="1"/>
  <c r="M482" i="5"/>
  <c r="K482" i="5"/>
  <c r="L482" i="5" s="1"/>
  <c r="M481" i="5"/>
  <c r="K481" i="5"/>
  <c r="L481" i="5" s="1"/>
  <c r="M480" i="5"/>
  <c r="K480" i="5"/>
  <c r="L480" i="5" s="1"/>
  <c r="M479" i="5"/>
  <c r="K479" i="5"/>
  <c r="L479" i="5" s="1"/>
  <c r="M478" i="5"/>
  <c r="K478" i="5"/>
  <c r="L478" i="5" s="1"/>
  <c r="M477" i="5"/>
  <c r="K477" i="5"/>
  <c r="L477" i="5" s="1"/>
  <c r="M476" i="5"/>
  <c r="K476" i="5"/>
  <c r="L476" i="5" s="1"/>
  <c r="M475" i="5"/>
  <c r="K475" i="5"/>
  <c r="L475" i="5" s="1"/>
  <c r="M474" i="5"/>
  <c r="K474" i="5"/>
  <c r="L474" i="5" s="1"/>
  <c r="M473" i="5"/>
  <c r="K473" i="5"/>
  <c r="L473" i="5" s="1"/>
  <c r="M472" i="5"/>
  <c r="K472" i="5"/>
  <c r="L472" i="5" s="1"/>
  <c r="M471" i="5"/>
  <c r="K471" i="5"/>
  <c r="L471" i="5" s="1"/>
  <c r="M470" i="5"/>
  <c r="K470" i="5"/>
  <c r="L470" i="5" s="1"/>
  <c r="M469" i="5"/>
  <c r="K469" i="5"/>
  <c r="L469" i="5" s="1"/>
  <c r="M468" i="5"/>
  <c r="K468" i="5"/>
  <c r="L468" i="5" s="1"/>
  <c r="M467" i="5"/>
  <c r="K467" i="5"/>
  <c r="L467" i="5" s="1"/>
  <c r="M466" i="5"/>
  <c r="K466" i="5"/>
  <c r="L466" i="5" s="1"/>
  <c r="M465" i="5"/>
  <c r="K465" i="5"/>
  <c r="L465" i="5" s="1"/>
  <c r="E21" i="7" s="1"/>
  <c r="M464" i="5"/>
  <c r="K464" i="5"/>
  <c r="L464" i="5" s="1"/>
  <c r="M463" i="5"/>
  <c r="K463" i="5"/>
  <c r="L463" i="5" s="1"/>
  <c r="M462" i="5"/>
  <c r="K462" i="5"/>
  <c r="L462" i="5" s="1"/>
  <c r="M461" i="5"/>
  <c r="K461" i="5"/>
  <c r="L461" i="5" s="1"/>
  <c r="M460" i="5"/>
  <c r="K460" i="5"/>
  <c r="L460" i="5" s="1"/>
  <c r="M459" i="5"/>
  <c r="K459" i="5"/>
  <c r="L459" i="5" s="1"/>
  <c r="M458" i="5"/>
  <c r="K458" i="5"/>
  <c r="L458" i="5" s="1"/>
  <c r="M457" i="5"/>
  <c r="K457" i="5"/>
  <c r="L457" i="5" s="1"/>
  <c r="M456" i="5"/>
  <c r="K456" i="5"/>
  <c r="L456" i="5" s="1"/>
  <c r="M455" i="5"/>
  <c r="K455" i="5"/>
  <c r="L455" i="5" s="1"/>
  <c r="M454" i="5"/>
  <c r="K454" i="5"/>
  <c r="L454" i="5" s="1"/>
  <c r="M453" i="5"/>
  <c r="K453" i="5"/>
  <c r="L453" i="5" s="1"/>
  <c r="M452" i="5"/>
  <c r="K452" i="5"/>
  <c r="L452" i="5" s="1"/>
  <c r="M451" i="5"/>
  <c r="K451" i="5"/>
  <c r="L451" i="5" s="1"/>
  <c r="M450" i="5"/>
  <c r="K450" i="5"/>
  <c r="L450" i="5" s="1"/>
  <c r="M449" i="5"/>
  <c r="K449" i="5"/>
  <c r="L449" i="5" s="1"/>
  <c r="M448" i="5"/>
  <c r="K448" i="5"/>
  <c r="L448" i="5" s="1"/>
  <c r="M447" i="5"/>
  <c r="K447" i="5"/>
  <c r="L447" i="5" s="1"/>
  <c r="M446" i="5"/>
  <c r="K446" i="5"/>
  <c r="L446" i="5" s="1"/>
  <c r="M445" i="5"/>
  <c r="K445" i="5"/>
  <c r="L445" i="5" s="1"/>
  <c r="M444" i="5"/>
  <c r="K444" i="5"/>
  <c r="L444" i="5" s="1"/>
  <c r="M443" i="5"/>
  <c r="K443" i="5"/>
  <c r="L443" i="5" s="1"/>
  <c r="M442" i="5"/>
  <c r="K442" i="5"/>
  <c r="L442" i="5" s="1"/>
  <c r="M441" i="5"/>
  <c r="K441" i="5"/>
  <c r="L441" i="5" s="1"/>
  <c r="M440" i="5"/>
  <c r="K440" i="5"/>
  <c r="L440" i="5" s="1"/>
  <c r="M439" i="5"/>
  <c r="K439" i="5"/>
  <c r="L439" i="5" s="1"/>
  <c r="M438" i="5"/>
  <c r="K438" i="5"/>
  <c r="L438" i="5" s="1"/>
  <c r="M437" i="5"/>
  <c r="K437" i="5"/>
  <c r="L437" i="5" s="1"/>
  <c r="M436" i="5"/>
  <c r="K436" i="5"/>
  <c r="L436" i="5" s="1"/>
  <c r="M435" i="5"/>
  <c r="K435" i="5"/>
  <c r="L435" i="5" s="1"/>
  <c r="M434" i="5"/>
  <c r="K434" i="5"/>
  <c r="L434" i="5" s="1"/>
  <c r="M433" i="5"/>
  <c r="K433" i="5"/>
  <c r="L433" i="5" s="1"/>
  <c r="M432" i="5"/>
  <c r="K432" i="5"/>
  <c r="L432" i="5" s="1"/>
  <c r="M431" i="5"/>
  <c r="K431" i="5"/>
  <c r="L431" i="5" s="1"/>
  <c r="M430" i="5"/>
  <c r="K430" i="5"/>
  <c r="L430" i="5" s="1"/>
  <c r="E11" i="7" s="1"/>
  <c r="M429" i="5"/>
  <c r="K429" i="5"/>
  <c r="L429" i="5" s="1"/>
  <c r="M428" i="5"/>
  <c r="K428" i="5"/>
  <c r="L428" i="5" s="1"/>
  <c r="M427" i="5"/>
  <c r="K427" i="5"/>
  <c r="L427" i="5" s="1"/>
  <c r="M426" i="5"/>
  <c r="K426" i="5"/>
  <c r="L426" i="5" s="1"/>
  <c r="M425" i="5"/>
  <c r="K425" i="5"/>
  <c r="L425" i="5" s="1"/>
  <c r="M424" i="5"/>
  <c r="K424" i="5"/>
  <c r="L424" i="5" s="1"/>
  <c r="M423" i="5"/>
  <c r="K423" i="5"/>
  <c r="L423" i="5" s="1"/>
  <c r="M422" i="5"/>
  <c r="K422" i="5"/>
  <c r="L422" i="5" s="1"/>
  <c r="M421" i="5"/>
  <c r="K421" i="5"/>
  <c r="L421" i="5" s="1"/>
  <c r="M420" i="5"/>
  <c r="K420" i="5"/>
  <c r="L420" i="5" s="1"/>
  <c r="M419" i="5"/>
  <c r="K419" i="5"/>
  <c r="L419" i="5" s="1"/>
  <c r="M418" i="5"/>
  <c r="K418" i="5"/>
  <c r="L418" i="5" s="1"/>
  <c r="M417" i="5"/>
  <c r="K417" i="5"/>
  <c r="L417" i="5" s="1"/>
  <c r="M416" i="5"/>
  <c r="K416" i="5"/>
  <c r="L416" i="5" s="1"/>
  <c r="M415" i="5"/>
  <c r="K415" i="5"/>
  <c r="L415" i="5" s="1"/>
  <c r="M414" i="5"/>
  <c r="K414" i="5"/>
  <c r="L414" i="5" s="1"/>
  <c r="M413" i="5"/>
  <c r="K413" i="5"/>
  <c r="L413" i="5" s="1"/>
  <c r="M412" i="5"/>
  <c r="K412" i="5"/>
  <c r="L412" i="5" s="1"/>
  <c r="M411" i="5"/>
  <c r="K411" i="5"/>
  <c r="L411" i="5" s="1"/>
  <c r="M410" i="5"/>
  <c r="K410" i="5"/>
  <c r="L410" i="5" s="1"/>
  <c r="M409" i="5"/>
  <c r="K409" i="5"/>
  <c r="L409" i="5" s="1"/>
  <c r="M408" i="5"/>
  <c r="K408" i="5"/>
  <c r="L408" i="5" s="1"/>
  <c r="M407" i="5"/>
  <c r="K407" i="5"/>
  <c r="L407" i="5" s="1"/>
  <c r="M406" i="5"/>
  <c r="K406" i="5"/>
  <c r="L406" i="5" s="1"/>
  <c r="M405" i="5"/>
  <c r="K405" i="5"/>
  <c r="L405" i="5" s="1"/>
  <c r="M404" i="5"/>
  <c r="K404" i="5"/>
  <c r="L404" i="5" s="1"/>
  <c r="M403" i="5"/>
  <c r="K403" i="5"/>
  <c r="L403" i="5" s="1"/>
  <c r="M402" i="5"/>
  <c r="K402" i="5"/>
  <c r="L402" i="5" s="1"/>
  <c r="M401" i="5"/>
  <c r="K401" i="5"/>
  <c r="L401" i="5" s="1"/>
  <c r="M400" i="5"/>
  <c r="K400" i="5"/>
  <c r="L400" i="5" s="1"/>
  <c r="M399" i="5"/>
  <c r="K399" i="5"/>
  <c r="L399" i="5" s="1"/>
  <c r="M398" i="5"/>
  <c r="K398" i="5"/>
  <c r="L398" i="5" s="1"/>
  <c r="M397" i="5"/>
  <c r="K397" i="5"/>
  <c r="L397" i="5" s="1"/>
  <c r="M396" i="5"/>
  <c r="K396" i="5"/>
  <c r="L396" i="5" s="1"/>
  <c r="M395" i="5"/>
  <c r="K395" i="5"/>
  <c r="L395" i="5" s="1"/>
  <c r="M394" i="5"/>
  <c r="K394" i="5"/>
  <c r="L394" i="5" s="1"/>
  <c r="M393" i="5"/>
  <c r="K393" i="5"/>
  <c r="L393" i="5" s="1"/>
  <c r="M392" i="5"/>
  <c r="K392" i="5"/>
  <c r="L392" i="5" s="1"/>
  <c r="M391" i="5"/>
  <c r="K391" i="5"/>
  <c r="L391" i="5" s="1"/>
  <c r="M390" i="5"/>
  <c r="K390" i="5"/>
  <c r="L390" i="5" s="1"/>
  <c r="M389" i="5"/>
  <c r="K389" i="5"/>
  <c r="L389" i="5" s="1"/>
  <c r="M388" i="5"/>
  <c r="K388" i="5"/>
  <c r="L388" i="5" s="1"/>
  <c r="M387" i="5"/>
  <c r="K387" i="5"/>
  <c r="L387" i="5" s="1"/>
  <c r="M386" i="5"/>
  <c r="K386" i="5"/>
  <c r="L386" i="5" s="1"/>
  <c r="M385" i="5"/>
  <c r="K385" i="5"/>
  <c r="L385" i="5" s="1"/>
  <c r="M384" i="5"/>
  <c r="K384" i="5"/>
  <c r="L384" i="5" s="1"/>
  <c r="M383" i="5"/>
  <c r="K383" i="5"/>
  <c r="L383" i="5" s="1"/>
  <c r="M382" i="5"/>
  <c r="K382" i="5"/>
  <c r="L382" i="5" s="1"/>
  <c r="M381" i="5"/>
  <c r="K381" i="5"/>
  <c r="L381" i="5" s="1"/>
  <c r="M380" i="5"/>
  <c r="K380" i="5"/>
  <c r="L380" i="5" s="1"/>
  <c r="M379" i="5"/>
  <c r="K379" i="5"/>
  <c r="L379" i="5" s="1"/>
  <c r="M378" i="5"/>
  <c r="K378" i="5"/>
  <c r="L378" i="5" s="1"/>
  <c r="M377" i="5"/>
  <c r="K377" i="5"/>
  <c r="L377" i="5" s="1"/>
  <c r="M376" i="5"/>
  <c r="K376" i="5"/>
  <c r="L376" i="5" s="1"/>
  <c r="M375" i="5"/>
  <c r="K375" i="5"/>
  <c r="L375" i="5" s="1"/>
  <c r="M374" i="5"/>
  <c r="K374" i="5"/>
  <c r="L374" i="5" s="1"/>
  <c r="M373" i="5"/>
  <c r="K373" i="5"/>
  <c r="L373" i="5" s="1"/>
  <c r="M372" i="5"/>
  <c r="K372" i="5"/>
  <c r="L372" i="5" s="1"/>
  <c r="M371" i="5"/>
  <c r="K371" i="5"/>
  <c r="L371" i="5" s="1"/>
  <c r="M370" i="5"/>
  <c r="K370" i="5"/>
  <c r="L370" i="5" s="1"/>
  <c r="M369" i="5"/>
  <c r="K369" i="5"/>
  <c r="L369" i="5" s="1"/>
  <c r="M368" i="5"/>
  <c r="K368" i="5"/>
  <c r="L368" i="5" s="1"/>
  <c r="M367" i="5"/>
  <c r="K367" i="5"/>
  <c r="L367" i="5" s="1"/>
  <c r="M366" i="5"/>
  <c r="K366" i="5"/>
  <c r="L366" i="5" s="1"/>
  <c r="M365" i="5"/>
  <c r="K365" i="5"/>
  <c r="L365" i="5" s="1"/>
  <c r="M364" i="5"/>
  <c r="K364" i="5"/>
  <c r="L364" i="5" s="1"/>
  <c r="M363" i="5"/>
  <c r="K363" i="5"/>
  <c r="L363" i="5" s="1"/>
  <c r="M362" i="5"/>
  <c r="K362" i="5"/>
  <c r="L362" i="5" s="1"/>
  <c r="M361" i="5"/>
  <c r="K361" i="5"/>
  <c r="L361" i="5" s="1"/>
  <c r="M360" i="5"/>
  <c r="K360" i="5"/>
  <c r="L360" i="5" s="1"/>
  <c r="M359" i="5"/>
  <c r="K359" i="5"/>
  <c r="L359" i="5" s="1"/>
  <c r="M358" i="5"/>
  <c r="K358" i="5"/>
  <c r="L358" i="5" s="1"/>
  <c r="M357" i="5"/>
  <c r="K357" i="5"/>
  <c r="L357" i="5" s="1"/>
  <c r="M356" i="5"/>
  <c r="K356" i="5"/>
  <c r="L356" i="5" s="1"/>
  <c r="M355" i="5"/>
  <c r="K355" i="5"/>
  <c r="L355" i="5" s="1"/>
  <c r="M354" i="5"/>
  <c r="K354" i="5"/>
  <c r="L354" i="5" s="1"/>
  <c r="M353" i="5"/>
  <c r="K353" i="5"/>
  <c r="L353" i="5" s="1"/>
  <c r="M352" i="5"/>
  <c r="K352" i="5"/>
  <c r="L352" i="5" s="1"/>
  <c r="M351" i="5"/>
  <c r="K351" i="5"/>
  <c r="L351" i="5" s="1"/>
  <c r="M350" i="5"/>
  <c r="K350" i="5"/>
  <c r="L350" i="5" s="1"/>
  <c r="M349" i="5"/>
  <c r="K349" i="5"/>
  <c r="L349" i="5" s="1"/>
  <c r="M348" i="5"/>
  <c r="K348" i="5"/>
  <c r="L348" i="5" s="1"/>
  <c r="M347" i="5"/>
  <c r="K347" i="5"/>
  <c r="L347" i="5" s="1"/>
  <c r="M346" i="5"/>
  <c r="K346" i="5"/>
  <c r="L346" i="5" s="1"/>
  <c r="M345" i="5"/>
  <c r="K345" i="5"/>
  <c r="L345" i="5" s="1"/>
  <c r="M344" i="5"/>
  <c r="K344" i="5"/>
  <c r="L344" i="5" s="1"/>
  <c r="M343" i="5"/>
  <c r="K343" i="5"/>
  <c r="L343" i="5" s="1"/>
  <c r="M342" i="5"/>
  <c r="K342" i="5"/>
  <c r="L342" i="5" s="1"/>
  <c r="M341" i="5"/>
  <c r="K341" i="5"/>
  <c r="L341" i="5" s="1"/>
  <c r="M340" i="5"/>
  <c r="K340" i="5"/>
  <c r="L340" i="5" s="1"/>
  <c r="M339" i="5"/>
  <c r="K339" i="5"/>
  <c r="L339" i="5" s="1"/>
  <c r="M338" i="5"/>
  <c r="K338" i="5"/>
  <c r="L338" i="5" s="1"/>
  <c r="M337" i="5"/>
  <c r="K337" i="5"/>
  <c r="L337" i="5" s="1"/>
  <c r="M336" i="5"/>
  <c r="K336" i="5"/>
  <c r="L336" i="5" s="1"/>
  <c r="M335" i="5"/>
  <c r="K335" i="5"/>
  <c r="L335" i="5" s="1"/>
  <c r="M334" i="5"/>
  <c r="K334" i="5"/>
  <c r="L334" i="5" s="1"/>
  <c r="M333" i="5"/>
  <c r="K333" i="5"/>
  <c r="L333" i="5" s="1"/>
  <c r="M332" i="5"/>
  <c r="K332" i="5"/>
  <c r="L332" i="5" s="1"/>
  <c r="M331" i="5"/>
  <c r="K331" i="5"/>
  <c r="L331" i="5" s="1"/>
  <c r="M330" i="5"/>
  <c r="K330" i="5"/>
  <c r="L330" i="5" s="1"/>
  <c r="M329" i="5"/>
  <c r="K329" i="5"/>
  <c r="L329" i="5" s="1"/>
  <c r="M328" i="5"/>
  <c r="K328" i="5"/>
  <c r="L328" i="5" s="1"/>
  <c r="M327" i="5"/>
  <c r="K327" i="5"/>
  <c r="L327" i="5" s="1"/>
  <c r="M326" i="5"/>
  <c r="K326" i="5"/>
  <c r="L326" i="5" s="1"/>
  <c r="M325" i="5"/>
  <c r="K325" i="5"/>
  <c r="L325" i="5" s="1"/>
  <c r="M324" i="5"/>
  <c r="K324" i="5"/>
  <c r="L324" i="5" s="1"/>
  <c r="M323" i="5"/>
  <c r="K323" i="5"/>
  <c r="L323" i="5" s="1"/>
  <c r="M322" i="5"/>
  <c r="K322" i="5"/>
  <c r="L322" i="5" s="1"/>
  <c r="M321" i="5"/>
  <c r="K321" i="5"/>
  <c r="L321" i="5" s="1"/>
  <c r="M320" i="5"/>
  <c r="K320" i="5"/>
  <c r="L320" i="5" s="1"/>
  <c r="M319" i="5"/>
  <c r="K319" i="5"/>
  <c r="L319" i="5" s="1"/>
  <c r="M318" i="5"/>
  <c r="K318" i="5"/>
  <c r="L318" i="5" s="1"/>
  <c r="M317" i="5"/>
  <c r="K317" i="5"/>
  <c r="L317" i="5" s="1"/>
  <c r="M316" i="5"/>
  <c r="K316" i="5"/>
  <c r="L316" i="5" s="1"/>
  <c r="M315" i="5"/>
  <c r="K315" i="5"/>
  <c r="L315" i="5" s="1"/>
  <c r="M314" i="5"/>
  <c r="K314" i="5"/>
  <c r="L314" i="5" s="1"/>
  <c r="M313" i="5"/>
  <c r="K313" i="5"/>
  <c r="L313" i="5" s="1"/>
  <c r="M312" i="5"/>
  <c r="K312" i="5"/>
  <c r="L312" i="5" s="1"/>
  <c r="M311" i="5"/>
  <c r="K311" i="5"/>
  <c r="L311" i="5" s="1"/>
  <c r="M310" i="5"/>
  <c r="K310" i="5"/>
  <c r="L310" i="5" s="1"/>
  <c r="M309" i="5"/>
  <c r="K309" i="5"/>
  <c r="L309" i="5" s="1"/>
  <c r="M308" i="5"/>
  <c r="K308" i="5"/>
  <c r="L308" i="5" s="1"/>
  <c r="M307" i="5"/>
  <c r="K307" i="5"/>
  <c r="L307" i="5" s="1"/>
  <c r="M306" i="5"/>
  <c r="K306" i="5"/>
  <c r="L306" i="5" s="1"/>
  <c r="M305" i="5"/>
  <c r="K305" i="5"/>
  <c r="L305" i="5" s="1"/>
  <c r="M304" i="5"/>
  <c r="K304" i="5"/>
  <c r="L304" i="5" s="1"/>
  <c r="M303" i="5"/>
  <c r="K303" i="5"/>
  <c r="L303" i="5" s="1"/>
  <c r="M302" i="5"/>
  <c r="K302" i="5"/>
  <c r="L302" i="5" s="1"/>
  <c r="M301" i="5"/>
  <c r="K301" i="5"/>
  <c r="L301" i="5" s="1"/>
  <c r="M300" i="5"/>
  <c r="K300" i="5"/>
  <c r="L300" i="5" s="1"/>
  <c r="M299" i="5"/>
  <c r="K299" i="5"/>
  <c r="L299" i="5" s="1"/>
  <c r="M298" i="5"/>
  <c r="K298" i="5"/>
  <c r="L298" i="5" s="1"/>
  <c r="M297" i="5"/>
  <c r="K297" i="5"/>
  <c r="L297" i="5" s="1"/>
  <c r="M296" i="5"/>
  <c r="K296" i="5"/>
  <c r="L296" i="5" s="1"/>
  <c r="M295" i="5"/>
  <c r="K295" i="5"/>
  <c r="L295" i="5" s="1"/>
  <c r="M294" i="5"/>
  <c r="K294" i="5"/>
  <c r="L294" i="5" s="1"/>
  <c r="M293" i="5"/>
  <c r="K293" i="5"/>
  <c r="L293" i="5" s="1"/>
  <c r="M292" i="5"/>
  <c r="K292" i="5"/>
  <c r="L292" i="5" s="1"/>
  <c r="M291" i="5"/>
  <c r="K291" i="5"/>
  <c r="L291" i="5" s="1"/>
  <c r="M290" i="5"/>
  <c r="K290" i="5"/>
  <c r="L290" i="5" s="1"/>
  <c r="M289" i="5"/>
  <c r="K289" i="5"/>
  <c r="L289" i="5" s="1"/>
  <c r="M288" i="5"/>
  <c r="K288" i="5"/>
  <c r="L288" i="5" s="1"/>
  <c r="M287" i="5"/>
  <c r="K287" i="5"/>
  <c r="L287" i="5" s="1"/>
  <c r="M286" i="5"/>
  <c r="K286" i="5"/>
  <c r="L286" i="5" s="1"/>
  <c r="M285" i="5"/>
  <c r="K285" i="5"/>
  <c r="L285" i="5" s="1"/>
  <c r="M284" i="5"/>
  <c r="K284" i="5"/>
  <c r="L284" i="5" s="1"/>
  <c r="M283" i="5"/>
  <c r="K283" i="5"/>
  <c r="L283" i="5" s="1"/>
  <c r="M282" i="5"/>
  <c r="K282" i="5"/>
  <c r="L282" i="5" s="1"/>
  <c r="M281" i="5"/>
  <c r="K281" i="5"/>
  <c r="L281" i="5" s="1"/>
  <c r="M280" i="5"/>
  <c r="K280" i="5"/>
  <c r="L280" i="5" s="1"/>
  <c r="M279" i="5"/>
  <c r="K279" i="5"/>
  <c r="L279" i="5" s="1"/>
  <c r="M278" i="5"/>
  <c r="K278" i="5"/>
  <c r="L278" i="5" s="1"/>
  <c r="M277" i="5"/>
  <c r="K277" i="5"/>
  <c r="L277" i="5" s="1"/>
  <c r="M276" i="5"/>
  <c r="K276" i="5"/>
  <c r="L276" i="5" s="1"/>
  <c r="M275" i="5"/>
  <c r="K275" i="5"/>
  <c r="L275" i="5" s="1"/>
  <c r="M274" i="5"/>
  <c r="K274" i="5"/>
  <c r="L274" i="5" s="1"/>
  <c r="M273" i="5"/>
  <c r="K273" i="5"/>
  <c r="L273" i="5" s="1"/>
  <c r="M272" i="5"/>
  <c r="K272" i="5"/>
  <c r="L272" i="5" s="1"/>
  <c r="M271" i="5"/>
  <c r="K271" i="5"/>
  <c r="L271" i="5" s="1"/>
  <c r="M270" i="5"/>
  <c r="K270" i="5"/>
  <c r="L270" i="5" s="1"/>
  <c r="M269" i="5"/>
  <c r="K269" i="5"/>
  <c r="L269" i="5" s="1"/>
  <c r="M268" i="5"/>
  <c r="K268" i="5"/>
  <c r="L268" i="5" s="1"/>
  <c r="M267" i="5"/>
  <c r="K267" i="5"/>
  <c r="L267" i="5" s="1"/>
  <c r="M266" i="5"/>
  <c r="K266" i="5"/>
  <c r="L266" i="5" s="1"/>
  <c r="M265" i="5"/>
  <c r="K265" i="5"/>
  <c r="L265" i="5" s="1"/>
  <c r="M264" i="5"/>
  <c r="K264" i="5"/>
  <c r="L264" i="5" s="1"/>
  <c r="M263" i="5"/>
  <c r="K263" i="5"/>
  <c r="L263" i="5" s="1"/>
  <c r="M262" i="5"/>
  <c r="K262" i="5"/>
  <c r="L262" i="5" s="1"/>
  <c r="M261" i="5"/>
  <c r="K261" i="5"/>
  <c r="L261" i="5" s="1"/>
  <c r="M260" i="5"/>
  <c r="K260" i="5"/>
  <c r="L260" i="5" s="1"/>
  <c r="M259" i="5"/>
  <c r="K259" i="5"/>
  <c r="L259" i="5" s="1"/>
  <c r="M258" i="5"/>
  <c r="K258" i="5"/>
  <c r="L258" i="5" s="1"/>
  <c r="M257" i="5"/>
  <c r="K257" i="5"/>
  <c r="L257" i="5" s="1"/>
  <c r="M256" i="5"/>
  <c r="K256" i="5"/>
  <c r="L256" i="5" s="1"/>
  <c r="M255" i="5"/>
  <c r="K255" i="5"/>
  <c r="L255" i="5" s="1"/>
  <c r="M254" i="5"/>
  <c r="K254" i="5"/>
  <c r="L254" i="5" s="1"/>
  <c r="M253" i="5"/>
  <c r="K253" i="5"/>
  <c r="L253" i="5" s="1"/>
  <c r="M252" i="5"/>
  <c r="K252" i="5"/>
  <c r="L252" i="5" s="1"/>
  <c r="M251" i="5"/>
  <c r="K251" i="5"/>
  <c r="L251" i="5" s="1"/>
  <c r="M250" i="5"/>
  <c r="K250" i="5"/>
  <c r="L250" i="5" s="1"/>
  <c r="M249" i="5"/>
  <c r="K249" i="5"/>
  <c r="L249" i="5" s="1"/>
  <c r="M248" i="5"/>
  <c r="K248" i="5"/>
  <c r="L248" i="5" s="1"/>
  <c r="M247" i="5"/>
  <c r="K247" i="5"/>
  <c r="L247" i="5" s="1"/>
  <c r="M246" i="5"/>
  <c r="K246" i="5"/>
  <c r="L246" i="5" s="1"/>
  <c r="E20" i="7" s="1"/>
  <c r="M245" i="5"/>
  <c r="K245" i="5"/>
  <c r="L245" i="5" s="1"/>
  <c r="M244" i="5"/>
  <c r="K244" i="5"/>
  <c r="L244" i="5" s="1"/>
  <c r="M243" i="5"/>
  <c r="K243" i="5"/>
  <c r="L243" i="5" s="1"/>
  <c r="M242" i="5"/>
  <c r="K242" i="5"/>
  <c r="L242" i="5" s="1"/>
  <c r="M241" i="5"/>
  <c r="K241" i="5"/>
  <c r="L241" i="5" s="1"/>
  <c r="M240" i="5"/>
  <c r="K240" i="5"/>
  <c r="L240" i="5" s="1"/>
  <c r="M239" i="5"/>
  <c r="K239" i="5"/>
  <c r="L239" i="5" s="1"/>
  <c r="M238" i="5"/>
  <c r="K238" i="5"/>
  <c r="L238" i="5" s="1"/>
  <c r="M237" i="5"/>
  <c r="K237" i="5"/>
  <c r="L237" i="5" s="1"/>
  <c r="M236" i="5"/>
  <c r="K236" i="5"/>
  <c r="L236" i="5" s="1"/>
  <c r="M235" i="5"/>
  <c r="K235" i="5"/>
  <c r="L235" i="5" s="1"/>
  <c r="M234" i="5"/>
  <c r="K234" i="5"/>
  <c r="L234" i="5" s="1"/>
  <c r="M233" i="5"/>
  <c r="K233" i="5"/>
  <c r="L233" i="5" s="1"/>
  <c r="M232" i="5"/>
  <c r="K232" i="5"/>
  <c r="L232" i="5" s="1"/>
  <c r="M231" i="5"/>
  <c r="K231" i="5"/>
  <c r="L231" i="5" s="1"/>
  <c r="M230" i="5"/>
  <c r="K230" i="5"/>
  <c r="L230" i="5" s="1"/>
  <c r="M229" i="5"/>
  <c r="K229" i="5"/>
  <c r="L229" i="5" s="1"/>
  <c r="M228" i="5"/>
  <c r="K228" i="5"/>
  <c r="L228" i="5" s="1"/>
  <c r="M227" i="5"/>
  <c r="K227" i="5"/>
  <c r="L227" i="5" s="1"/>
  <c r="M226" i="5"/>
  <c r="K226" i="5"/>
  <c r="L226" i="5" s="1"/>
  <c r="M225" i="5"/>
  <c r="K225" i="5"/>
  <c r="L225" i="5" s="1"/>
  <c r="M224" i="5"/>
  <c r="K224" i="5"/>
  <c r="L224" i="5" s="1"/>
  <c r="M223" i="5"/>
  <c r="K223" i="5"/>
  <c r="L223" i="5" s="1"/>
  <c r="M222" i="5"/>
  <c r="K222" i="5"/>
  <c r="L222" i="5" s="1"/>
  <c r="M221" i="5"/>
  <c r="K221" i="5"/>
  <c r="L221" i="5" s="1"/>
  <c r="M220" i="5"/>
  <c r="K220" i="5"/>
  <c r="L220" i="5" s="1"/>
  <c r="M219" i="5"/>
  <c r="K219" i="5"/>
  <c r="L219" i="5" s="1"/>
  <c r="M218" i="5"/>
  <c r="K218" i="5"/>
  <c r="L218" i="5" s="1"/>
  <c r="M217" i="5"/>
  <c r="K217" i="5"/>
  <c r="L217" i="5" s="1"/>
  <c r="M216" i="5"/>
  <c r="K216" i="5"/>
  <c r="L216" i="5" s="1"/>
  <c r="M215" i="5"/>
  <c r="K215" i="5"/>
  <c r="L215" i="5" s="1"/>
  <c r="M214" i="5"/>
  <c r="K214" i="5"/>
  <c r="L214" i="5" s="1"/>
  <c r="M213" i="5"/>
  <c r="K213" i="5"/>
  <c r="L213" i="5" s="1"/>
  <c r="M212" i="5"/>
  <c r="K212" i="5"/>
  <c r="L212" i="5" s="1"/>
  <c r="M211" i="5"/>
  <c r="K211" i="5"/>
  <c r="L211" i="5" s="1"/>
  <c r="M210" i="5"/>
  <c r="K210" i="5"/>
  <c r="L210" i="5" s="1"/>
  <c r="M209" i="5"/>
  <c r="K209" i="5"/>
  <c r="L209" i="5" s="1"/>
  <c r="M208" i="5"/>
  <c r="K208" i="5"/>
  <c r="L208" i="5" s="1"/>
  <c r="M207" i="5"/>
  <c r="K207" i="5"/>
  <c r="L207" i="5" s="1"/>
  <c r="M206" i="5"/>
  <c r="K206" i="5"/>
  <c r="L206" i="5" s="1"/>
  <c r="M205" i="5"/>
  <c r="K205" i="5"/>
  <c r="L205" i="5" s="1"/>
  <c r="M204" i="5"/>
  <c r="K204" i="5"/>
  <c r="L204" i="5" s="1"/>
  <c r="M203" i="5"/>
  <c r="K203" i="5"/>
  <c r="L203" i="5" s="1"/>
  <c r="M202" i="5"/>
  <c r="K202" i="5"/>
  <c r="L202" i="5" s="1"/>
  <c r="M201" i="5"/>
  <c r="K201" i="5"/>
  <c r="L201" i="5" s="1"/>
  <c r="M200" i="5"/>
  <c r="K200" i="5"/>
  <c r="L200" i="5" s="1"/>
  <c r="M199" i="5"/>
  <c r="K199" i="5"/>
  <c r="L199" i="5" s="1"/>
  <c r="M198" i="5"/>
  <c r="K198" i="5"/>
  <c r="L198" i="5" s="1"/>
  <c r="M197" i="5"/>
  <c r="K197" i="5"/>
  <c r="L197" i="5" s="1"/>
  <c r="M196" i="5"/>
  <c r="K196" i="5"/>
  <c r="L196" i="5" s="1"/>
  <c r="M195" i="5"/>
  <c r="K195" i="5"/>
  <c r="L195" i="5" s="1"/>
  <c r="M194" i="5"/>
  <c r="K194" i="5"/>
  <c r="L194" i="5" s="1"/>
  <c r="M193" i="5"/>
  <c r="K193" i="5"/>
  <c r="L193" i="5" s="1"/>
  <c r="M192" i="5"/>
  <c r="K192" i="5"/>
  <c r="L192" i="5" s="1"/>
  <c r="M191" i="5"/>
  <c r="K191" i="5"/>
  <c r="L191" i="5" s="1"/>
  <c r="M190" i="5"/>
  <c r="K190" i="5"/>
  <c r="L190" i="5" s="1"/>
  <c r="M189" i="5"/>
  <c r="K189" i="5"/>
  <c r="L189" i="5" s="1"/>
  <c r="M188" i="5"/>
  <c r="K188" i="5"/>
  <c r="L188" i="5" s="1"/>
  <c r="M187" i="5"/>
  <c r="K187" i="5"/>
  <c r="L187" i="5" s="1"/>
  <c r="M186" i="5"/>
  <c r="K186" i="5"/>
  <c r="L186" i="5" s="1"/>
  <c r="M185" i="5"/>
  <c r="K185" i="5"/>
  <c r="L185" i="5" s="1"/>
  <c r="M184" i="5"/>
  <c r="K184" i="5"/>
  <c r="L184" i="5" s="1"/>
  <c r="M183" i="5"/>
  <c r="K183" i="5"/>
  <c r="L183" i="5" s="1"/>
  <c r="M182" i="5"/>
  <c r="K182" i="5"/>
  <c r="L182" i="5" s="1"/>
  <c r="M181" i="5"/>
  <c r="K181" i="5"/>
  <c r="L181" i="5" s="1"/>
  <c r="M180" i="5"/>
  <c r="K180" i="5"/>
  <c r="L180" i="5" s="1"/>
  <c r="M179" i="5"/>
  <c r="K179" i="5"/>
  <c r="L179" i="5" s="1"/>
  <c r="M178" i="5"/>
  <c r="K178" i="5"/>
  <c r="L178" i="5" s="1"/>
  <c r="M177" i="5"/>
  <c r="K177" i="5"/>
  <c r="L177" i="5" s="1"/>
  <c r="M176" i="5"/>
  <c r="K176" i="5"/>
  <c r="L176" i="5" s="1"/>
  <c r="M175" i="5"/>
  <c r="K175" i="5"/>
  <c r="L175" i="5" s="1"/>
  <c r="M174" i="5"/>
  <c r="K174" i="5"/>
  <c r="L174" i="5" s="1"/>
  <c r="M173" i="5"/>
  <c r="K173" i="5"/>
  <c r="L173" i="5" s="1"/>
  <c r="M172" i="5"/>
  <c r="K172" i="5"/>
  <c r="L172" i="5" s="1"/>
  <c r="M171" i="5"/>
  <c r="K171" i="5"/>
  <c r="L171" i="5" s="1"/>
  <c r="M170" i="5"/>
  <c r="K170" i="5"/>
  <c r="L170" i="5" s="1"/>
  <c r="M169" i="5"/>
  <c r="K169" i="5"/>
  <c r="L169" i="5" s="1"/>
  <c r="M168" i="5"/>
  <c r="K168" i="5"/>
  <c r="L168" i="5" s="1"/>
  <c r="M167" i="5"/>
  <c r="K167" i="5"/>
  <c r="L167" i="5" s="1"/>
  <c r="M166" i="5"/>
  <c r="K166" i="5"/>
  <c r="L166" i="5" s="1"/>
  <c r="M165" i="5"/>
  <c r="K165" i="5"/>
  <c r="L165" i="5" s="1"/>
  <c r="M164" i="5"/>
  <c r="K164" i="5"/>
  <c r="L164" i="5" s="1"/>
  <c r="M163" i="5"/>
  <c r="K163" i="5"/>
  <c r="L163" i="5" s="1"/>
  <c r="M162" i="5"/>
  <c r="K162" i="5"/>
  <c r="L162" i="5" s="1"/>
  <c r="M161" i="5"/>
  <c r="K161" i="5"/>
  <c r="L161" i="5" s="1"/>
  <c r="M160" i="5"/>
  <c r="K160" i="5"/>
  <c r="L160" i="5" s="1"/>
  <c r="M159" i="5"/>
  <c r="K159" i="5"/>
  <c r="L159" i="5" s="1"/>
  <c r="M158" i="5"/>
  <c r="K158" i="5"/>
  <c r="L158" i="5" s="1"/>
  <c r="M157" i="5"/>
  <c r="K157" i="5"/>
  <c r="L157" i="5" s="1"/>
  <c r="M156" i="5"/>
  <c r="K156" i="5"/>
  <c r="L156" i="5" s="1"/>
  <c r="M155" i="5"/>
  <c r="K155" i="5"/>
  <c r="L155" i="5" s="1"/>
  <c r="M154" i="5"/>
  <c r="K154" i="5"/>
  <c r="L154" i="5" s="1"/>
  <c r="M153" i="5"/>
  <c r="K153" i="5"/>
  <c r="L153" i="5" s="1"/>
  <c r="M152" i="5"/>
  <c r="K152" i="5"/>
  <c r="L152" i="5" s="1"/>
  <c r="M151" i="5"/>
  <c r="K151" i="5"/>
  <c r="L151" i="5" s="1"/>
  <c r="M150" i="5"/>
  <c r="K150" i="5"/>
  <c r="L150" i="5" s="1"/>
  <c r="M149" i="5"/>
  <c r="K149" i="5"/>
  <c r="L149" i="5" s="1"/>
  <c r="M148" i="5"/>
  <c r="K148" i="5"/>
  <c r="L148" i="5" s="1"/>
  <c r="M147" i="5"/>
  <c r="K147" i="5"/>
  <c r="L147" i="5" s="1"/>
  <c r="M146" i="5"/>
  <c r="K146" i="5"/>
  <c r="L146" i="5" s="1"/>
  <c r="M145" i="5"/>
  <c r="K145" i="5"/>
  <c r="L145" i="5" s="1"/>
  <c r="M144" i="5"/>
  <c r="K144" i="5"/>
  <c r="L144" i="5" s="1"/>
  <c r="M143" i="5"/>
  <c r="K143" i="5"/>
  <c r="L143" i="5" s="1"/>
  <c r="M142" i="5"/>
  <c r="K142" i="5"/>
  <c r="L142" i="5" s="1"/>
  <c r="M141" i="5"/>
  <c r="K141" i="5"/>
  <c r="L141" i="5" s="1"/>
  <c r="M140" i="5"/>
  <c r="K140" i="5"/>
  <c r="L140" i="5" s="1"/>
  <c r="M139" i="5"/>
  <c r="K139" i="5"/>
  <c r="L139" i="5" s="1"/>
  <c r="M138" i="5"/>
  <c r="K138" i="5"/>
  <c r="L138" i="5" s="1"/>
  <c r="M137" i="5"/>
  <c r="K137" i="5"/>
  <c r="L137" i="5" s="1"/>
  <c r="M136" i="5"/>
  <c r="K136" i="5"/>
  <c r="L136" i="5" s="1"/>
  <c r="M135" i="5"/>
  <c r="K135" i="5"/>
  <c r="L135" i="5" s="1"/>
  <c r="M134" i="5"/>
  <c r="K134" i="5"/>
  <c r="L134" i="5" s="1"/>
  <c r="M133" i="5"/>
  <c r="K133" i="5"/>
  <c r="L133" i="5" s="1"/>
  <c r="M132" i="5"/>
  <c r="K132" i="5"/>
  <c r="L132" i="5" s="1"/>
  <c r="M131" i="5"/>
  <c r="K131" i="5"/>
  <c r="L131" i="5" s="1"/>
  <c r="M130" i="5"/>
  <c r="K130" i="5"/>
  <c r="L130" i="5" s="1"/>
  <c r="M129" i="5"/>
  <c r="K129" i="5"/>
  <c r="L129" i="5" s="1"/>
  <c r="M128" i="5"/>
  <c r="K128" i="5"/>
  <c r="L128" i="5" s="1"/>
  <c r="M127" i="5"/>
  <c r="K127" i="5"/>
  <c r="L127" i="5" s="1"/>
  <c r="M126" i="5"/>
  <c r="K126" i="5"/>
  <c r="L126" i="5" s="1"/>
  <c r="M125" i="5"/>
  <c r="K125" i="5"/>
  <c r="L125" i="5" s="1"/>
  <c r="M124" i="5"/>
  <c r="K124" i="5"/>
  <c r="L124" i="5" s="1"/>
  <c r="M123" i="5"/>
  <c r="K123" i="5"/>
  <c r="L123" i="5" s="1"/>
  <c r="M122" i="5"/>
  <c r="K122" i="5"/>
  <c r="L122" i="5" s="1"/>
  <c r="M121" i="5"/>
  <c r="K121" i="5"/>
  <c r="L121" i="5" s="1"/>
  <c r="M120" i="5"/>
  <c r="K120" i="5"/>
  <c r="L120" i="5" s="1"/>
  <c r="M119" i="5"/>
  <c r="K119" i="5"/>
  <c r="L119" i="5" s="1"/>
  <c r="M118" i="5"/>
  <c r="K118" i="5"/>
  <c r="L118" i="5" s="1"/>
  <c r="M117" i="5"/>
  <c r="K117" i="5"/>
  <c r="L117" i="5" s="1"/>
  <c r="M116" i="5"/>
  <c r="K116" i="5"/>
  <c r="L116" i="5" s="1"/>
  <c r="M115" i="5"/>
  <c r="K115" i="5"/>
  <c r="L115" i="5" s="1"/>
  <c r="M114" i="5"/>
  <c r="K114" i="5"/>
  <c r="L114" i="5" s="1"/>
  <c r="M113" i="5"/>
  <c r="K113" i="5"/>
  <c r="L113" i="5" s="1"/>
  <c r="M112" i="5"/>
  <c r="K112" i="5"/>
  <c r="L112" i="5" s="1"/>
  <c r="M111" i="5"/>
  <c r="K111" i="5"/>
  <c r="L111" i="5" s="1"/>
  <c r="M110" i="5"/>
  <c r="K110" i="5"/>
  <c r="L110" i="5" s="1"/>
  <c r="M109" i="5"/>
  <c r="K109" i="5"/>
  <c r="L109" i="5" s="1"/>
  <c r="M108" i="5"/>
  <c r="K108" i="5"/>
  <c r="L108" i="5" s="1"/>
  <c r="M107" i="5"/>
  <c r="K107" i="5"/>
  <c r="L107" i="5" s="1"/>
  <c r="M106" i="5"/>
  <c r="K106" i="5"/>
  <c r="L106" i="5" s="1"/>
  <c r="M105" i="5"/>
  <c r="K105" i="5"/>
  <c r="L105" i="5" s="1"/>
  <c r="M104" i="5"/>
  <c r="K104" i="5"/>
  <c r="L104" i="5" s="1"/>
  <c r="M103" i="5"/>
  <c r="K103" i="5"/>
  <c r="L103" i="5" s="1"/>
  <c r="M102" i="5"/>
  <c r="K102" i="5"/>
  <c r="L102" i="5" s="1"/>
  <c r="M101" i="5"/>
  <c r="K101" i="5"/>
  <c r="L101" i="5" s="1"/>
  <c r="M100" i="5"/>
  <c r="K100" i="5"/>
  <c r="L100" i="5" s="1"/>
  <c r="M99" i="5"/>
  <c r="K99" i="5"/>
  <c r="L99" i="5" s="1"/>
  <c r="M98" i="5"/>
  <c r="K98" i="5"/>
  <c r="L98" i="5" s="1"/>
  <c r="M97" i="5"/>
  <c r="K97" i="5"/>
  <c r="L97" i="5" s="1"/>
  <c r="M96" i="5"/>
  <c r="K96" i="5"/>
  <c r="L96" i="5" s="1"/>
  <c r="M95" i="5"/>
  <c r="K95" i="5"/>
  <c r="L95" i="5" s="1"/>
  <c r="M94" i="5"/>
  <c r="K94" i="5"/>
  <c r="L94" i="5" s="1"/>
  <c r="M93" i="5"/>
  <c r="K93" i="5"/>
  <c r="L93" i="5" s="1"/>
  <c r="M92" i="5"/>
  <c r="K92" i="5"/>
  <c r="L92" i="5" s="1"/>
  <c r="M91" i="5"/>
  <c r="K91" i="5"/>
  <c r="L91" i="5" s="1"/>
  <c r="M90" i="5"/>
  <c r="K90" i="5"/>
  <c r="L90" i="5" s="1"/>
  <c r="M89" i="5"/>
  <c r="K89" i="5"/>
  <c r="L89" i="5" s="1"/>
  <c r="M88" i="5"/>
  <c r="K88" i="5"/>
  <c r="L88" i="5" s="1"/>
  <c r="M87" i="5"/>
  <c r="K87" i="5"/>
  <c r="L87" i="5" s="1"/>
  <c r="M86" i="5"/>
  <c r="K86" i="5"/>
  <c r="L86" i="5" s="1"/>
  <c r="M85" i="5"/>
  <c r="K85" i="5"/>
  <c r="L85" i="5" s="1"/>
  <c r="M84" i="5"/>
  <c r="K84" i="5"/>
  <c r="L84" i="5" s="1"/>
  <c r="M83" i="5"/>
  <c r="K83" i="5"/>
  <c r="L83" i="5" s="1"/>
  <c r="M82" i="5"/>
  <c r="K82" i="5"/>
  <c r="L82" i="5" s="1"/>
  <c r="M81" i="5"/>
  <c r="K81" i="5"/>
  <c r="L81" i="5" s="1"/>
  <c r="M80" i="5"/>
  <c r="K80" i="5"/>
  <c r="L80" i="5" s="1"/>
  <c r="M79" i="5"/>
  <c r="K79" i="5"/>
  <c r="L79" i="5" s="1"/>
  <c r="M78" i="5"/>
  <c r="K78" i="5"/>
  <c r="L78" i="5" s="1"/>
  <c r="M77" i="5"/>
  <c r="K77" i="5"/>
  <c r="L77" i="5" s="1"/>
  <c r="M76" i="5"/>
  <c r="K76" i="5"/>
  <c r="L76" i="5" s="1"/>
  <c r="M75" i="5"/>
  <c r="K75" i="5"/>
  <c r="L75" i="5" s="1"/>
  <c r="M74" i="5"/>
  <c r="K74" i="5"/>
  <c r="L74" i="5" s="1"/>
  <c r="M73" i="5"/>
  <c r="K73" i="5"/>
  <c r="L73" i="5" s="1"/>
  <c r="M72" i="5"/>
  <c r="K72" i="5"/>
  <c r="L72" i="5" s="1"/>
  <c r="M71" i="5"/>
  <c r="K71" i="5"/>
  <c r="L71" i="5" s="1"/>
  <c r="M70" i="5"/>
  <c r="K70" i="5"/>
  <c r="L70" i="5" s="1"/>
  <c r="M69" i="5"/>
  <c r="K69" i="5"/>
  <c r="L69" i="5" s="1"/>
  <c r="M68" i="5"/>
  <c r="K68" i="5"/>
  <c r="L68" i="5" s="1"/>
  <c r="M67" i="5"/>
  <c r="K67" i="5"/>
  <c r="L67" i="5" s="1"/>
  <c r="M66" i="5"/>
  <c r="K66" i="5"/>
  <c r="L66" i="5" s="1"/>
  <c r="M65" i="5"/>
  <c r="K65" i="5"/>
  <c r="L65" i="5" s="1"/>
  <c r="M64" i="5"/>
  <c r="K64" i="5"/>
  <c r="L64" i="5" s="1"/>
  <c r="M63" i="5"/>
  <c r="K63" i="5"/>
  <c r="L63" i="5" s="1"/>
  <c r="M62" i="5"/>
  <c r="K62" i="5"/>
  <c r="L62" i="5" s="1"/>
  <c r="M61" i="5"/>
  <c r="K61" i="5"/>
  <c r="L61" i="5" s="1"/>
  <c r="M60" i="5"/>
  <c r="K60" i="5"/>
  <c r="L60" i="5" s="1"/>
  <c r="M59" i="5"/>
  <c r="K59" i="5"/>
  <c r="L59" i="5" s="1"/>
  <c r="M58" i="5"/>
  <c r="K58" i="5"/>
  <c r="L58" i="5" s="1"/>
  <c r="M57" i="5"/>
  <c r="K57" i="5"/>
  <c r="L57" i="5" s="1"/>
  <c r="M56" i="5"/>
  <c r="K56" i="5"/>
  <c r="L56" i="5" s="1"/>
  <c r="M55" i="5"/>
  <c r="K55" i="5"/>
  <c r="L55" i="5" s="1"/>
  <c r="M54" i="5"/>
  <c r="K54" i="5"/>
  <c r="L54" i="5" s="1"/>
  <c r="M53" i="5"/>
  <c r="K53" i="5"/>
  <c r="L53" i="5" s="1"/>
  <c r="M52" i="5"/>
  <c r="K52" i="5"/>
  <c r="L52" i="5" s="1"/>
  <c r="M51" i="5"/>
  <c r="K51" i="5"/>
  <c r="L51" i="5" s="1"/>
  <c r="M50" i="5"/>
  <c r="K50" i="5"/>
  <c r="L50" i="5" s="1"/>
  <c r="M49" i="5"/>
  <c r="K49" i="5"/>
  <c r="L49" i="5" s="1"/>
  <c r="M48" i="5"/>
  <c r="K48" i="5"/>
  <c r="L48" i="5" s="1"/>
  <c r="M47" i="5"/>
  <c r="K47" i="5"/>
  <c r="L47" i="5" s="1"/>
  <c r="M46" i="5"/>
  <c r="K46" i="5"/>
  <c r="L46" i="5" s="1"/>
  <c r="M45" i="5"/>
  <c r="K45" i="5"/>
  <c r="L45" i="5" s="1"/>
  <c r="M44" i="5"/>
  <c r="K44" i="5"/>
  <c r="L44" i="5" s="1"/>
  <c r="M43" i="5"/>
  <c r="K43" i="5"/>
  <c r="L43" i="5" s="1"/>
  <c r="M42" i="5"/>
  <c r="K42" i="5"/>
  <c r="L42" i="5" s="1"/>
  <c r="M41" i="5"/>
  <c r="K41" i="5"/>
  <c r="L41" i="5" s="1"/>
  <c r="M40" i="5"/>
  <c r="K40" i="5"/>
  <c r="L40" i="5" s="1"/>
  <c r="M39" i="5"/>
  <c r="K39" i="5"/>
  <c r="L39" i="5" s="1"/>
  <c r="M38" i="5"/>
  <c r="K38" i="5"/>
  <c r="L38" i="5" s="1"/>
  <c r="M37" i="5"/>
  <c r="K37" i="5"/>
  <c r="L37" i="5" s="1"/>
  <c r="M36" i="5"/>
  <c r="K36" i="5"/>
  <c r="L36" i="5" s="1"/>
  <c r="M35" i="5"/>
  <c r="K35" i="5"/>
  <c r="L35" i="5" s="1"/>
  <c r="M34" i="5"/>
  <c r="K34" i="5"/>
  <c r="L34" i="5" s="1"/>
  <c r="M33" i="5"/>
  <c r="K33" i="5"/>
  <c r="L33" i="5" s="1"/>
  <c r="M32" i="5"/>
  <c r="K32" i="5"/>
  <c r="L32" i="5" s="1"/>
  <c r="M31" i="5"/>
  <c r="K31" i="5"/>
  <c r="L31" i="5" s="1"/>
  <c r="M30" i="5"/>
  <c r="K30" i="5"/>
  <c r="L30" i="5" s="1"/>
  <c r="M29" i="5"/>
  <c r="K29" i="5"/>
  <c r="L29" i="5" s="1"/>
  <c r="M28" i="5"/>
  <c r="K28" i="5"/>
  <c r="L28" i="5" s="1"/>
  <c r="M27" i="5"/>
  <c r="K27" i="5"/>
  <c r="L27" i="5" s="1"/>
  <c r="M26" i="5"/>
  <c r="K26" i="5"/>
  <c r="L26" i="5" s="1"/>
  <c r="M25" i="5"/>
  <c r="K25" i="5"/>
  <c r="L25" i="5" s="1"/>
  <c r="M24" i="5"/>
  <c r="K24" i="5"/>
  <c r="L24" i="5" s="1"/>
  <c r="D29" i="7" s="1"/>
  <c r="M23" i="5"/>
  <c r="K23" i="5"/>
  <c r="L23" i="5" s="1"/>
  <c r="M22" i="5"/>
  <c r="K22" i="5"/>
  <c r="L22" i="5" s="1"/>
  <c r="M21" i="5"/>
  <c r="K21" i="5"/>
  <c r="L21" i="5" s="1"/>
  <c r="M20" i="5"/>
  <c r="K20" i="5"/>
  <c r="L20" i="5" s="1"/>
  <c r="M19" i="5"/>
  <c r="K19" i="5"/>
  <c r="L19" i="5" s="1"/>
  <c r="M18" i="5"/>
  <c r="K18" i="5"/>
  <c r="L18" i="5" s="1"/>
  <c r="M17" i="5"/>
  <c r="K17" i="5"/>
  <c r="L17" i="5" s="1"/>
  <c r="M16" i="5"/>
  <c r="K16" i="5"/>
  <c r="L16" i="5" s="1"/>
  <c r="M15" i="5"/>
  <c r="K15" i="5"/>
  <c r="L15" i="5" s="1"/>
  <c r="M14" i="5"/>
  <c r="K14" i="5"/>
  <c r="L14" i="5" s="1"/>
  <c r="M13" i="5"/>
  <c r="K13" i="5"/>
  <c r="L13" i="5" s="1"/>
  <c r="M12" i="5"/>
  <c r="K12" i="5"/>
  <c r="L12" i="5" s="1"/>
  <c r="M11" i="5"/>
  <c r="K11" i="5"/>
  <c r="L11" i="5" s="1"/>
  <c r="M10" i="5"/>
  <c r="K10" i="5"/>
  <c r="L10" i="5" s="1"/>
  <c r="M9" i="5"/>
  <c r="K9" i="5"/>
  <c r="L9" i="5" s="1"/>
  <c r="M8" i="5"/>
  <c r="K8" i="5"/>
  <c r="L8" i="5" s="1"/>
  <c r="M7" i="5"/>
  <c r="K7" i="5"/>
  <c r="L7" i="5" s="1"/>
  <c r="M6" i="5"/>
  <c r="K6" i="5"/>
  <c r="L6" i="5" s="1"/>
  <c r="M5" i="5"/>
  <c r="K5" i="5"/>
  <c r="L5" i="5" s="1"/>
  <c r="M4" i="5"/>
  <c r="K4" i="5"/>
  <c r="L4" i="5" s="1"/>
  <c r="M3" i="5"/>
  <c r="K3" i="5"/>
  <c r="L3" i="5" s="1"/>
  <c r="M2" i="5"/>
  <c r="K2" i="5"/>
  <c r="L2" i="5" s="1"/>
  <c r="E9" i="2"/>
  <c r="A6" i="2"/>
  <c r="E37" i="7" l="1"/>
  <c r="E39" i="7"/>
  <c r="E33" i="7"/>
  <c r="E18" i="7"/>
  <c r="C43" i="7"/>
  <c r="D43" i="7"/>
  <c r="C48" i="7"/>
  <c r="D48" i="7"/>
  <c r="C45" i="7"/>
  <c r="D45" i="7"/>
  <c r="C44" i="7"/>
  <c r="D44" i="7"/>
  <c r="C47" i="7"/>
  <c r="D47" i="7"/>
  <c r="E8" i="7"/>
  <c r="C46" i="7"/>
  <c r="D46" i="7"/>
  <c r="D37" i="7"/>
  <c r="E6" i="7"/>
  <c r="D36" i="7"/>
  <c r="E7" i="7"/>
  <c r="D35" i="7"/>
  <c r="E9" i="7"/>
  <c r="D33" i="7"/>
  <c r="C49" i="7"/>
  <c r="D49" i="7"/>
  <c r="C6" i="2"/>
  <c r="A9" i="2"/>
  <c r="E6" i="2"/>
  <c r="E5" i="7"/>
  <c r="C50" i="7"/>
  <c r="D50" i="7"/>
  <c r="E10" i="7"/>
  <c r="D30" i="7"/>
  <c r="E14" i="7"/>
  <c r="E17" i="7"/>
  <c r="D28" i="7"/>
  <c r="D39" i="7"/>
  <c r="E12" i="7"/>
  <c r="E16" i="7"/>
  <c r="E13" i="7"/>
  <c r="D32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Cleaning</author>
  </authors>
  <commentList>
    <comment ref="D17" authorId="0" shapeId="0" xr:uid="{00000000-0006-0000-0500-000001000000}">
      <text>
        <r>
          <rPr>
            <sz val="11"/>
            <color theme="1"/>
            <rFont val="Calibri"/>
            <family val="2"/>
            <scheme val="minor"/>
          </rPr>
          <t>Hardcoded: rows whose store name has non-ASCII characters, counted in Python during profiling.</t>
        </r>
      </text>
    </comment>
  </commentList>
</comments>
</file>

<file path=xl/sharedStrings.xml><?xml version="1.0" encoding="utf-8"?>
<sst xmlns="http://schemas.openxmlformats.org/spreadsheetml/2006/main" count="29587" uniqueCount="6269">
  <si>
    <t>Global Retail Price Analysis (Excel)</t>
  </si>
  <si>
    <t>Purpose</t>
  </si>
  <si>
    <t>Clean, model and report on 2,000 crowdsourced retail price observations from the Open Prices dataset (Open Food Facts).</t>
  </si>
  <si>
    <t>Source file</t>
  </si>
  <si>
    <t>global_retail_prices_dataset.csv (2,000 rows, 12 columns, recorded 7 Feb 2026 to 3 Oct 2026).</t>
  </si>
  <si>
    <t>Base currency</t>
  </si>
  <si>
    <t>All converted prices are in US dollars (USD), which is the common reference currency for comparison.</t>
  </si>
  <si>
    <t>Licence</t>
  </si>
  <si>
    <t>ODbL. Cite Open Food Facts and the Open Prices contributors if you reuse this.</t>
  </si>
  <si>
    <t>Sheet guide</t>
  </si>
  <si>
    <t>Dashboard</t>
  </si>
  <si>
    <t>KPIs with a currency selector (yellow cell, default All), plus monthly and currency charts.</t>
  </si>
  <si>
    <t>Analysis</t>
  </si>
  <si>
    <t>Formula-driven summaries by currency, store and month. COUNTIFS and AVERAGEIFS only, no pivots.</t>
  </si>
  <si>
    <t>Clean</t>
  </si>
  <si>
    <t>Cleaned Excel Table (tblPrices) with helper formula columns for the USD conversion. store and contributor are remapped from the mislabelled source columns (Cleaning_Log #7, #8).</t>
  </si>
  <si>
    <t>Raw</t>
  </si>
  <si>
    <t>Untouched copy of the source CSV. Do not edit.</t>
  </si>
  <si>
    <t>Cleaning_Log</t>
  </si>
  <si>
    <t>Each data quality issue, how many rows it affects (live formulas), and the action taken.</t>
  </si>
  <si>
    <t>Assumptions</t>
  </si>
  <si>
    <t>Exchange rates to USD. These are illustrative placeholders. Update them before drawing conclusions.</t>
  </si>
  <si>
    <t>Key caveat</t>
  </si>
  <si>
    <t>Prices are recorded in local currency. Converted USD values depend on the exchange rates, and the rates here are approximations.</t>
  </si>
  <si>
    <t>Retail Price Dashboard (USD)</t>
  </si>
  <si>
    <t>Select currency:</t>
  </si>
  <si>
    <t>All</t>
  </si>
  <si>
    <t>Records</t>
  </si>
  <si>
    <t>Average price (USD)</t>
  </si>
  <si>
    <t>Min price (USD)</t>
  </si>
  <si>
    <t>Max price (USD)</t>
  </si>
  <si>
    <t>Unnamed products</t>
  </si>
  <si>
    <t>Uncategorised rows</t>
  </si>
  <si>
    <t>Prices converted to USD using the illustrative rates on the Assumptions sheet.</t>
  </si>
  <si>
    <t>price_record_id</t>
  </si>
  <si>
    <t>product_code</t>
  </si>
  <si>
    <t>product_name</t>
  </si>
  <si>
    <t>brand</t>
  </si>
  <si>
    <t>category</t>
  </si>
  <si>
    <t>price</t>
  </si>
  <si>
    <t>currency</t>
  </si>
  <si>
    <t>price_is_discounted</t>
  </si>
  <si>
    <t>store_name</t>
  </si>
  <si>
    <t>city</t>
  </si>
  <si>
    <t>country_code</t>
  </si>
  <si>
    <t>date_recorded</t>
  </si>
  <si>
    <t>339639</t>
  </si>
  <si>
    <t>APFEL ROT LOSE</t>
  </si>
  <si>
    <t>en:apples</t>
  </si>
  <si>
    <t>2.08</t>
  </si>
  <si>
    <t>EUR</t>
  </si>
  <si>
    <t>False</t>
  </si>
  <si>
    <t>jbieber</t>
  </si>
  <si>
    <t>Hofer</t>
  </si>
  <si>
    <t>2026-10-03</t>
  </si>
  <si>
    <t>339638</t>
  </si>
  <si>
    <t>4061461467661</t>
  </si>
  <si>
    <t>Orient. Salat 200g</t>
  </si>
  <si>
    <t>1.29</t>
  </si>
  <si>
    <t>339637</t>
  </si>
  <si>
    <t>Toskanabrot 360g</t>
  </si>
  <si>
    <t>en:white-breads</t>
  </si>
  <si>
    <t>1.8</t>
  </si>
  <si>
    <t>339636</t>
  </si>
  <si>
    <t>4061464512245</t>
  </si>
  <si>
    <t>Waffelhörn. Erdb.</t>
  </si>
  <si>
    <t>0.49</t>
  </si>
  <si>
    <t>339635</t>
  </si>
  <si>
    <t>4061458026819</t>
  </si>
  <si>
    <t>339634</t>
  </si>
  <si>
    <t>4061461866518</t>
  </si>
  <si>
    <t>339633</t>
  </si>
  <si>
    <t>4061464955394</t>
  </si>
  <si>
    <t>Milchbrötchen</t>
  </si>
  <si>
    <t>1.85</t>
  </si>
  <si>
    <t>339632</t>
  </si>
  <si>
    <t>4061458024068</t>
  </si>
  <si>
    <t>Hummus 200 g</t>
  </si>
  <si>
    <t>1.69</t>
  </si>
  <si>
    <t>339630</t>
  </si>
  <si>
    <t>4099200057439</t>
  </si>
  <si>
    <t>Schokolade 100g</t>
  </si>
  <si>
    <t>0.89</t>
  </si>
  <si>
    <t>339631</t>
  </si>
  <si>
    <t>4099200057378</t>
  </si>
  <si>
    <t>Noisette 100g</t>
  </si>
  <si>
    <t>1.25</t>
  </si>
  <si>
    <t>339629</t>
  </si>
  <si>
    <t>Bananen lose</t>
  </si>
  <si>
    <t>en:bananas</t>
  </si>
  <si>
    <t>1.59</t>
  </si>
  <si>
    <t>339628</t>
  </si>
  <si>
    <t>4061462695674</t>
  </si>
  <si>
    <t>Fruchtjoghurt 180g</t>
  </si>
  <si>
    <t>0.52</t>
  </si>
  <si>
    <t>339627</t>
  </si>
  <si>
    <t>4099200029283</t>
  </si>
  <si>
    <t>339626</t>
  </si>
  <si>
    <t>4099200047164</t>
  </si>
  <si>
    <t>Gourmet Chips 125g</t>
  </si>
  <si>
    <t>1.79</t>
  </si>
  <si>
    <t>339625</t>
  </si>
  <si>
    <t>4061461374655</t>
  </si>
  <si>
    <t>Apfelmus 710g</t>
  </si>
  <si>
    <t>339624</t>
  </si>
  <si>
    <t>4061461035891</t>
  </si>
  <si>
    <t>Instant Nudeln 255</t>
  </si>
  <si>
    <t>1.45</t>
  </si>
  <si>
    <t>339623</t>
  </si>
  <si>
    <t>Schoko Donut 55g</t>
  </si>
  <si>
    <t>en:doughnuts</t>
  </si>
  <si>
    <t>0.39</t>
  </si>
  <si>
    <t>339621</t>
  </si>
  <si>
    <t>4061459176377</t>
  </si>
  <si>
    <t>Gouda Sch. 250/200g</t>
  </si>
  <si>
    <t>1.99</t>
  </si>
  <si>
    <t>339622</t>
  </si>
  <si>
    <t>Kaisersemmel</t>
  </si>
  <si>
    <t>en:bread-rolls</t>
  </si>
  <si>
    <t>0.23</t>
  </si>
  <si>
    <t>339620</t>
  </si>
  <si>
    <t>7394376623769</t>
  </si>
  <si>
    <t>28.29</t>
  </si>
  <si>
    <t>SEK</t>
  </si>
  <si>
    <t>freso</t>
  </si>
  <si>
    <t>Willys Landskrona Infarten</t>
  </si>
  <si>
    <t>2026-09-06</t>
  </si>
  <si>
    <t>339619</t>
  </si>
  <si>
    <t>7394376624094</t>
  </si>
  <si>
    <t>339618</t>
  </si>
  <si>
    <t>5411188119753</t>
  </si>
  <si>
    <t>22.9</t>
  </si>
  <si>
    <t>339617</t>
  </si>
  <si>
    <t>3564707087957</t>
  </si>
  <si>
    <t>BIO VILL FLAN NAPPE 4X125G</t>
  </si>
  <si>
    <t>1.71</t>
  </si>
  <si>
    <t>poslovitch</t>
  </si>
  <si>
    <t>E. Leclerc</t>
  </si>
  <si>
    <t>339616</t>
  </si>
  <si>
    <t>3273220083260</t>
  </si>
  <si>
    <t>SOJASUN MYRTILLES 4 x 100g</t>
  </si>
  <si>
    <t>339615</t>
  </si>
  <si>
    <t>8715700421841</t>
  </si>
  <si>
    <t>HEINZ SCE AMERICAN BURG 230G</t>
  </si>
  <si>
    <t>1.73</t>
  </si>
  <si>
    <t>339614</t>
  </si>
  <si>
    <t>3599741001898</t>
  </si>
  <si>
    <t>FIND FLT CABILLAUD 4X100G FINDUS 400g</t>
  </si>
  <si>
    <t>10.19</t>
  </si>
  <si>
    <t>339613</t>
  </si>
  <si>
    <t>3564700407646</t>
  </si>
  <si>
    <t>P OCEAN PAVES SAUMON 2 x 125g</t>
  </si>
  <si>
    <t>4.99</t>
  </si>
  <si>
    <t>339612</t>
  </si>
  <si>
    <t>8710522921500</t>
  </si>
  <si>
    <t>MAYO 5 ING SPL AMORA 235G</t>
  </si>
  <si>
    <t>2.43</t>
  </si>
  <si>
    <t>339611</t>
  </si>
  <si>
    <t>3228857000371</t>
  </si>
  <si>
    <t>HARRYS BURGER NATURE 300G</t>
  </si>
  <si>
    <t>1.55</t>
  </si>
  <si>
    <t>339610</t>
  </si>
  <si>
    <t>3394230110613</t>
  </si>
  <si>
    <t>SOIGNON BOITE LE CHEVRE 180G</t>
  </si>
  <si>
    <t>2.91</t>
  </si>
  <si>
    <t>339609</t>
  </si>
  <si>
    <t>3023260022459</t>
  </si>
  <si>
    <t>ISTARA P'TIT BASQUE CLOC 220G</t>
  </si>
  <si>
    <t>5.39</t>
  </si>
  <si>
    <t>339608</t>
  </si>
  <si>
    <t>7613035694897</t>
  </si>
  <si>
    <t>HERTA LBV PAVE EPIN FR 180G GARDEN GOURMET</t>
  </si>
  <si>
    <t>2.38</t>
  </si>
  <si>
    <t>339607</t>
  </si>
  <si>
    <t>3770016162098</t>
  </si>
  <si>
    <t>CHIPOLATAS VEGE/GOURMANDES 200G HAPPYVORE</t>
  </si>
  <si>
    <t>3.71</t>
  </si>
  <si>
    <t>339606</t>
  </si>
  <si>
    <t>3600900005067</t>
  </si>
  <si>
    <t>TIPIAK MELI MELO GOURM 330G</t>
  </si>
  <si>
    <t>2.24</t>
  </si>
  <si>
    <t>339605</t>
  </si>
  <si>
    <t>3660603081904</t>
  </si>
  <si>
    <t>MAYO CAM BOCAL BENEDICTA 250G</t>
  </si>
  <si>
    <t>2.13</t>
  </si>
  <si>
    <t>339604</t>
  </si>
  <si>
    <t>3564709002774</t>
  </si>
  <si>
    <t>NRT GESIER CANA 1/2.213G 215g</t>
  </si>
  <si>
    <t>6.99</t>
  </si>
  <si>
    <t>339603</t>
  </si>
  <si>
    <t>3021690101249</t>
  </si>
  <si>
    <t>R&amp;R CASSOUL TOULOUSE 420G RAYNAL ET ROQUELAURE</t>
  </si>
  <si>
    <t>3.04</t>
  </si>
  <si>
    <t>339602</t>
  </si>
  <si>
    <t>3256549997531</t>
  </si>
  <si>
    <t>PASQ PN BURGER BRIOCHE X4 235G BRIOCHE PASQUIER</t>
  </si>
  <si>
    <t>339601</t>
  </si>
  <si>
    <t>3256540000346</t>
  </si>
  <si>
    <t>PASQ CROISSANTS X16 640G BRIOCHE PASQUIER</t>
  </si>
  <si>
    <t>3.63</t>
  </si>
  <si>
    <t>339600</t>
  </si>
  <si>
    <t>3305510131808</t>
  </si>
  <si>
    <t>PICANDINE CABECOU CHEVRE 3X35G RIANS</t>
  </si>
  <si>
    <t>2.44</t>
  </si>
  <si>
    <t>339599</t>
  </si>
  <si>
    <t>3394230023104</t>
  </si>
  <si>
    <t>SOIGNON MI - CHEVRE CELLO 180G</t>
  </si>
  <si>
    <t>2.1</t>
  </si>
  <si>
    <t>339598</t>
  </si>
  <si>
    <t>3023290050347</t>
  </si>
  <si>
    <t>VIENNOIS CAFE 4X100G</t>
  </si>
  <si>
    <t>1.57</t>
  </si>
  <si>
    <t>339597</t>
  </si>
  <si>
    <t>3372900901471</t>
  </si>
  <si>
    <t>M MORIN MOELLEUX CHOCO 2X120G</t>
  </si>
  <si>
    <t>3.8</t>
  </si>
  <si>
    <t>339596</t>
  </si>
  <si>
    <t>3564700330951</t>
  </si>
  <si>
    <t>P FRAICH MUSEAU PORC 300G</t>
  </si>
  <si>
    <t>339595</t>
  </si>
  <si>
    <t>3564706787209</t>
  </si>
  <si>
    <t>VEGE, SAUC.VEGET.X4,200G</t>
  </si>
  <si>
    <t>2.12</t>
  </si>
  <si>
    <t>339594</t>
  </si>
  <si>
    <t>3599741004455</t>
  </si>
  <si>
    <t>FIND DBLE DELICE COLIN 8X75G FINDUS</t>
  </si>
  <si>
    <t>5.68</t>
  </si>
  <si>
    <t>339593</t>
  </si>
  <si>
    <t>3599741002871</t>
  </si>
  <si>
    <t>FIND PETITS TRESORS 450G</t>
  </si>
  <si>
    <t>3.34</t>
  </si>
  <si>
    <t>339592</t>
  </si>
  <si>
    <t>3599740004432</t>
  </si>
  <si>
    <t>FIND FLT PANE CABILLA 4X100G</t>
  </si>
  <si>
    <t>7.4</t>
  </si>
  <si>
    <t>339591</t>
  </si>
  <si>
    <t>3600900006972</t>
  </si>
  <si>
    <t>TIPIAK TENDRE PERLE BLE 350G</t>
  </si>
  <si>
    <t>1.62</t>
  </si>
  <si>
    <t>339590</t>
  </si>
  <si>
    <t>3564700633663</t>
  </si>
  <si>
    <t>RUSTICA MAYO MOUT DIJON 470G</t>
  </si>
  <si>
    <t>1.6</t>
  </si>
  <si>
    <t>339589</t>
  </si>
  <si>
    <t>8720182473813</t>
  </si>
  <si>
    <t>AMORA, MAYO STREET FS, 398G</t>
  </si>
  <si>
    <t>3.19</t>
  </si>
  <si>
    <t>339588</t>
  </si>
  <si>
    <t>3564700005262</t>
  </si>
  <si>
    <t>N JARDIN MAIS DOUX 1/4.3X140G</t>
  </si>
  <si>
    <t>339587</t>
  </si>
  <si>
    <t>3083680020787</t>
  </si>
  <si>
    <t>BOND MACEDOINE X3 390G BONDUELLE 3 x 130g</t>
  </si>
  <si>
    <t>2.15</t>
  </si>
  <si>
    <t>339586</t>
  </si>
  <si>
    <t>3564700737965</t>
  </si>
  <si>
    <t>N JARDIN HAR BLC 4/4 530G</t>
  </si>
  <si>
    <t>1.03</t>
  </si>
  <si>
    <t>339585</t>
  </si>
  <si>
    <t>3513851560304</t>
  </si>
  <si>
    <t>R PARK BAGEL SESAME X4 250G FRESH FOOD VILLAGE</t>
  </si>
  <si>
    <t>3.69</t>
  </si>
  <si>
    <t>339584</t>
  </si>
  <si>
    <t>3760049797299</t>
  </si>
  <si>
    <t>4 PAINS CIABATTA 380G LA BOULANGERE</t>
  </si>
  <si>
    <t>3.15</t>
  </si>
  <si>
    <t>339583</t>
  </si>
  <si>
    <t>3587220006359</t>
  </si>
  <si>
    <t>LFD MUFFINS EXTRA MLXX4 160G LA FOURNEE DOREE</t>
  </si>
  <si>
    <t>1.68</t>
  </si>
  <si>
    <t>339582</t>
  </si>
  <si>
    <t>3256540000339</t>
  </si>
  <si>
    <t>PASQ CROISSANTS X8 320G BRIOCHE PASQUIER</t>
  </si>
  <si>
    <t>1.92</t>
  </si>
  <si>
    <t>339581</t>
  </si>
  <si>
    <t>3382510012313</t>
  </si>
  <si>
    <t>TAPENADE NOIRE 125G TROPIC APERO</t>
  </si>
  <si>
    <t>2.99</t>
  </si>
  <si>
    <t>339580</t>
  </si>
  <si>
    <t>3272770016551</t>
  </si>
  <si>
    <t>TARTARE, AFH POT, 90G</t>
  </si>
  <si>
    <t>1.44</t>
  </si>
  <si>
    <t>339579</t>
  </si>
  <si>
    <t>3155250343302</t>
  </si>
  <si>
    <t>RONDELE AU BLEU POT 125G RONDELE</t>
  </si>
  <si>
    <t>1.96</t>
  </si>
  <si>
    <t>339578</t>
  </si>
  <si>
    <t>3450970151580</t>
  </si>
  <si>
    <t>ECO+ MI - CHEVRE 23%MG 180G</t>
  </si>
  <si>
    <t>339577</t>
  </si>
  <si>
    <t>3564700057834</t>
  </si>
  <si>
    <t>CROISES CHEVRE BOITE ROND 180G</t>
  </si>
  <si>
    <t>2.19</t>
  </si>
  <si>
    <t>339576</t>
  </si>
  <si>
    <t>3272770004725</t>
  </si>
  <si>
    <t>ST MORET NATURE 9X20G</t>
  </si>
  <si>
    <t>339575</t>
  </si>
  <si>
    <t>3023292259014</t>
  </si>
  <si>
    <t>VIENNOIS EXTREME CHOCO 4X90G</t>
  </si>
  <si>
    <t>1.63</t>
  </si>
  <si>
    <t>339574</t>
  </si>
  <si>
    <t>3564700395707</t>
  </si>
  <si>
    <t>DEL SPEC SOJA CHOC 4X100G</t>
  </si>
  <si>
    <t>1.35</t>
  </si>
  <si>
    <t>339573</t>
  </si>
  <si>
    <t>3273220082256</t>
  </si>
  <si>
    <t>SOJASUN FIGUES 4X100G</t>
  </si>
  <si>
    <t>339572</t>
  </si>
  <si>
    <t>3273220083758</t>
  </si>
  <si>
    <t>SOJASUN MAND/CIT VERT 4X100G</t>
  </si>
  <si>
    <t>1.65</t>
  </si>
  <si>
    <t>339571</t>
  </si>
  <si>
    <t>3564706787216</t>
  </si>
  <si>
    <t>VEGE MERGUEZ VEGET X4 200G</t>
  </si>
  <si>
    <t>2.59</t>
  </si>
  <si>
    <t>339570</t>
  </si>
  <si>
    <t>7613035982055</t>
  </si>
  <si>
    <t>HERTA STEAK PVRE/PERSI 160G GARDEN GOURMET</t>
  </si>
  <si>
    <t>2.55</t>
  </si>
  <si>
    <t>339569</t>
  </si>
  <si>
    <t>3770016162043</t>
  </si>
  <si>
    <t>MERGUEZ VEGETALE/GOURMANDE.200G</t>
  </si>
  <si>
    <t>3.68</t>
  </si>
  <si>
    <t>339568</t>
  </si>
  <si>
    <t>3599741004653</t>
  </si>
  <si>
    <t>FIND FISH &amp; CHIPS MALT 240G FINDUS</t>
  </si>
  <si>
    <t>4.15</t>
  </si>
  <si>
    <t>339567</t>
  </si>
  <si>
    <t>3564700000465</t>
  </si>
  <si>
    <t>P OCEAN FLT CABIL PANE 8X50G</t>
  </si>
  <si>
    <t>6.74</t>
  </si>
  <si>
    <t>339566</t>
  </si>
  <si>
    <t>3599740006771</t>
  </si>
  <si>
    <t>FIND FLT SAUMON ROSE 4X100G FINDUS</t>
  </si>
  <si>
    <t>11.61</t>
  </si>
  <si>
    <t>339565</t>
  </si>
  <si>
    <t>3564700000434</t>
  </si>
  <si>
    <t>P OCEAN FILET COLIN 4X100G</t>
  </si>
  <si>
    <t>3.28</t>
  </si>
  <si>
    <t>339564</t>
  </si>
  <si>
    <t>3564700484289</t>
  </si>
  <si>
    <t>P OCEAN COEUR FLT MERLU 400G</t>
  </si>
  <si>
    <t>5.35</t>
  </si>
  <si>
    <t>339563</t>
  </si>
  <si>
    <t>3564700003121</t>
  </si>
  <si>
    <t>JAFADEN JUS TOMATE 100% 1L</t>
  </si>
  <si>
    <t>2.05</t>
  </si>
  <si>
    <t>339562</t>
  </si>
  <si>
    <t>3660603081881</t>
  </si>
  <si>
    <t>BENEDICTA MAYO CAM BOCAL 500G</t>
  </si>
  <si>
    <t>3.39</t>
  </si>
  <si>
    <t>339561</t>
  </si>
  <si>
    <t>8712566145003</t>
  </si>
  <si>
    <t>AMORA, MAYODELICE LEGERE, 400G</t>
  </si>
  <si>
    <t>2.56</t>
  </si>
  <si>
    <t>339560</t>
  </si>
  <si>
    <t>8712566361601</t>
  </si>
  <si>
    <t>AMORA SCE SAMOURAI 255G</t>
  </si>
  <si>
    <t>1.64</t>
  </si>
  <si>
    <t>339559</t>
  </si>
  <si>
    <t>8710522906453</t>
  </si>
  <si>
    <t>AMORA SAUCE DELUXE FS 25CL</t>
  </si>
  <si>
    <t>339558</t>
  </si>
  <si>
    <t>3564700643990</t>
  </si>
  <si>
    <t>RUSTICA MAYO MOUT ANC 235G</t>
  </si>
  <si>
    <t>1.28</t>
  </si>
  <si>
    <t>339557</t>
  </si>
  <si>
    <t>8711200552795</t>
  </si>
  <si>
    <t>AMORA MAYO BOC SS SULF 235G</t>
  </si>
  <si>
    <t>339556</t>
  </si>
  <si>
    <t>3564707150262</t>
  </si>
  <si>
    <t>BIO V HAR VERT EF BOC 185G</t>
  </si>
  <si>
    <t>339555</t>
  </si>
  <si>
    <t>3564707183512</t>
  </si>
  <si>
    <t>B VILLAGE HARICOTS VT EF 180G</t>
  </si>
  <si>
    <t>1.87</t>
  </si>
  <si>
    <t>339554</t>
  </si>
  <si>
    <t>3497917003588</t>
  </si>
  <si>
    <t>BRET'S SAUCE CURRY 125G</t>
  </si>
  <si>
    <t>1.77</t>
  </si>
  <si>
    <t>339553</t>
  </si>
  <si>
    <t>3336972507177</t>
  </si>
  <si>
    <t>VICO CHIPS RACLETTE 120G</t>
  </si>
  <si>
    <t>339552</t>
  </si>
  <si>
    <t>3587220003525</t>
  </si>
  <si>
    <t>F DOREE 4 BRIOCH' BAGEL 300G</t>
  </si>
  <si>
    <t>2.53</t>
  </si>
  <si>
    <t>339551</t>
  </si>
  <si>
    <t>3029330801924</t>
  </si>
  <si>
    <t>JACQ BURG GEANT COMPLE 330G JACQUET</t>
  </si>
  <si>
    <t>1.33</t>
  </si>
  <si>
    <t>339550</t>
  </si>
  <si>
    <t>3029330801900</t>
  </si>
  <si>
    <t>JACQ BURGER GEANT NATU 330G</t>
  </si>
  <si>
    <t>1.09</t>
  </si>
  <si>
    <t>339549</t>
  </si>
  <si>
    <t>3760291760669</t>
  </si>
  <si>
    <t>CIRO KIT PINSA BASILIC 400G MADE IT</t>
  </si>
  <si>
    <t>5.99</t>
  </si>
  <si>
    <t>339548</t>
  </si>
  <si>
    <t>3564700184295</t>
  </si>
  <si>
    <t>*T DU MONDE MUFFINS BLC X4 245G</t>
  </si>
  <si>
    <t>339547</t>
  </si>
  <si>
    <t>3564700462874</t>
  </si>
  <si>
    <t>E D'OR MUFFINS COMPLET X4 250G</t>
  </si>
  <si>
    <t>1.7</t>
  </si>
  <si>
    <t>339546</t>
  </si>
  <si>
    <t>3382510019213</t>
  </si>
  <si>
    <t>OLIVES VERTES CASSEE AIL 250G TROPIC APERO</t>
  </si>
  <si>
    <t>3.44</t>
  </si>
  <si>
    <t>339545</t>
  </si>
  <si>
    <t>3168930179177</t>
  </si>
  <si>
    <t>LAYS GOURMET WAVY HERBES 1 120g</t>
  </si>
  <si>
    <t>2.25</t>
  </si>
  <si>
    <t>339544</t>
  </si>
  <si>
    <t>3770035055227</t>
  </si>
  <si>
    <t>P&amp;M P CRN ENR FRAISE CREME 100G</t>
  </si>
  <si>
    <t>2.58</t>
  </si>
  <si>
    <t>339543</t>
  </si>
  <si>
    <t>3564700029282</t>
  </si>
  <si>
    <t>TOKAPI SAUCIS COCKT 1/2 240G</t>
  </si>
  <si>
    <t>339542</t>
  </si>
  <si>
    <t>8712100514036</t>
  </si>
  <si>
    <t>AMORA MAYO REC FOUET SPLE 230G AMORA 230g</t>
  </si>
  <si>
    <t>339541</t>
  </si>
  <si>
    <t>3017800227374</t>
  </si>
  <si>
    <t>D'AUCY BETTERAVES CUBE 265G</t>
  </si>
  <si>
    <t>1.07</t>
  </si>
  <si>
    <t>339540</t>
  </si>
  <si>
    <t>3564706590601</t>
  </si>
  <si>
    <t>N JARDIN BETTERAVES RGES 3X130G</t>
  </si>
  <si>
    <t>1.84</t>
  </si>
  <si>
    <t>339539</t>
  </si>
  <si>
    <t>3564706615762</t>
  </si>
  <si>
    <t>N JARDIN PETIT POI CAR VAP 265G</t>
  </si>
  <si>
    <t>339538</t>
  </si>
  <si>
    <t>3564706603639</t>
  </si>
  <si>
    <t>N JARDIN P POIS CAR EF SSA 265G</t>
  </si>
  <si>
    <t>0.99</t>
  </si>
  <si>
    <t>339537</t>
  </si>
  <si>
    <t>3021690030815</t>
  </si>
  <si>
    <t>DOUNIA HALAL RAV VOLAILL 800G</t>
  </si>
  <si>
    <t>339536</t>
  </si>
  <si>
    <t>3021690032130</t>
  </si>
  <si>
    <t>DOUNIA RAVIOLI VOLAILLE 2X800G DOUNIA HALAL</t>
  </si>
  <si>
    <t>5.78</t>
  </si>
  <si>
    <t>339535</t>
  </si>
  <si>
    <t>3564709197104</t>
  </si>
  <si>
    <t>NRT CASSOUL CAST PORC 420G</t>
  </si>
  <si>
    <t>2.37</t>
  </si>
  <si>
    <t>339534</t>
  </si>
  <si>
    <t>3497917002161</t>
  </si>
  <si>
    <t>BRET'S CHIPS BACON GRILL 125G</t>
  </si>
  <si>
    <t>1.78</t>
  </si>
  <si>
    <t>339533</t>
  </si>
  <si>
    <t>3497917002741</t>
  </si>
  <si>
    <t>BRETS PESTO MOZZARELLA 125G</t>
  </si>
  <si>
    <t>1.4</t>
  </si>
  <si>
    <t>339532</t>
  </si>
  <si>
    <t>3497917004233</t>
  </si>
  <si>
    <t>BRETS ARO BEURRE PERSIL 125G</t>
  </si>
  <si>
    <t>1.83</t>
  </si>
  <si>
    <t>339531</t>
  </si>
  <si>
    <t>3564700500590</t>
  </si>
  <si>
    <t>E D'OR BRIOCH FOUR CHOC X8 310G</t>
  </si>
  <si>
    <t>339530</t>
  </si>
  <si>
    <t>3587220004980</t>
  </si>
  <si>
    <t>LFD 4 BRIOCH'BAGELS SESAME 300G LA FOURNEE DOREE</t>
  </si>
  <si>
    <t>2.45</t>
  </si>
  <si>
    <t>339529</t>
  </si>
  <si>
    <t>3760049797756</t>
  </si>
  <si>
    <t>BOULANG PAIN BURGER BIO 200G LA BOULANGERE</t>
  </si>
  <si>
    <t>339528</t>
  </si>
  <si>
    <t>3029330801931</t>
  </si>
  <si>
    <t>JACQ BURG GEANT BRIOC 300G JACQUET</t>
  </si>
  <si>
    <t>1.5</t>
  </si>
  <si>
    <t>339527</t>
  </si>
  <si>
    <t>3029330070054</t>
  </si>
  <si>
    <t>JACQ BURGER CREA NAT X4 260G JACQUET</t>
  </si>
  <si>
    <t>339526</t>
  </si>
  <si>
    <t>3256549997548</t>
  </si>
  <si>
    <t>PASQ PN BURGER CLASSIC X4 235G BRIOCHE PASQUIER</t>
  </si>
  <si>
    <t>339525</t>
  </si>
  <si>
    <t>3228857002337</t>
  </si>
  <si>
    <t>HARRY'S PAIN SAND BEURRE 360G</t>
  </si>
  <si>
    <t>2.89</t>
  </si>
  <si>
    <t>339524</t>
  </si>
  <si>
    <t>3760049795509</t>
  </si>
  <si>
    <t>BOULANG PAINS BRUSCHETTA 400G LA BOULANGERE</t>
  </si>
  <si>
    <t>2.66</t>
  </si>
  <si>
    <t>339523</t>
  </si>
  <si>
    <t>3760049790672</t>
  </si>
  <si>
    <t>BOULANG BAGUET VIEN CPLT 340G LA BOULANGERE</t>
  </si>
  <si>
    <t>339522</t>
  </si>
  <si>
    <t>3256549997289</t>
  </si>
  <si>
    <t>PASQ PT PAIN FAR COMP X6 270G BRIOCHE PASQUIER</t>
  </si>
  <si>
    <t>1.75</t>
  </si>
  <si>
    <t>339521</t>
  </si>
  <si>
    <t>3256549997302</t>
  </si>
  <si>
    <t>PASQ P LAIT -30% SUCRE X8 280G BRIOCHE PASQUIER</t>
  </si>
  <si>
    <t>339520</t>
  </si>
  <si>
    <t>3760049798876</t>
  </si>
  <si>
    <t>BOULANG PAIN LAIT SSA X10 350G</t>
  </si>
  <si>
    <t>2.03</t>
  </si>
  <si>
    <t>339519</t>
  </si>
  <si>
    <t>3382510019138</t>
  </si>
  <si>
    <t>OLIVE VTE DENOY ESPELETTE 200G TROPIC APERO</t>
  </si>
  <si>
    <t>2.98</t>
  </si>
  <si>
    <t>339518</t>
  </si>
  <si>
    <t>3382510019268</t>
  </si>
  <si>
    <t>OLIVE VERT NOIR DENOY HERB 200G TROPIC APERO</t>
  </si>
  <si>
    <t>3.2</t>
  </si>
  <si>
    <t>339517</t>
  </si>
  <si>
    <t>3253959000189</t>
  </si>
  <si>
    <t>AOP CHAMPAGNE GERMAIN BRUT 75cL</t>
  </si>
  <si>
    <t>24.9</t>
  </si>
  <si>
    <t>339516</t>
  </si>
  <si>
    <t>3770035055159</t>
  </si>
  <si>
    <t>P&amp;M P CORN BARBECUE 35G</t>
  </si>
  <si>
    <t>1.43</t>
  </si>
  <si>
    <t>339515</t>
  </si>
  <si>
    <t>3564700621622</t>
  </si>
  <si>
    <t>TOKAPI CACAH A L'ANCIEN 400G</t>
  </si>
  <si>
    <t>339514</t>
  </si>
  <si>
    <t>3564700751688</t>
  </si>
  <si>
    <t>TOKAPI CHOUCHOU CACAH 400G</t>
  </si>
  <si>
    <t>3.59</t>
  </si>
  <si>
    <t>339513</t>
  </si>
  <si>
    <t>3760177140073</t>
  </si>
  <si>
    <t>CAVIAR AUGERGINE 90G</t>
  </si>
  <si>
    <t>339512</t>
  </si>
  <si>
    <t>3272770097178</t>
  </si>
  <si>
    <t>TARTARE NOIX &amp; AMANDES 150G</t>
  </si>
  <si>
    <t>1.95</t>
  </si>
  <si>
    <t>339511</t>
  </si>
  <si>
    <t>7340083453106</t>
  </si>
  <si>
    <t>16.94</t>
  </si>
  <si>
    <t>339510</t>
  </si>
  <si>
    <t>3155250345177</t>
  </si>
  <si>
    <t>RONDEL.RAIS.FIG/NX 30.5%MG 125G</t>
  </si>
  <si>
    <t>339509</t>
  </si>
  <si>
    <t>3273220012123</t>
  </si>
  <si>
    <t>TRIBALLAT, PETIT BILLY,200G</t>
  </si>
  <si>
    <t>2.78</t>
  </si>
  <si>
    <t>339508</t>
  </si>
  <si>
    <t>3394230003144</t>
  </si>
  <si>
    <t>SOIGNON BUCHETTE 120G</t>
  </si>
  <si>
    <t>2.01</t>
  </si>
  <si>
    <t>339507</t>
  </si>
  <si>
    <t>3272770093286</t>
  </si>
  <si>
    <t>CHAVROUX 9 PORTIONS 162G</t>
  </si>
  <si>
    <t>2.94</t>
  </si>
  <si>
    <t>339506</t>
  </si>
  <si>
    <t>3272770016131</t>
  </si>
  <si>
    <t>CHAVROUX NATURE POT 150G</t>
  </si>
  <si>
    <t>339505</t>
  </si>
  <si>
    <t>3564700486818</t>
  </si>
  <si>
    <t>CROISES, CHEVRE FRAIS, 200G</t>
  </si>
  <si>
    <t>1.94</t>
  </si>
  <si>
    <t>339504</t>
  </si>
  <si>
    <t>3564700090336</t>
  </si>
  <si>
    <t>CROISES, CROTTIN CHEVRE, 2x60G</t>
  </si>
  <si>
    <t>339503</t>
  </si>
  <si>
    <t>3564700338179</t>
  </si>
  <si>
    <t>CROISES FROMAGE DE CHEVRE 150G</t>
  </si>
  <si>
    <t>1.47</t>
  </si>
  <si>
    <t>339502</t>
  </si>
  <si>
    <t>3372900901075</t>
  </si>
  <si>
    <t>M MORIN MOUSSE CHOC LT 2X100G</t>
  </si>
  <si>
    <t>339501</t>
  </si>
  <si>
    <t>3564700681329</t>
  </si>
  <si>
    <t>DEL YRT SOJA NATURE 6X100G</t>
  </si>
  <si>
    <t>339500</t>
  </si>
  <si>
    <t>3661344795372</t>
  </si>
  <si>
    <t>2 VACHES FLAN BIO 4X100G</t>
  </si>
  <si>
    <t>1.98</t>
  </si>
  <si>
    <t>339499</t>
  </si>
  <si>
    <t>3273220082089</t>
  </si>
  <si>
    <t>SOJASUN ABRICOT/GUYAVE 4X100G</t>
  </si>
  <si>
    <t>339498</t>
  </si>
  <si>
    <t>3273220083000</t>
  </si>
  <si>
    <t>SOJASUN CITRON 4X100G</t>
  </si>
  <si>
    <t>1.66</t>
  </si>
  <si>
    <t>339497</t>
  </si>
  <si>
    <t>3273220083130</t>
  </si>
  <si>
    <t>SOJASUN CERISE 4X100G</t>
  </si>
  <si>
    <t>339496</t>
  </si>
  <si>
    <t>3273220083406</t>
  </si>
  <si>
    <t>SOJASUN FRUITS ROUGES 4X100G</t>
  </si>
  <si>
    <t>339495</t>
  </si>
  <si>
    <t>3273220085547</t>
  </si>
  <si>
    <t>SOJASUN SAVEUR VANILLE 6X100G</t>
  </si>
  <si>
    <t>2.42</t>
  </si>
  <si>
    <t>339494</t>
  </si>
  <si>
    <t>3273220085196</t>
  </si>
  <si>
    <t>SOJASUN PLAISIR CAFE 4X100G</t>
  </si>
  <si>
    <t>339493</t>
  </si>
  <si>
    <t>3564700330791</t>
  </si>
  <si>
    <t>P FRAICH CAROT RAP ASS 300G</t>
  </si>
  <si>
    <t>0.64</t>
  </si>
  <si>
    <t>339492</t>
  </si>
  <si>
    <t>3273220085523</t>
  </si>
  <si>
    <t>SOJASUN CHOCOLAT 6X100G</t>
  </si>
  <si>
    <t>2.35</t>
  </si>
  <si>
    <t>339491</t>
  </si>
  <si>
    <t>3564700330838</t>
  </si>
  <si>
    <t>P FRAICH CAROT RAP 500G</t>
  </si>
  <si>
    <t>339490</t>
  </si>
  <si>
    <t>3564700560198</t>
  </si>
  <si>
    <t>SALADE DE CAROTTES RAPEES 1KG</t>
  </si>
  <si>
    <t>339489</t>
  </si>
  <si>
    <t>3770016162029</t>
  </si>
  <si>
    <t>HAPPY AIG VEG GOURM 120G HAPPYVORE 150g</t>
  </si>
  <si>
    <t>3.55</t>
  </si>
  <si>
    <t>339488</t>
  </si>
  <si>
    <t>3760324300121</t>
  </si>
  <si>
    <t>HAPPY BOULET VEGET 176G HAPPYVORE</t>
  </si>
  <si>
    <t>3.81</t>
  </si>
  <si>
    <t>339487</t>
  </si>
  <si>
    <t>3760324300138</t>
  </si>
  <si>
    <t>HAPPY KNAX VEGETALES 200G HAPPYVORE</t>
  </si>
  <si>
    <t>339486</t>
  </si>
  <si>
    <t>3760324300145</t>
  </si>
  <si>
    <t>HAPPY SUPREMES PANES 180G HAPPYVORE</t>
  </si>
  <si>
    <t>3.9</t>
  </si>
  <si>
    <t>339485</t>
  </si>
  <si>
    <t>3599741003380</t>
  </si>
  <si>
    <t>FLT FACON FISH/CHIPS 400G FINDUS</t>
  </si>
  <si>
    <t>3.02</t>
  </si>
  <si>
    <t>339484</t>
  </si>
  <si>
    <t>3599741005605</t>
  </si>
  <si>
    <t>FIND COLIN GRAINE/CEREAL 250G FINDUS</t>
  </si>
  <si>
    <t>3.29</t>
  </si>
  <si>
    <t>339483</t>
  </si>
  <si>
    <t>3599741005612</t>
  </si>
  <si>
    <t>FIND COLIN HERBE/AIL 225G</t>
  </si>
  <si>
    <t>2.92</t>
  </si>
  <si>
    <t>339482</t>
  </si>
  <si>
    <t>3564700011867</t>
  </si>
  <si>
    <t>CROCADOR CROQ AIL/FH 6X50G</t>
  </si>
  <si>
    <t>2.2</t>
  </si>
  <si>
    <t>339481</t>
  </si>
  <si>
    <t>3599740006757</t>
  </si>
  <si>
    <t>FIND FLT COLIN ALASKA 4X100G FINDUS</t>
  </si>
  <si>
    <t>4.81</t>
  </si>
  <si>
    <t>339480</t>
  </si>
  <si>
    <t>3450970004541</t>
  </si>
  <si>
    <t>ECO+ PORTION COLIN 10X100G</t>
  </si>
  <si>
    <t>7.97</t>
  </si>
  <si>
    <t>339479</t>
  </si>
  <si>
    <t>3564700000427</t>
  </si>
  <si>
    <t>P OCEAN FLT CABILLAUD 4X100G</t>
  </si>
  <si>
    <t>7.99</t>
  </si>
  <si>
    <t>339478</t>
  </si>
  <si>
    <t>3564700005811</t>
  </si>
  <si>
    <t>P OCEAN FILET COLIN 10X100G</t>
  </si>
  <si>
    <t>8.69</t>
  </si>
  <si>
    <t>339477</t>
  </si>
  <si>
    <t>3600900010986</t>
  </si>
  <si>
    <t>TIPIAK TENDRES PERLES 700G</t>
  </si>
  <si>
    <t>339476</t>
  </si>
  <si>
    <t>3487400003249</t>
  </si>
  <si>
    <t>EBLY PERLE COUCOUS 300G</t>
  </si>
  <si>
    <t>2.28</t>
  </si>
  <si>
    <t>339475</t>
  </si>
  <si>
    <t>3564709174631</t>
  </si>
  <si>
    <t>NRT JUS TOMATE BCL 1L</t>
  </si>
  <si>
    <t>2.09</t>
  </si>
  <si>
    <t>339474</t>
  </si>
  <si>
    <t>3011360030450</t>
  </si>
  <si>
    <t>LESIEUR MAYONNAISE POT 710G</t>
  </si>
  <si>
    <t>3.05</t>
  </si>
  <si>
    <t>339473</t>
  </si>
  <si>
    <t>3600900022828</t>
  </si>
  <si>
    <t>TIPIAK CEREALES INDIENNE 260G</t>
  </si>
  <si>
    <t>339472</t>
  </si>
  <si>
    <t>3600900022965</t>
  </si>
  <si>
    <t>TIPIAK SEMOULE DE RIZ 300G</t>
  </si>
  <si>
    <t>1.76</t>
  </si>
  <si>
    <t>339471</t>
  </si>
  <si>
    <t>7394376615719</t>
  </si>
  <si>
    <t>16.56</t>
  </si>
  <si>
    <t>339470</t>
  </si>
  <si>
    <t>3660603081867</t>
  </si>
  <si>
    <t>BENEDICTA MAYO NATURE BCL 510G</t>
  </si>
  <si>
    <t>2.84</t>
  </si>
  <si>
    <t>339469</t>
  </si>
  <si>
    <t>3660603081980</t>
  </si>
  <si>
    <t>MAYO NATURE TOP DOWN 400G</t>
  </si>
  <si>
    <t>2.68</t>
  </si>
  <si>
    <t>339468</t>
  </si>
  <si>
    <t>AMORA MAYO STREET FS 398G</t>
  </si>
  <si>
    <t>339467</t>
  </si>
  <si>
    <t>8710522924327</t>
  </si>
  <si>
    <t>MAYO 5 ING TUB AMORA 175G</t>
  </si>
  <si>
    <t>339466</t>
  </si>
  <si>
    <t>8712100479243</t>
  </si>
  <si>
    <t>AMORA SCE POMMES FRITES 260G</t>
  </si>
  <si>
    <t>339465</t>
  </si>
  <si>
    <t>3564706629851</t>
  </si>
  <si>
    <t>RUSTICA MAYO CITRON OEUFS 235G</t>
  </si>
  <si>
    <t>339464</t>
  </si>
  <si>
    <t>7394376620683</t>
  </si>
  <si>
    <t>15.99</t>
  </si>
  <si>
    <t>339463</t>
  </si>
  <si>
    <t>8718114734484</t>
  </si>
  <si>
    <t>MAILLE MAYO FINE 320G</t>
  </si>
  <si>
    <t>2.51</t>
  </si>
  <si>
    <t>339462</t>
  </si>
  <si>
    <t>3564700633656</t>
  </si>
  <si>
    <t>RUSTICA MAYO MOUT DIJON 235G</t>
  </si>
  <si>
    <t>1.17</t>
  </si>
  <si>
    <t>339461</t>
  </si>
  <si>
    <t>3660603081850</t>
  </si>
  <si>
    <t>BENEDICTA MAYO CITRON BOCA 255G</t>
  </si>
  <si>
    <t>339460</t>
  </si>
  <si>
    <t>3564700004852</t>
  </si>
  <si>
    <t>N JARDIN MACED LEG 1/4X3 390G</t>
  </si>
  <si>
    <t>339459</t>
  </si>
  <si>
    <t>3564700004838</t>
  </si>
  <si>
    <t>N JARDIN MACEDOINE LEGUMES 530G</t>
  </si>
  <si>
    <t>1.23</t>
  </si>
  <si>
    <t>339458</t>
  </si>
  <si>
    <t>3083680002981</t>
  </si>
  <si>
    <t>BONDU MACEDOINE 4/4 530G BONDUELLE</t>
  </si>
  <si>
    <t>1.61</t>
  </si>
  <si>
    <t>339457</t>
  </si>
  <si>
    <t>3083680002929</t>
  </si>
  <si>
    <t>BONDU MACEDOINE 1/2 265G BONDUELLE</t>
  </si>
  <si>
    <t>0.94</t>
  </si>
  <si>
    <t>339456</t>
  </si>
  <si>
    <t>3564700004685</t>
  </si>
  <si>
    <t>N JARDIN POIS CAROT BCL 420G</t>
  </si>
  <si>
    <t>339455</t>
  </si>
  <si>
    <t>3564700004807</t>
  </si>
  <si>
    <t>N JARDIN POIS CAR 1/4 3X130G</t>
  </si>
  <si>
    <t>339454</t>
  </si>
  <si>
    <t>3564700004821</t>
  </si>
  <si>
    <t>N JARDIN POIS CAROT TF 265G</t>
  </si>
  <si>
    <t>0.96</t>
  </si>
  <si>
    <t>339453</t>
  </si>
  <si>
    <t>3564700005163</t>
  </si>
  <si>
    <t>N JARDIN HARIC TF 4/4 440G</t>
  </si>
  <si>
    <t>1.15</t>
  </si>
  <si>
    <t>339452</t>
  </si>
  <si>
    <t>3564700005187</t>
  </si>
  <si>
    <t>N JARDIN HARIC TF 1/4X3.330G</t>
  </si>
  <si>
    <t>1.91</t>
  </si>
  <si>
    <t>339451</t>
  </si>
  <si>
    <t>3564700758045</t>
  </si>
  <si>
    <t>N.JARDIN, HAR.VRT COUP.E, 3X110G</t>
  </si>
  <si>
    <t>339450</t>
  </si>
  <si>
    <t>3564709042039</t>
  </si>
  <si>
    <t>NRT CASSOUL CONF 420G</t>
  </si>
  <si>
    <t>339449</t>
  </si>
  <si>
    <t>3564709017280</t>
  </si>
  <si>
    <t>NRT CASSOULET 4/4 840G</t>
  </si>
  <si>
    <t>339448</t>
  </si>
  <si>
    <t>3375640002149</t>
  </si>
  <si>
    <t>RIVIERE CASSOULET CANARD 420G MAISON RIVIERE</t>
  </si>
  <si>
    <t>3.08</t>
  </si>
  <si>
    <t>339447</t>
  </si>
  <si>
    <t>3564709197142</t>
  </si>
  <si>
    <t>MRT CASSOUL CASTELNAU PORC 840G</t>
  </si>
  <si>
    <t>4.05</t>
  </si>
  <si>
    <t>339446</t>
  </si>
  <si>
    <t>3336972103096</t>
  </si>
  <si>
    <t>VICO CHIPS POULET ROTI 125G</t>
  </si>
  <si>
    <t>1.37</t>
  </si>
  <si>
    <t>339445</t>
  </si>
  <si>
    <t>3336972504015</t>
  </si>
  <si>
    <t>VICO CHIPS SEL &amp; POIVR 125G</t>
  </si>
  <si>
    <t>339444</t>
  </si>
  <si>
    <t>3497917003151</t>
  </si>
  <si>
    <t>BRET'S MOUTARDE MIEL 125G</t>
  </si>
  <si>
    <t>339443</t>
  </si>
  <si>
    <t>3497917003564</t>
  </si>
  <si>
    <t>BRET'S CHEDDAR JALAPENO 125G</t>
  </si>
  <si>
    <t>339442</t>
  </si>
  <si>
    <t>3497917003540</t>
  </si>
  <si>
    <t>BRETS ARO BLEU D'AUVERGNE 125G</t>
  </si>
  <si>
    <t>339441</t>
  </si>
  <si>
    <t>3564700738009</t>
  </si>
  <si>
    <t>N JARDIN HAR BLC TOM 4/4 530G</t>
  </si>
  <si>
    <t>1.08</t>
  </si>
  <si>
    <t>339440</t>
  </si>
  <si>
    <t>3564700643372</t>
  </si>
  <si>
    <t>N JARDIN HAR RGES 4/4 500G</t>
  </si>
  <si>
    <t>339439</t>
  </si>
  <si>
    <t>3587220002313</t>
  </si>
  <si>
    <t>F DOREE 4 BRIOCH'BURG SES 250G LA FOURNEE DOREE</t>
  </si>
  <si>
    <t>1.82</t>
  </si>
  <si>
    <t>339438</t>
  </si>
  <si>
    <t>3587220002740</t>
  </si>
  <si>
    <t>F DOREE 10 MINI SANDWICH 200G LA FOURNEE DOREE</t>
  </si>
  <si>
    <t>339437</t>
  </si>
  <si>
    <t>3587220002733</t>
  </si>
  <si>
    <t>F DOR MIN BRIOCH'BURGER 200G LA FOURNEE DOREE</t>
  </si>
  <si>
    <t>339436</t>
  </si>
  <si>
    <t>3029330802389</t>
  </si>
  <si>
    <t>JACQ BURGER UL MLX MAXX3 330G JACQUET</t>
  </si>
  <si>
    <t>339435</t>
  </si>
  <si>
    <t>3564706785694</t>
  </si>
  <si>
    <t>E D'OR PAIN BURG BRIOCH X4 250G</t>
  </si>
  <si>
    <t>1.46</t>
  </si>
  <si>
    <t>339434</t>
  </si>
  <si>
    <t>3029330801948</t>
  </si>
  <si>
    <t>JACQ BURG GEANT GRA X 330G JACQUET</t>
  </si>
  <si>
    <t>339433</t>
  </si>
  <si>
    <t>1.32</t>
  </si>
  <si>
    <t>339432</t>
  </si>
  <si>
    <t>3564700637685</t>
  </si>
  <si>
    <t>E D'OR PAIN HAMBURG CPL 330G</t>
  </si>
  <si>
    <t>339431</t>
  </si>
  <si>
    <t>3564700637647</t>
  </si>
  <si>
    <t>E D'OR PAIN HAMBURG NAT 330G</t>
  </si>
  <si>
    <t>0.86</t>
  </si>
  <si>
    <t>339430</t>
  </si>
  <si>
    <t>3760077537614</t>
  </si>
  <si>
    <t>FLORELLI PAIN BRUSCHETTA 400G</t>
  </si>
  <si>
    <t>339429</t>
  </si>
  <si>
    <t>3029330072331</t>
  </si>
  <si>
    <t>BRASSERIE COMPLET SSA X4 330G JACQUET</t>
  </si>
  <si>
    <t>339428</t>
  </si>
  <si>
    <t>3760049795639</t>
  </si>
  <si>
    <t>BOULANG PAINS PANINI X4 300G LA BOULANGERE</t>
  </si>
  <si>
    <t>339427</t>
  </si>
  <si>
    <t>8032998907162</t>
  </si>
  <si>
    <t>DAILYB PAIN HOT DOG ELX 320G LES MENUS DU MONDE</t>
  </si>
  <si>
    <t>2.32</t>
  </si>
  <si>
    <t>339426</t>
  </si>
  <si>
    <t>3029330003830</t>
  </si>
  <si>
    <t>JACQ PANINI X4 240G JACQUET</t>
  </si>
  <si>
    <t>2.04</t>
  </si>
  <si>
    <t>339425</t>
  </si>
  <si>
    <t>339424</t>
  </si>
  <si>
    <t>3760049798937</t>
  </si>
  <si>
    <t>BOULANG BRIOCHE MUFFIN X5 250G LA BOULANGERE</t>
  </si>
  <si>
    <t>1.52</t>
  </si>
  <si>
    <t>339423</t>
  </si>
  <si>
    <t>3760049790818</t>
  </si>
  <si>
    <t>BOULANG BAGUET VIENNOISE 340G LA BOULANGERE</t>
  </si>
  <si>
    <t>1.42</t>
  </si>
  <si>
    <t>339422</t>
  </si>
  <si>
    <t>3256540002494</t>
  </si>
  <si>
    <t>PASQ PAIN BRETZEL NATURE 270G BRIOCHE PASQUIER</t>
  </si>
  <si>
    <t>339421</t>
  </si>
  <si>
    <t>3513851559421</t>
  </si>
  <si>
    <t>R PARK MUFFIN X4 NAT PB 250G FRESH FOOD VILLAGE</t>
  </si>
  <si>
    <t>3.09</t>
  </si>
  <si>
    <t>339420</t>
  </si>
  <si>
    <t>3029330002406</t>
  </si>
  <si>
    <t>JACQ DEMI - BAGUET NAT 250G JACQUET</t>
  </si>
  <si>
    <t>339419</t>
  </si>
  <si>
    <t>3564707087490</t>
  </si>
  <si>
    <t>B VILL DEMI - BAGUETTE CPGNE 250g</t>
  </si>
  <si>
    <t>339418</t>
  </si>
  <si>
    <t>3564700019276</t>
  </si>
  <si>
    <t>E D'OR PAINS CHOCOLAT X8 360G</t>
  </si>
  <si>
    <t>1.89</t>
  </si>
  <si>
    <t>339417</t>
  </si>
  <si>
    <t>3256540001008</t>
  </si>
  <si>
    <t>PASQ PAIN CHOCO X8 360G BRIOCHE PASQUIER</t>
  </si>
  <si>
    <t>2.21</t>
  </si>
  <si>
    <t>339416</t>
  </si>
  <si>
    <t>3382510019084</t>
  </si>
  <si>
    <t>OLIVE VERTE MEDITERRANE 200G TROPIC APERO</t>
  </si>
  <si>
    <t>339415</t>
  </si>
  <si>
    <t>3382510012306</t>
  </si>
  <si>
    <t>TAPENADE VERTE 125G TROPIC APERO</t>
  </si>
  <si>
    <t>3.17</t>
  </si>
  <si>
    <t>339414</t>
  </si>
  <si>
    <t>3382510019152</t>
  </si>
  <si>
    <t>OLIVE VTE DENOY SICILIENNE 220G TROPIC APERO</t>
  </si>
  <si>
    <t>3.87</t>
  </si>
  <si>
    <t>339413</t>
  </si>
  <si>
    <t>3382510019046</t>
  </si>
  <si>
    <t>OLIV VERT DENOY PROVENCALE 200G TROPIC APERO</t>
  </si>
  <si>
    <t>2.9</t>
  </si>
  <si>
    <t>339412</t>
  </si>
  <si>
    <t>3770035055401</t>
  </si>
  <si>
    <t>P&amp;M P CORN TRUFFE BLANCHE 32G</t>
  </si>
  <si>
    <t>1.58</t>
  </si>
  <si>
    <t>339411</t>
  </si>
  <si>
    <t>7340083471070</t>
  </si>
  <si>
    <t>13.9</t>
  </si>
  <si>
    <t>339410</t>
  </si>
  <si>
    <t>3770035055258</t>
  </si>
  <si>
    <t>P&amp;M P CORN ENR CHOC LAIT 100G A.C. PRIMASUD</t>
  </si>
  <si>
    <t>2.88</t>
  </si>
  <si>
    <t>339409</t>
  </si>
  <si>
    <t>3564700542750</t>
  </si>
  <si>
    <t>TOKAPI TUILES PAPRIKA 170G</t>
  </si>
  <si>
    <t>339408</t>
  </si>
  <si>
    <t>3163934562192</t>
  </si>
  <si>
    <t>BS ANISEE RICARD 4.5% 3X20CL RICARD</t>
  </si>
  <si>
    <t>5.69</t>
  </si>
  <si>
    <t>339407</t>
  </si>
  <si>
    <t>3564707117166</t>
  </si>
  <si>
    <t>BIO VILL NOIX DE CAJOU 100G</t>
  </si>
  <si>
    <t>339406</t>
  </si>
  <si>
    <t>3336971508069</t>
  </si>
  <si>
    <t>VICO CAJOU GR SEL GUERAND 100G</t>
  </si>
  <si>
    <t>3.27</t>
  </si>
  <si>
    <t>339405</t>
  </si>
  <si>
    <t>3564700537404</t>
  </si>
  <si>
    <t>TOKAPI CACAHUETES SS SEL 200G</t>
  </si>
  <si>
    <t>0.76</t>
  </si>
  <si>
    <t>339404</t>
  </si>
  <si>
    <t>3564700845257</t>
  </si>
  <si>
    <t>TOKAPI NOIX DE CAJOU 3X80G</t>
  </si>
  <si>
    <t>3.45</t>
  </si>
  <si>
    <t>339403</t>
  </si>
  <si>
    <t>3760177141261</t>
  </si>
  <si>
    <t>HOUMOUS POIS CHICHE 90G NANSODIS</t>
  </si>
  <si>
    <t>339402</t>
  </si>
  <si>
    <t>7340083494406</t>
  </si>
  <si>
    <t>339401</t>
  </si>
  <si>
    <t>3234510016269</t>
  </si>
  <si>
    <t>ASP OEUF JB MACEDOINE 90G PIERRE SCHMIDT</t>
  </si>
  <si>
    <t>339400</t>
  </si>
  <si>
    <t>3234510104201</t>
  </si>
  <si>
    <t>SCHM ASPIC OEUF/JB X2 190G</t>
  </si>
  <si>
    <t>3.16</t>
  </si>
  <si>
    <t>339399</t>
  </si>
  <si>
    <t>3234510025759</t>
  </si>
  <si>
    <t>ASPIC THON MAYO SCHM 85G PIERRE SCHMIDT</t>
  </si>
  <si>
    <t>339398</t>
  </si>
  <si>
    <t>7394376614804</t>
  </si>
  <si>
    <t>5.9</t>
  </si>
  <si>
    <t>339397</t>
  </si>
  <si>
    <t>7394376623806</t>
  </si>
  <si>
    <t>14.66</t>
  </si>
  <si>
    <t>339396</t>
  </si>
  <si>
    <t>7394376624100</t>
  </si>
  <si>
    <t>339395</t>
  </si>
  <si>
    <t>7803403004483</t>
  </si>
  <si>
    <t>1390.0</t>
  </si>
  <si>
    <t>CLP</t>
  </si>
  <si>
    <t>noe0728</t>
  </si>
  <si>
    <t>Lider</t>
  </si>
  <si>
    <t>339394</t>
  </si>
  <si>
    <t>4335619098961</t>
  </si>
  <si>
    <t>2.79</t>
  </si>
  <si>
    <t>mrmot</t>
  </si>
  <si>
    <t>Lidl</t>
  </si>
  <si>
    <t>2026-09-28</t>
  </si>
  <si>
    <t>339393</t>
  </si>
  <si>
    <t>3664346348706</t>
  </si>
  <si>
    <t>GBP</t>
  </si>
  <si>
    <t>nah</t>
  </si>
  <si>
    <t>339392</t>
  </si>
  <si>
    <t>8003340092690</t>
  </si>
  <si>
    <t>13.15</t>
  </si>
  <si>
    <t>alexiscy</t>
  </si>
  <si>
    <t>ΆλφαΜέγα</t>
  </si>
  <si>
    <t>2026-09-23</t>
  </si>
  <si>
    <t>339391</t>
  </si>
  <si>
    <t>3302740084690</t>
  </si>
  <si>
    <t>DUO DE POISSONS RIZ CUISINE</t>
  </si>
  <si>
    <t>stephane</t>
  </si>
  <si>
    <t>Monoprix</t>
  </si>
  <si>
    <t>339390</t>
  </si>
  <si>
    <t>8719200311886</t>
  </si>
  <si>
    <t>339389</t>
  </si>
  <si>
    <t>8719200295537</t>
  </si>
  <si>
    <t>33.02</t>
  </si>
  <si>
    <t>339388</t>
  </si>
  <si>
    <t>8719200296015</t>
  </si>
  <si>
    <t>339387</t>
  </si>
  <si>
    <t>3760257091219</t>
  </si>
  <si>
    <t>HA CO.CHILI SIN CARNE 280G</t>
  </si>
  <si>
    <t>3.74</t>
  </si>
  <si>
    <t>tartelette299</t>
  </si>
  <si>
    <t>339386</t>
  </si>
  <si>
    <t>3760257091349</t>
  </si>
  <si>
    <t>TIKKA MASSALA VEGETAL 280G</t>
  </si>
  <si>
    <t>3.97</t>
  </si>
  <si>
    <t>339385</t>
  </si>
  <si>
    <t>3770020560026</t>
  </si>
  <si>
    <t>NUDJ NUGGETS VEGETALES BIO</t>
  </si>
  <si>
    <t>3.95</t>
  </si>
  <si>
    <t>339384</t>
  </si>
  <si>
    <t>3760324300015</t>
  </si>
  <si>
    <t>HAPPYVORE STEAK X2 200G</t>
  </si>
  <si>
    <t>4.55</t>
  </si>
  <si>
    <t>339383</t>
  </si>
  <si>
    <t>7394376622649</t>
  </si>
  <si>
    <t>339382</t>
  </si>
  <si>
    <t>3456300009316</t>
  </si>
  <si>
    <t>monsieurtanuki</t>
  </si>
  <si>
    <t>339381</t>
  </si>
  <si>
    <t>3760257091011</t>
  </si>
  <si>
    <t>DAHL DE LENTILLES CORAIL 280G</t>
  </si>
  <si>
    <t>3.64</t>
  </si>
  <si>
    <t>339380</t>
  </si>
  <si>
    <t>4335619334328</t>
  </si>
  <si>
    <t>3.35</t>
  </si>
  <si>
    <t>ballina64</t>
  </si>
  <si>
    <t>339379</t>
  </si>
  <si>
    <t>3760257091646</t>
  </si>
  <si>
    <t>NEMS HACHE VEGETAL 120G</t>
  </si>
  <si>
    <t>339378</t>
  </si>
  <si>
    <t>3760324300336</t>
  </si>
  <si>
    <t>HPVRE TRANCHE TOMATE HERBES</t>
  </si>
  <si>
    <t>339377</t>
  </si>
  <si>
    <t>HPYRE TRANCHE TOMATE HERBES</t>
  </si>
  <si>
    <t>339376</t>
  </si>
  <si>
    <t>3456300005837</t>
  </si>
  <si>
    <t>339375</t>
  </si>
  <si>
    <t>8410076350213</t>
  </si>
  <si>
    <t>saraho888</t>
  </si>
  <si>
    <t>339374</t>
  </si>
  <si>
    <t>8410076421449</t>
  </si>
  <si>
    <t>2.95</t>
  </si>
  <si>
    <t>339373</t>
  </si>
  <si>
    <t>3229820188751</t>
  </si>
  <si>
    <t>339372</t>
  </si>
  <si>
    <t>4902663010180</t>
  </si>
  <si>
    <t>300G PATE MISO ENJUKU H- MISO</t>
  </si>
  <si>
    <t>8.29</t>
  </si>
  <si>
    <t>339371</t>
  </si>
  <si>
    <t>3229820781334</t>
  </si>
  <si>
    <t>60G MIX SESAME TANOSHI</t>
  </si>
  <si>
    <t>3.75</t>
  </si>
  <si>
    <t>339370</t>
  </si>
  <si>
    <t>3701690417808</t>
  </si>
  <si>
    <t>KELLY LOVES - SEAWEED RICE CRI</t>
  </si>
  <si>
    <t>2.5</t>
  </si>
  <si>
    <t>339369</t>
  </si>
  <si>
    <t>3302740102585</t>
  </si>
  <si>
    <t>FM MACARONI POULET MOUTARDE</t>
  </si>
  <si>
    <t>3.79</t>
  </si>
  <si>
    <t>339368</t>
  </si>
  <si>
    <t>9556041611121</t>
  </si>
  <si>
    <t>210ML SCE AIGRE DOUCE AYAM EW</t>
  </si>
  <si>
    <t>2.85</t>
  </si>
  <si>
    <t>339367</t>
  </si>
  <si>
    <t>9556041132497</t>
  </si>
  <si>
    <t>AYAM LAIT DE COCO 400ML</t>
  </si>
  <si>
    <t>3.65</t>
  </si>
  <si>
    <t>339366</t>
  </si>
  <si>
    <t>3760020500559</t>
  </si>
  <si>
    <t>400ML LAIT DE COCO JARDIN BIO</t>
  </si>
  <si>
    <t>339365</t>
  </si>
  <si>
    <t>3302740003868</t>
  </si>
  <si>
    <t>LE COUSCOUS A LA MAROCAINE</t>
  </si>
  <si>
    <t>4.79</t>
  </si>
  <si>
    <t>339364</t>
  </si>
  <si>
    <t>3302740003516</t>
  </si>
  <si>
    <t>FUSILLI AU POULET</t>
  </si>
  <si>
    <t>339363</t>
  </si>
  <si>
    <t>9556041608428</t>
  </si>
  <si>
    <t>200ML SAUCE NUOC MAM AYAM</t>
  </si>
  <si>
    <t>2.75</t>
  </si>
  <si>
    <t>339362</t>
  </si>
  <si>
    <t>339361</t>
  </si>
  <si>
    <t>9556041131087</t>
  </si>
  <si>
    <t>AYAM SCE ROULEAUX PRINTEMPS</t>
  </si>
  <si>
    <t>2.39</t>
  </si>
  <si>
    <t>339360</t>
  </si>
  <si>
    <t>3456300012941</t>
  </si>
  <si>
    <t>339359</t>
  </si>
  <si>
    <t>3760278207200</t>
  </si>
  <si>
    <t>339358</t>
  </si>
  <si>
    <t>3275550006827</t>
  </si>
  <si>
    <t>2.29</t>
  </si>
  <si>
    <t>339357</t>
  </si>
  <si>
    <t>3770015307025</t>
  </si>
  <si>
    <t>CREME GLACE BIO COCO 400G</t>
  </si>
  <si>
    <t>7.69</t>
  </si>
  <si>
    <t>339356</t>
  </si>
  <si>
    <t>3302741859105</t>
  </si>
  <si>
    <t>LA PAELLA VALENCIANA 400G</t>
  </si>
  <si>
    <t>4.59</t>
  </si>
  <si>
    <t>339355</t>
  </si>
  <si>
    <t>3248830002963</t>
  </si>
  <si>
    <t>WW SERPENTINI ARRABBIATA MOZZ</t>
  </si>
  <si>
    <t>339354</t>
  </si>
  <si>
    <t>3350030182755</t>
  </si>
  <si>
    <t>LASAGNE BOLOGNAISE 350G MPX</t>
  </si>
  <si>
    <t>3.25</t>
  </si>
  <si>
    <t>339353</t>
  </si>
  <si>
    <t>3302743330022</t>
  </si>
  <si>
    <t>TAGLIATELLES SAUMON POIREAUX</t>
  </si>
  <si>
    <t>4.65</t>
  </si>
  <si>
    <t>339352</t>
  </si>
  <si>
    <t>3248830002161</t>
  </si>
  <si>
    <t>RISOTTO AUX CREVETTES WW 290G</t>
  </si>
  <si>
    <t>5.85</t>
  </si>
  <si>
    <t>339351</t>
  </si>
  <si>
    <t>3229820188737</t>
  </si>
  <si>
    <t>339350</t>
  </si>
  <si>
    <t>3770018078878</t>
  </si>
  <si>
    <t>NUGGETS DE TOFU FUME 180G</t>
  </si>
  <si>
    <t>3.0</t>
  </si>
  <si>
    <t>339349</t>
  </si>
  <si>
    <t>3770016162036</t>
  </si>
  <si>
    <t>HAPPYVORE NUGGETS 210G</t>
  </si>
  <si>
    <t>339348</t>
  </si>
  <si>
    <t>5420005750109</t>
  </si>
  <si>
    <t>VEGAN DELI BURGAN NATURE 180G</t>
  </si>
  <si>
    <t>339347</t>
  </si>
  <si>
    <t>3350034047210</t>
  </si>
  <si>
    <t>FALAFELS FEVE MENTHE CORIANDR</t>
  </si>
  <si>
    <t>4.06</t>
  </si>
  <si>
    <t>339346</t>
  </si>
  <si>
    <t>3760257090731</t>
  </si>
  <si>
    <t>GALETTES DE LENTILLES VERTES B</t>
  </si>
  <si>
    <t>3.82</t>
  </si>
  <si>
    <t>339345</t>
  </si>
  <si>
    <t>3350033761117</t>
  </si>
  <si>
    <t>MPX PANE GOURMAND 200G</t>
  </si>
  <si>
    <t>4.19</t>
  </si>
  <si>
    <t>339344</t>
  </si>
  <si>
    <t>8445291070769</t>
  </si>
  <si>
    <t>GARDEN GOURMET BBQ EPICEE 180G</t>
  </si>
  <si>
    <t>4.45</t>
  </si>
  <si>
    <t>339343</t>
  </si>
  <si>
    <t>3770015307100</t>
  </si>
  <si>
    <t>MEMERE GLACE BIO CARAMEL 400G</t>
  </si>
  <si>
    <t>7.75</t>
  </si>
  <si>
    <t>339342</t>
  </si>
  <si>
    <t>3770015307001</t>
  </si>
  <si>
    <t>MEMERE GLACE BIO VANILLE 400G</t>
  </si>
  <si>
    <t>339341</t>
  </si>
  <si>
    <t>3229820787343</t>
  </si>
  <si>
    <t>2.49</t>
  </si>
  <si>
    <t>339340</t>
  </si>
  <si>
    <t>7630294504668</t>
  </si>
  <si>
    <t>PLANTED EFFILOCHE BBQ 160G</t>
  </si>
  <si>
    <t>3.89</t>
  </si>
  <si>
    <t>339339</t>
  </si>
  <si>
    <t>3259011799893</t>
  </si>
  <si>
    <t>339338</t>
  </si>
  <si>
    <t>3770018934204</t>
  </si>
  <si>
    <t>ACCRO HACHE VEGE BURGER 200G</t>
  </si>
  <si>
    <t>339337</t>
  </si>
  <si>
    <t>8445291659445</t>
  </si>
  <si>
    <t>GARDEN PANEE SOJA BLE 207G</t>
  </si>
  <si>
    <t>3.99</t>
  </si>
  <si>
    <t>339336</t>
  </si>
  <si>
    <t>3770020560200</t>
  </si>
  <si>
    <t>RILLETTE VEG PIMENT 120G</t>
  </si>
  <si>
    <t>339335</t>
  </si>
  <si>
    <t>3350033908949</t>
  </si>
  <si>
    <t>MBI TOFU NATURE 250G</t>
  </si>
  <si>
    <t>339334</t>
  </si>
  <si>
    <t>3760367390899</t>
  </si>
  <si>
    <t>SPICY WINGS 100% VEGETAL 200G</t>
  </si>
  <si>
    <t>4.89</t>
  </si>
  <si>
    <t>339333</t>
  </si>
  <si>
    <t>3175681132467</t>
  </si>
  <si>
    <t>339332</t>
  </si>
  <si>
    <t>3770018934747</t>
  </si>
  <si>
    <t>ACCRO MERGUEZ 200G</t>
  </si>
  <si>
    <t>lpdj</t>
  </si>
  <si>
    <t>339331</t>
  </si>
  <si>
    <t>8032937631172</t>
  </si>
  <si>
    <t>SACHET 600 GR DE 10 ICE BALL</t>
  </si>
  <si>
    <t>3.49</t>
  </si>
  <si>
    <t>339330</t>
  </si>
  <si>
    <t>7630294506297</t>
  </si>
  <si>
    <t>PLANTED STEAK 150G</t>
  </si>
  <si>
    <t>339329</t>
  </si>
  <si>
    <t>339328</t>
  </si>
  <si>
    <t>3760257091653</t>
  </si>
  <si>
    <t>SAMOSSAS LENTILLES CORAIL COCO</t>
  </si>
  <si>
    <t>4.09</t>
  </si>
  <si>
    <t>339327</t>
  </si>
  <si>
    <t>3667439000307</t>
  </si>
  <si>
    <t>TENDERS SPICY VÉGÉTAUX ET GOUR</t>
  </si>
  <si>
    <t>339326</t>
  </si>
  <si>
    <t>3350033434752</t>
  </si>
  <si>
    <t>MPX 2 ESCALOPES PANEES DE BLE</t>
  </si>
  <si>
    <t>339325</t>
  </si>
  <si>
    <t>339324</t>
  </si>
  <si>
    <t>7649990821320</t>
  </si>
  <si>
    <t>PLANTED KEBAB 160G</t>
  </si>
  <si>
    <t>339323</t>
  </si>
  <si>
    <t>HAPPYVORE KNAX 200G</t>
  </si>
  <si>
    <t>339322</t>
  </si>
  <si>
    <t>HPVYRE TRANCHE TOMATE HERBES</t>
  </si>
  <si>
    <t>339321</t>
  </si>
  <si>
    <t>339320</t>
  </si>
  <si>
    <t>339319</t>
  </si>
  <si>
    <t>3760020509040</t>
  </si>
  <si>
    <t>339318</t>
  </si>
  <si>
    <t>3175681216273</t>
  </si>
  <si>
    <t>4.39</t>
  </si>
  <si>
    <t>339317</t>
  </si>
  <si>
    <t>3770018078670</t>
  </si>
  <si>
    <t>TRANCHE SAUCISSON POIVRE 70G</t>
  </si>
  <si>
    <t>339316</t>
  </si>
  <si>
    <t>3770018078762</t>
  </si>
  <si>
    <t>TOFU FUME EN DES SAUCE TERIYAK</t>
  </si>
  <si>
    <t>339315</t>
  </si>
  <si>
    <t>339314</t>
  </si>
  <si>
    <t>3770010799153</t>
  </si>
  <si>
    <t>SOLMON FUME 100 VEGETAL</t>
  </si>
  <si>
    <t>3.85</t>
  </si>
  <si>
    <t>339313</t>
  </si>
  <si>
    <t>3760367390974</t>
  </si>
  <si>
    <t>SAUCISSES FUMÉES 100% VÉGÉTAL</t>
  </si>
  <si>
    <t>4.61</t>
  </si>
  <si>
    <t>339312</t>
  </si>
  <si>
    <t>3770018078151</t>
  </si>
  <si>
    <t>LA VIE BACON VEGETAL FUME 120G</t>
  </si>
  <si>
    <t>339311</t>
  </si>
  <si>
    <t>1230000116350</t>
  </si>
  <si>
    <t>BEYOND MEAT HACHE 250G</t>
  </si>
  <si>
    <t>339310</t>
  </si>
  <si>
    <t>7613287940452</t>
  </si>
  <si>
    <t>GARDEN GOURMET VUNA 175G</t>
  </si>
  <si>
    <t>339309</t>
  </si>
  <si>
    <t>3175681303751</t>
  </si>
  <si>
    <t>339308</t>
  </si>
  <si>
    <t>5034467000223</t>
  </si>
  <si>
    <t>THE TOFOO. CO FUME BIO 225G</t>
  </si>
  <si>
    <t>339307</t>
  </si>
  <si>
    <t>3770018934402</t>
  </si>
  <si>
    <t>ACCRO NUGGETS VEGETAL 180G</t>
  </si>
  <si>
    <t>339306</t>
  </si>
  <si>
    <t>3760367391001</t>
  </si>
  <si>
    <t>LAMELLES FAÇON THAÏ 100% VÉGÉ</t>
  </si>
  <si>
    <t>339305</t>
  </si>
  <si>
    <t>HAPPYVORE CHIPOLATAS X4 200G</t>
  </si>
  <si>
    <t>339304</t>
  </si>
  <si>
    <t>339303</t>
  </si>
  <si>
    <t>7613035694989</t>
  </si>
  <si>
    <t>BOULETTES AUX LEGUMES</t>
  </si>
  <si>
    <t>4.25</t>
  </si>
  <si>
    <t>339302</t>
  </si>
  <si>
    <t>3229820793689</t>
  </si>
  <si>
    <t>339301</t>
  </si>
  <si>
    <t>3350033434776</t>
  </si>
  <si>
    <t>GALET.PANEE POIREAUX 200G MPX</t>
  </si>
  <si>
    <t>339300</t>
  </si>
  <si>
    <t>339299</t>
  </si>
  <si>
    <t>HAPPYVORE MERGUEZ X4 200G</t>
  </si>
  <si>
    <t>339298</t>
  </si>
  <si>
    <t>3760324300053</t>
  </si>
  <si>
    <t>HAPPYVORE HACHE 200G</t>
  </si>
  <si>
    <t>339297</t>
  </si>
  <si>
    <t>8436615850174</t>
  </si>
  <si>
    <t>ESCALOPES PANEES 180G</t>
  </si>
  <si>
    <t>339296</t>
  </si>
  <si>
    <t>3229820792132</t>
  </si>
  <si>
    <t>339295</t>
  </si>
  <si>
    <t>3229820804200</t>
  </si>
  <si>
    <t>339294</t>
  </si>
  <si>
    <t>3229820181424</t>
  </si>
  <si>
    <t>339293</t>
  </si>
  <si>
    <t>3229820019604</t>
  </si>
  <si>
    <t>339292</t>
  </si>
  <si>
    <t>8008698022214</t>
  </si>
  <si>
    <t>4.85</t>
  </si>
  <si>
    <t>339291</t>
  </si>
  <si>
    <t>3229820112015</t>
  </si>
  <si>
    <t>339290</t>
  </si>
  <si>
    <t>3229820129112</t>
  </si>
  <si>
    <t>339289</t>
  </si>
  <si>
    <t>3229820801131</t>
  </si>
  <si>
    <t>339288</t>
  </si>
  <si>
    <t>339287</t>
  </si>
  <si>
    <t>3229820019611</t>
  </si>
  <si>
    <t>339286</t>
  </si>
  <si>
    <t>339285</t>
  </si>
  <si>
    <t>4260372060910</t>
  </si>
  <si>
    <t>franzg</t>
  </si>
  <si>
    <t>Rewe</t>
  </si>
  <si>
    <t>2026-10-02</t>
  </si>
  <si>
    <t>339284</t>
  </si>
  <si>
    <t>3229820804217</t>
  </si>
  <si>
    <t>339283</t>
  </si>
  <si>
    <t>339282</t>
  </si>
  <si>
    <t>3760152700735</t>
  </si>
  <si>
    <t>gala-nafikova</t>
  </si>
  <si>
    <t>339281</t>
  </si>
  <si>
    <t>339280</t>
  </si>
  <si>
    <t>8008698002209</t>
  </si>
  <si>
    <t>5.55</t>
  </si>
  <si>
    <t>339279</t>
  </si>
  <si>
    <t>339278</t>
  </si>
  <si>
    <t>339277</t>
  </si>
  <si>
    <t>339276</t>
  </si>
  <si>
    <t>339275</t>
  </si>
  <si>
    <t>8008698012857</t>
  </si>
  <si>
    <t>339274</t>
  </si>
  <si>
    <t>4335619414310</t>
  </si>
  <si>
    <t>tikkamasala</t>
  </si>
  <si>
    <t>2026-09-29</t>
  </si>
  <si>
    <t>339273</t>
  </si>
  <si>
    <t>8008698009024</t>
  </si>
  <si>
    <t>4.95</t>
  </si>
  <si>
    <t>339272</t>
  </si>
  <si>
    <t>7394376616709</t>
  </si>
  <si>
    <t>339271</t>
  </si>
  <si>
    <t>3701268000098</t>
  </si>
  <si>
    <t>339270</t>
  </si>
  <si>
    <t>7394376621277</t>
  </si>
  <si>
    <t>339269</t>
  </si>
  <si>
    <t>339268</t>
  </si>
  <si>
    <t>7394376615979</t>
  </si>
  <si>
    <t>339267</t>
  </si>
  <si>
    <t>3701268001163</t>
  </si>
  <si>
    <t>339266</t>
  </si>
  <si>
    <t>5411188115366</t>
  </si>
  <si>
    <t>339265</t>
  </si>
  <si>
    <t>3350033995178</t>
  </si>
  <si>
    <t>339264</t>
  </si>
  <si>
    <t>3350033534520</t>
  </si>
  <si>
    <t>339263</t>
  </si>
  <si>
    <t>5400101096011</t>
  </si>
  <si>
    <t>4.13</t>
  </si>
  <si>
    <t>guillaume029371</t>
  </si>
  <si>
    <t>Hypermarché Carrefour MONT ST JEAN</t>
  </si>
  <si>
    <t>339262</t>
  </si>
  <si>
    <t>5400101103108</t>
  </si>
  <si>
    <t>339261</t>
  </si>
  <si>
    <t>5400101256200</t>
  </si>
  <si>
    <t>339260</t>
  </si>
  <si>
    <t>3560071434571</t>
  </si>
  <si>
    <t>339259</t>
  </si>
  <si>
    <t>5400279004610</t>
  </si>
  <si>
    <t>339258</t>
  </si>
  <si>
    <t>5400101256644</t>
  </si>
  <si>
    <t>4.29</t>
  </si>
  <si>
    <t>339257</t>
  </si>
  <si>
    <t>3350033641204</t>
  </si>
  <si>
    <t>2.65</t>
  </si>
  <si>
    <t>339256</t>
  </si>
  <si>
    <t>8717662265259</t>
  </si>
  <si>
    <t>339255</t>
  </si>
  <si>
    <t>8013355501506</t>
  </si>
  <si>
    <t>339254</t>
  </si>
  <si>
    <t>8719200315532</t>
  </si>
  <si>
    <t>339253</t>
  </si>
  <si>
    <t>5410298053155</t>
  </si>
  <si>
    <t>5.29</t>
  </si>
  <si>
    <t>339252</t>
  </si>
  <si>
    <t>5400101213234</t>
  </si>
  <si>
    <t>339251</t>
  </si>
  <si>
    <t>5400101056374</t>
  </si>
  <si>
    <t>339250</t>
  </si>
  <si>
    <t>5411188120742</t>
  </si>
  <si>
    <t>339249</t>
  </si>
  <si>
    <t>3497917001515</t>
  </si>
  <si>
    <t>339248</t>
  </si>
  <si>
    <t>8719200312319</t>
  </si>
  <si>
    <t>339247</t>
  </si>
  <si>
    <t>5425019729721</t>
  </si>
  <si>
    <t>339246</t>
  </si>
  <si>
    <t>3560071334222</t>
  </si>
  <si>
    <t>339245</t>
  </si>
  <si>
    <t>5400101107182</t>
  </si>
  <si>
    <t>4.5</t>
  </si>
  <si>
    <t>339244</t>
  </si>
  <si>
    <t>7311870011151</t>
  </si>
  <si>
    <t>47.9</t>
  </si>
  <si>
    <t>339243</t>
  </si>
  <si>
    <t>7310860005941</t>
  </si>
  <si>
    <t>339242</t>
  </si>
  <si>
    <t>7311870010963</t>
  </si>
  <si>
    <t>59.9</t>
  </si>
  <si>
    <t>339241</t>
  </si>
  <si>
    <t>8002590076412</t>
  </si>
  <si>
    <t>2.36</t>
  </si>
  <si>
    <t>jake0</t>
  </si>
  <si>
    <t>Il Gigante</t>
  </si>
  <si>
    <t>339240</t>
  </si>
  <si>
    <t>7311043009411</t>
  </si>
  <si>
    <t>339239</t>
  </si>
  <si>
    <t>6438207011811</t>
  </si>
  <si>
    <t>15.9</t>
  </si>
  <si>
    <t>339238</t>
  </si>
  <si>
    <t>8719200029057</t>
  </si>
  <si>
    <t>31.13</t>
  </si>
  <si>
    <t>339237</t>
  </si>
  <si>
    <t>5411188131380</t>
  </si>
  <si>
    <t>36.5</t>
  </si>
  <si>
    <t>339236</t>
  </si>
  <si>
    <t>5411188141174</t>
  </si>
  <si>
    <t>339235</t>
  </si>
  <si>
    <t>5411188110743</t>
  </si>
  <si>
    <t>27.9</t>
  </si>
  <si>
    <t>339234</t>
  </si>
  <si>
    <t>6430081491376</t>
  </si>
  <si>
    <t>29.81</t>
  </si>
  <si>
    <t>339233</t>
  </si>
  <si>
    <t>6430081491345</t>
  </si>
  <si>
    <t>339232</t>
  </si>
  <si>
    <t>7394376615740</t>
  </si>
  <si>
    <t>339231</t>
  </si>
  <si>
    <t>7394376665073</t>
  </si>
  <si>
    <t>17.88</t>
  </si>
  <si>
    <t>339230</t>
  </si>
  <si>
    <t>7394376665066</t>
  </si>
  <si>
    <t>339229</t>
  </si>
  <si>
    <t>3564700738917</t>
  </si>
  <si>
    <t>g123k</t>
  </si>
  <si>
    <t>E.Leclerc Levallois</t>
  </si>
  <si>
    <t>339228</t>
  </si>
  <si>
    <t>7394376044342</t>
  </si>
  <si>
    <t>9.93</t>
  </si>
  <si>
    <t>339227</t>
  </si>
  <si>
    <t>7394376615771</t>
  </si>
  <si>
    <t>26.4</t>
  </si>
  <si>
    <t>339226</t>
  </si>
  <si>
    <t>7311043008957</t>
  </si>
  <si>
    <t>23.56</t>
  </si>
  <si>
    <t>339225</t>
  </si>
  <si>
    <t>8719200284173</t>
  </si>
  <si>
    <t>10.88</t>
  </si>
  <si>
    <t>339224</t>
  </si>
  <si>
    <t>7340083480577</t>
  </si>
  <si>
    <t>11.26</t>
  </si>
  <si>
    <t>339223</t>
  </si>
  <si>
    <t>7394376044335</t>
  </si>
  <si>
    <t>9.6</t>
  </si>
  <si>
    <t>339222</t>
  </si>
  <si>
    <t>7394376617768</t>
  </si>
  <si>
    <t>339221</t>
  </si>
  <si>
    <t>9555750001414</t>
  </si>
  <si>
    <t>RED ONION 700G</t>
  </si>
  <si>
    <t>1.833</t>
  </si>
  <si>
    <t>SGD</t>
  </si>
  <si>
    <t>therealestmca</t>
  </si>
  <si>
    <t>Giant</t>
  </si>
  <si>
    <t>2026-09-30</t>
  </si>
  <si>
    <t>339220</t>
  </si>
  <si>
    <t>9555750000530</t>
  </si>
  <si>
    <t>HOLLAND POTATO CN 1.2KG</t>
  </si>
  <si>
    <t>339219</t>
  </si>
  <si>
    <t>H FRESH CHICKEN BREAST</t>
  </si>
  <si>
    <t>en:chicken-breasts</t>
  </si>
  <si>
    <t>4.92</t>
  </si>
  <si>
    <t>339218</t>
  </si>
  <si>
    <t>GRASS FED MINCED BEEF</t>
  </si>
  <si>
    <t>en:ground-beef-meats</t>
  </si>
  <si>
    <t>8.79</t>
  </si>
  <si>
    <t>339217</t>
  </si>
  <si>
    <t>H FRESH CHICKEN MINCE</t>
  </si>
  <si>
    <t>en:ground-chicken-meat</t>
  </si>
  <si>
    <t>339216</t>
  </si>
  <si>
    <t>3302740058776</t>
  </si>
  <si>
    <t>4.51</t>
  </si>
  <si>
    <t>339215</t>
  </si>
  <si>
    <t>3023290053409</t>
  </si>
  <si>
    <t>339214</t>
  </si>
  <si>
    <t>8885006772029</t>
  </si>
  <si>
    <t>GILDA TOMATO PASTE 400G</t>
  </si>
  <si>
    <t>Fortune Supermarket</t>
  </si>
  <si>
    <t>339213</t>
  </si>
  <si>
    <t>5949040202058</t>
  </si>
  <si>
    <t>1.05</t>
  </si>
  <si>
    <t>Σκλαβενίτης</t>
  </si>
  <si>
    <t>339212</t>
  </si>
  <si>
    <t>8906036300041</t>
  </si>
  <si>
    <t>20.0</t>
  </si>
  <si>
    <t>INR</t>
  </si>
  <si>
    <t>aniket1997</t>
  </si>
  <si>
    <t>PG College Chhindwara</t>
  </si>
  <si>
    <t>339211</t>
  </si>
  <si>
    <t>4607048483664</t>
  </si>
  <si>
    <t>Коньяк Старый Кенигсберг 4г 0.5л</t>
  </si>
  <si>
    <t>579.0</t>
  </si>
  <si>
    <t>KZT</t>
  </si>
  <si>
    <t>vanished</t>
  </si>
  <si>
    <t>Small</t>
  </si>
  <si>
    <t>339210</t>
  </si>
  <si>
    <t>4610121300970</t>
  </si>
  <si>
    <t>Масло сладко-слив вологодское 82.5%</t>
  </si>
  <si>
    <t>1250.0</t>
  </si>
  <si>
    <t>339209</t>
  </si>
  <si>
    <t>6408430339563</t>
  </si>
  <si>
    <t>Коньяк Торрес 10 лет 38% 0.7л</t>
  </si>
  <si>
    <t>2145.0</t>
  </si>
  <si>
    <t>339208</t>
  </si>
  <si>
    <t>4870071000256</t>
  </si>
  <si>
    <t>Ром Бакарди Карта Негра 40% 0.7л</t>
  </si>
  <si>
    <t>805.0</t>
  </si>
  <si>
    <t>339206</t>
  </si>
  <si>
    <t>4870207313281</t>
  </si>
  <si>
    <t>Виски Джек Дэниэлс Хани 35% 0.5л</t>
  </si>
  <si>
    <t>835.0</t>
  </si>
  <si>
    <t>339207</t>
  </si>
  <si>
    <t>4870202043695</t>
  </si>
  <si>
    <t>Виски Джек Дэниэлс 40% 1л</t>
  </si>
  <si>
    <t>2315.0</t>
  </si>
  <si>
    <t>339205</t>
  </si>
  <si>
    <t>8901138512811</t>
  </si>
  <si>
    <t>Кетчуп Хайнц томатный 550г</t>
  </si>
  <si>
    <t>2128.0</t>
  </si>
  <si>
    <t>339204</t>
  </si>
  <si>
    <t>4870003260598</t>
  </si>
  <si>
    <t>Мартини фиеро набор 0.75л</t>
  </si>
  <si>
    <t>820.0</t>
  </si>
  <si>
    <t>339203</t>
  </si>
  <si>
    <t>4870055000852</t>
  </si>
  <si>
    <t>Виски Беллс Ориджинал 40% 0.5л</t>
  </si>
  <si>
    <t>499.0</t>
  </si>
  <si>
    <t>339202</t>
  </si>
  <si>
    <t>4870222080205</t>
  </si>
  <si>
    <t>Водка Хаски 40% 0.5л</t>
  </si>
  <si>
    <t>190.0</t>
  </si>
  <si>
    <t>339201</t>
  </si>
  <si>
    <t>4690228015441</t>
  </si>
  <si>
    <t>Ликер Малибу 21% 0.5л</t>
  </si>
  <si>
    <t>2495.0</t>
  </si>
  <si>
    <t>339200</t>
  </si>
  <si>
    <t>4870251040126</t>
  </si>
  <si>
    <t>Коньяк Арарат 5* 40% 0.7л</t>
  </si>
  <si>
    <t>2755.0</t>
  </si>
  <si>
    <t>339199</t>
  </si>
  <si>
    <t>4870201002723</t>
  </si>
  <si>
    <t>1650.0</t>
  </si>
  <si>
    <t>339198</t>
  </si>
  <si>
    <t>4870235730043</t>
  </si>
  <si>
    <t>Мартини Бьянко 15% 1л</t>
  </si>
  <si>
    <t>869.0</t>
  </si>
  <si>
    <t>339197</t>
  </si>
  <si>
    <t>4870002328206</t>
  </si>
  <si>
    <t>1665.0</t>
  </si>
  <si>
    <t>339196</t>
  </si>
  <si>
    <t>4607018771647</t>
  </si>
  <si>
    <t>779.0</t>
  </si>
  <si>
    <t>339195</t>
  </si>
  <si>
    <t>4870004933873</t>
  </si>
  <si>
    <t>600.0</t>
  </si>
  <si>
    <t>339193</t>
  </si>
  <si>
    <t>4620017453130</t>
  </si>
  <si>
    <t>439.0</t>
  </si>
  <si>
    <t>339194</t>
  </si>
  <si>
    <t>4605674000408</t>
  </si>
  <si>
    <t>825.0</t>
  </si>
  <si>
    <t>339192</t>
  </si>
  <si>
    <t>en:beetroot</t>
  </si>
  <si>
    <t>265.0</t>
  </si>
  <si>
    <t>339191</t>
  </si>
  <si>
    <t>4810268040450</t>
  </si>
  <si>
    <t>285.0</t>
  </si>
  <si>
    <t>339189</t>
  </si>
  <si>
    <t>4620017453536</t>
  </si>
  <si>
    <t>339190</t>
  </si>
  <si>
    <t>4870237751701</t>
  </si>
  <si>
    <t>699.0</t>
  </si>
  <si>
    <t>339188</t>
  </si>
  <si>
    <t>4008638241365</t>
  </si>
  <si>
    <t>880.0</t>
  </si>
  <si>
    <t>339187</t>
  </si>
  <si>
    <t>4870007490274</t>
  </si>
  <si>
    <t>555.0</t>
  </si>
  <si>
    <t>339186</t>
  </si>
  <si>
    <t>4810268045066</t>
  </si>
  <si>
    <t>339185</t>
  </si>
  <si>
    <t>4810268043710</t>
  </si>
  <si>
    <t>339184</t>
  </si>
  <si>
    <t>4870235430028</t>
  </si>
  <si>
    <t>249.0</t>
  </si>
  <si>
    <t>339183</t>
  </si>
  <si>
    <t>4870222080199</t>
  </si>
  <si>
    <t>195.0</t>
  </si>
  <si>
    <t>339182</t>
  </si>
  <si>
    <t>4870005440011</t>
  </si>
  <si>
    <t>760.0</t>
  </si>
  <si>
    <t>339181</t>
  </si>
  <si>
    <t>4607002990290</t>
  </si>
  <si>
    <t>1909.0</t>
  </si>
  <si>
    <t>339180</t>
  </si>
  <si>
    <t>4690388111441</t>
  </si>
  <si>
    <t>889.0</t>
  </si>
  <si>
    <t>339178</t>
  </si>
  <si>
    <t>en:cabbages</t>
  </si>
  <si>
    <t>178.0</t>
  </si>
  <si>
    <t>339177</t>
  </si>
  <si>
    <t>Картофель мытый пакет</t>
  </si>
  <si>
    <t>en:pork</t>
  </si>
  <si>
    <t>5030.0</t>
  </si>
  <si>
    <t>339179</t>
  </si>
  <si>
    <t>en:onions</t>
  </si>
  <si>
    <t>110.0</t>
  </si>
  <si>
    <t>339176</t>
  </si>
  <si>
    <t>4070765136012</t>
  </si>
  <si>
    <t>169.0</t>
  </si>
  <si>
    <t>RSD</t>
  </si>
  <si>
    <t>andreotti69</t>
  </si>
  <si>
    <t>dm</t>
  </si>
  <si>
    <t>339175</t>
  </si>
  <si>
    <t>5701977550974</t>
  </si>
  <si>
    <t>35.9</t>
  </si>
  <si>
    <t>339174</t>
  </si>
  <si>
    <t>6438207000433</t>
  </si>
  <si>
    <t>39.9</t>
  </si>
  <si>
    <t>339173</t>
  </si>
  <si>
    <t>7311043016631</t>
  </si>
  <si>
    <t>19.9</t>
  </si>
  <si>
    <t>339172</t>
  </si>
  <si>
    <t>7311043016600</t>
  </si>
  <si>
    <t>339171</t>
  </si>
  <si>
    <t>7394376615290</t>
  </si>
  <si>
    <t>14.9</t>
  </si>
  <si>
    <t>339170</t>
  </si>
  <si>
    <t>6430081491451</t>
  </si>
  <si>
    <t>339169</t>
  </si>
  <si>
    <t>7340083483981</t>
  </si>
  <si>
    <t>339168</t>
  </si>
  <si>
    <t>7394376616037</t>
  </si>
  <si>
    <t>17.5</t>
  </si>
  <si>
    <t>339167</t>
  </si>
  <si>
    <t>7394376618048</t>
  </si>
  <si>
    <t>339166</t>
  </si>
  <si>
    <t>7311043008940</t>
  </si>
  <si>
    <t>339165</t>
  </si>
  <si>
    <t>7394376621994</t>
  </si>
  <si>
    <t>339164</t>
  </si>
  <si>
    <t>7394376621666</t>
  </si>
  <si>
    <t>21.67</t>
  </si>
  <si>
    <t>339163</t>
  </si>
  <si>
    <t>339162</t>
  </si>
  <si>
    <t>7340083480126</t>
  </si>
  <si>
    <t>339161</t>
  </si>
  <si>
    <t>6430081491420</t>
  </si>
  <si>
    <t>339160</t>
  </si>
  <si>
    <t>7394376622809</t>
  </si>
  <si>
    <t>23.18</t>
  </si>
  <si>
    <t>339159</t>
  </si>
  <si>
    <t>7394376622816</t>
  </si>
  <si>
    <t>339158</t>
  </si>
  <si>
    <t>7394376624025</t>
  </si>
  <si>
    <t>339157</t>
  </si>
  <si>
    <t>6430081491291</t>
  </si>
  <si>
    <t>17.9</t>
  </si>
  <si>
    <t>339156</t>
  </si>
  <si>
    <t>339155</t>
  </si>
  <si>
    <t>6408430102068</t>
  </si>
  <si>
    <t>14.0</t>
  </si>
  <si>
    <t>339154</t>
  </si>
  <si>
    <t>6430081491642</t>
  </si>
  <si>
    <t>339153</t>
  </si>
  <si>
    <t>6408430102365</t>
  </si>
  <si>
    <t>339152</t>
  </si>
  <si>
    <t>6408430102358</t>
  </si>
  <si>
    <t>339151</t>
  </si>
  <si>
    <t>6430081491277</t>
  </si>
  <si>
    <t>339150</t>
  </si>
  <si>
    <t>210261246001902500190860</t>
  </si>
  <si>
    <t>29.01</t>
  </si>
  <si>
    <t>freemannameerf</t>
  </si>
  <si>
    <t>Alcampo</t>
  </si>
  <si>
    <t>339149</t>
  </si>
  <si>
    <t>4056489635123</t>
  </si>
  <si>
    <t>andreaxic</t>
  </si>
  <si>
    <t>339148</t>
  </si>
  <si>
    <t>4316268604895</t>
  </si>
  <si>
    <t>shaky76</t>
  </si>
  <si>
    <t>Netto Marken-Discount</t>
  </si>
  <si>
    <t>339147</t>
  </si>
  <si>
    <t>4066447878462</t>
  </si>
  <si>
    <t>bytepull</t>
  </si>
  <si>
    <t>TO Dream - Urban District</t>
  </si>
  <si>
    <t>339146</t>
  </si>
  <si>
    <t>5900649001749</t>
  </si>
  <si>
    <t>PLN</t>
  </si>
  <si>
    <t>trangoul</t>
  </si>
  <si>
    <t>Stokrotka</t>
  </si>
  <si>
    <t>339145</t>
  </si>
  <si>
    <t>5901886045671</t>
  </si>
  <si>
    <t>339144</t>
  </si>
  <si>
    <t>5904170045494</t>
  </si>
  <si>
    <t>9.99</t>
  </si>
  <si>
    <t>339143</t>
  </si>
  <si>
    <t>4025500298005</t>
  </si>
  <si>
    <t>5.79</t>
  </si>
  <si>
    <t>339142</t>
  </si>
  <si>
    <t>5902837740522</t>
  </si>
  <si>
    <t>15.0</t>
  </si>
  <si>
    <t>Dealz</t>
  </si>
  <si>
    <t>339140</t>
  </si>
  <si>
    <t>7038010004070</t>
  </si>
  <si>
    <t>34.9</t>
  </si>
  <si>
    <t>NOK</t>
  </si>
  <si>
    <t>odinh</t>
  </si>
  <si>
    <t>Extra Danmarksplass</t>
  </si>
  <si>
    <t>2026-10-01</t>
  </si>
  <si>
    <t>339141</t>
  </si>
  <si>
    <t>7038010006302</t>
  </si>
  <si>
    <t>YOGURT</t>
  </si>
  <si>
    <t>339139</t>
  </si>
  <si>
    <t>7032069104002</t>
  </si>
  <si>
    <t>JASMINRIS R 2 KG</t>
  </si>
  <si>
    <t>Rema 1000 Danmarksplass</t>
  </si>
  <si>
    <t>339138</t>
  </si>
  <si>
    <t>7032069103999</t>
  </si>
  <si>
    <t>MIDDAGSRIS R 2 KG</t>
  </si>
  <si>
    <t>339137</t>
  </si>
  <si>
    <t>7071688005772</t>
  </si>
  <si>
    <t>SØRLANDSCHIPS RIFLA RØMME &amp; PEPPER 170G</t>
  </si>
  <si>
    <t>31.5</t>
  </si>
  <si>
    <t>339136</t>
  </si>
  <si>
    <t>7071688005680</t>
  </si>
  <si>
    <t>SØRLANDSCHIPS VERDENS TYNNESTE HAVSALT 230G</t>
  </si>
  <si>
    <t>38.4</t>
  </si>
  <si>
    <t>339134</t>
  </si>
  <si>
    <t>5449000273536</t>
  </si>
  <si>
    <t>COCA COLA 0.33L BX 16PK</t>
  </si>
  <si>
    <t>139.9</t>
  </si>
  <si>
    <t>339133</t>
  </si>
  <si>
    <t>5449000280640</t>
  </si>
  <si>
    <t>URGE 0.33L BX 16PK</t>
  </si>
  <si>
    <t>339135</t>
  </si>
  <si>
    <t>7025110230744</t>
  </si>
  <si>
    <t>COOP ISTE FERSKEN UTS 0.33L BX 6PK</t>
  </si>
  <si>
    <t>42.9</t>
  </si>
  <si>
    <t>339132</t>
  </si>
  <si>
    <t>7025110230799</t>
  </si>
  <si>
    <t>UTS 0.33L BX 6PK</t>
  </si>
  <si>
    <t>339131</t>
  </si>
  <si>
    <t>5000112669534</t>
  </si>
  <si>
    <t>FANTA ZERO SUGAR 0.33L 6X 15PK</t>
  </si>
  <si>
    <t>339130</t>
  </si>
  <si>
    <t>OG RED CABBAGE</t>
  </si>
  <si>
    <t>USD</t>
  </si>
  <si>
    <t>doby</t>
  </si>
  <si>
    <t>Whole Foods Market</t>
  </si>
  <si>
    <t>339128</t>
  </si>
  <si>
    <t>0898456001395</t>
  </si>
  <si>
    <t>TAZA OG CHOCO PURO DISC</t>
  </si>
  <si>
    <t>339129</t>
  </si>
  <si>
    <t>0099482465728</t>
  </si>
  <si>
    <t>365WFM OG CARROT 2LB</t>
  </si>
  <si>
    <t>339127</t>
  </si>
  <si>
    <t>0813636023745</t>
  </si>
  <si>
    <t>CLFIF OG UNSWTND SOYMILK</t>
  </si>
  <si>
    <t>7.49</t>
  </si>
  <si>
    <t>339126</t>
  </si>
  <si>
    <t>OG GREEN SEEDLESS GRAPES</t>
  </si>
  <si>
    <t>en:grapes</t>
  </si>
  <si>
    <t>7.32</t>
  </si>
  <si>
    <t>339124</t>
  </si>
  <si>
    <t>0655852006399</t>
  </si>
  <si>
    <t>AURPRD OG SPLIT GREEN PEA</t>
  </si>
  <si>
    <t>5.49</t>
  </si>
  <si>
    <t>339123</t>
  </si>
  <si>
    <t>7350037197918</t>
  </si>
  <si>
    <t>339122</t>
  </si>
  <si>
    <t>7332040170546</t>
  </si>
  <si>
    <t>339121</t>
  </si>
  <si>
    <t>7332040300516</t>
  </si>
  <si>
    <t>339120</t>
  </si>
  <si>
    <t>7350037194672</t>
  </si>
  <si>
    <t>339119</t>
  </si>
  <si>
    <t>7350037193477</t>
  </si>
  <si>
    <t>339118</t>
  </si>
  <si>
    <t>7032069716274</t>
  </si>
  <si>
    <t>BASMATIRIS BIB</t>
  </si>
  <si>
    <t>44.9</t>
  </si>
  <si>
    <t>339117</t>
  </si>
  <si>
    <t>7032069727386</t>
  </si>
  <si>
    <t>MURTIGRIS LØSVEKT</t>
  </si>
  <si>
    <t>28.5</t>
  </si>
  <si>
    <t>339116</t>
  </si>
  <si>
    <t>8001860010064</t>
  </si>
  <si>
    <t>RISOTTO CARNAROLI SCOTTI 500 G</t>
  </si>
  <si>
    <t>339115</t>
  </si>
  <si>
    <t>7020655533077</t>
  </si>
  <si>
    <t>MIDDAGSRIS BYGG BIO MØLLERENS 300G NORGESMØLLE</t>
  </si>
  <si>
    <t>33.4</t>
  </si>
  <si>
    <t>339114</t>
  </si>
  <si>
    <t>7032069716267</t>
  </si>
  <si>
    <t>BASMAT/VILLRIS BIB</t>
  </si>
  <si>
    <t>54.9</t>
  </si>
  <si>
    <t>339113</t>
  </si>
  <si>
    <t>7032069724774</t>
  </si>
  <si>
    <t>COUSCOUS 500G</t>
  </si>
  <si>
    <t>23.9</t>
  </si>
  <si>
    <t>339112</t>
  </si>
  <si>
    <t>7032069103982</t>
  </si>
  <si>
    <t>JASMINRIS PRIMA 4 KG</t>
  </si>
  <si>
    <t>74.9</t>
  </si>
  <si>
    <t>339111</t>
  </si>
  <si>
    <t>7032069721018</t>
  </si>
  <si>
    <t>339110</t>
  </si>
  <si>
    <t>7032069107577</t>
  </si>
  <si>
    <t>SJOKOKRÆSJ</t>
  </si>
  <si>
    <t>339109</t>
  </si>
  <si>
    <t>7037711023014</t>
  </si>
  <si>
    <t>NIDAR FAV. TROIKA</t>
  </si>
  <si>
    <t>339107</t>
  </si>
  <si>
    <t>7041111157590</t>
  </si>
  <si>
    <t>RYSBRØD</t>
  </si>
  <si>
    <t>56.9</t>
  </si>
  <si>
    <t>339108</t>
  </si>
  <si>
    <t>7622201119676</t>
  </si>
  <si>
    <t>MELKESJOK HAVSALT</t>
  </si>
  <si>
    <t>49.9</t>
  </si>
  <si>
    <t>339106</t>
  </si>
  <si>
    <t>7622202381195</t>
  </si>
  <si>
    <t>MELKESJ. M/TOPPRIS</t>
  </si>
  <si>
    <t>339105</t>
  </si>
  <si>
    <t>7622300414399</t>
  </si>
  <si>
    <t>MEKES....</t>
  </si>
  <si>
    <t>339104</t>
  </si>
  <si>
    <t>7040110569908</t>
  </si>
  <si>
    <t>MELKESJOKOLADE FREIA 200 G MONDELEZ</t>
  </si>
  <si>
    <t>339103</t>
  </si>
  <si>
    <t>7311043010400</t>
  </si>
  <si>
    <t>339102</t>
  </si>
  <si>
    <t>7340083496912</t>
  </si>
  <si>
    <t>25.9</t>
  </si>
  <si>
    <t>339101</t>
  </si>
  <si>
    <t>339100</t>
  </si>
  <si>
    <t>7340083485541</t>
  </si>
  <si>
    <t>339099</t>
  </si>
  <si>
    <t>7300201979000</t>
  </si>
  <si>
    <t>33.97</t>
  </si>
  <si>
    <t>339098</t>
  </si>
  <si>
    <t>7340083465352</t>
  </si>
  <si>
    <t>339097</t>
  </si>
  <si>
    <t>7038010064647</t>
  </si>
  <si>
    <t>YT VANILJEPUDDING PROTEIN, TINE SA, 190 G</t>
  </si>
  <si>
    <t>23.4</t>
  </si>
  <si>
    <t>339096</t>
  </si>
  <si>
    <t>7038010068164</t>
  </si>
  <si>
    <t>YT MELK KAKAO RESTITUSJON, TINE SA, 330 ML</t>
  </si>
  <si>
    <t>339095</t>
  </si>
  <si>
    <t>7071688004171</t>
  </si>
  <si>
    <t>SØRLANDSCHIPS CREME FRAICHE 200G</t>
  </si>
  <si>
    <t>25.5</t>
  </si>
  <si>
    <t>339094</t>
  </si>
  <si>
    <t>7071688004188</t>
  </si>
  <si>
    <t>SØRLANDSCHIPS HAVSALT &amp; EPLEKJEKK EDIKK 200G</t>
  </si>
  <si>
    <t>339093</t>
  </si>
  <si>
    <t>339091</t>
  </si>
  <si>
    <t>en:spices</t>
  </si>
  <si>
    <t>0.29</t>
  </si>
  <si>
    <t>BAM</t>
  </si>
  <si>
    <t>slavendjervida</t>
  </si>
  <si>
    <t>Tropic</t>
  </si>
  <si>
    <t>2026-05-10</t>
  </si>
  <si>
    <t>339090</t>
  </si>
  <si>
    <t>en:sports-drinks</t>
  </si>
  <si>
    <t>1.49</t>
  </si>
  <si>
    <t>339089</t>
  </si>
  <si>
    <t>en:yogurts</t>
  </si>
  <si>
    <t>1.88</t>
  </si>
  <si>
    <t>339088</t>
  </si>
  <si>
    <t>en:cakes</t>
  </si>
  <si>
    <t>16.99</t>
  </si>
  <si>
    <t>339087</t>
  </si>
  <si>
    <t>en:pizzas</t>
  </si>
  <si>
    <t>10.99</t>
  </si>
  <si>
    <t>339086</t>
  </si>
  <si>
    <t>en:pastas</t>
  </si>
  <si>
    <t>Moj Market</t>
  </si>
  <si>
    <t>2026-05-31</t>
  </si>
  <si>
    <t>339085</t>
  </si>
  <si>
    <t>en:breads</t>
  </si>
  <si>
    <t>339084</t>
  </si>
  <si>
    <t>339083</t>
  </si>
  <si>
    <t>en:creams</t>
  </si>
  <si>
    <t>339082</t>
  </si>
  <si>
    <t>en:kefirs</t>
  </si>
  <si>
    <t>339081</t>
  </si>
  <si>
    <t>2.06</t>
  </si>
  <si>
    <t>339080</t>
  </si>
  <si>
    <t>339079</t>
  </si>
  <si>
    <t>339078</t>
  </si>
  <si>
    <t>en:fruit-juices</t>
  </si>
  <si>
    <t>339077</t>
  </si>
  <si>
    <t>339076</t>
  </si>
  <si>
    <t>339075</t>
  </si>
  <si>
    <t>en:ice-creams</t>
  </si>
  <si>
    <t>11.19</t>
  </si>
  <si>
    <t>2026-05-15</t>
  </si>
  <si>
    <t>339074</t>
  </si>
  <si>
    <t>en:cheese-spreads</t>
  </si>
  <si>
    <t>339073</t>
  </si>
  <si>
    <t>339072</t>
  </si>
  <si>
    <t>en:sandwiches</t>
  </si>
  <si>
    <t>339071</t>
  </si>
  <si>
    <t>en:candy-chocolate-bars</t>
  </si>
  <si>
    <t>0.55</t>
  </si>
  <si>
    <t>339070</t>
  </si>
  <si>
    <t>0.95</t>
  </si>
  <si>
    <t>339068</t>
  </si>
  <si>
    <t>339067</t>
  </si>
  <si>
    <t>339066</t>
  </si>
  <si>
    <t>en:waters</t>
  </si>
  <si>
    <t>1.19</t>
  </si>
  <si>
    <t>339065</t>
  </si>
  <si>
    <t>339064</t>
  </si>
  <si>
    <t>339063</t>
  </si>
  <si>
    <t>339062</t>
  </si>
  <si>
    <t>339061</t>
  </si>
  <si>
    <t>en:salty-snacks</t>
  </si>
  <si>
    <t>339060</t>
  </si>
  <si>
    <t>339059</t>
  </si>
  <si>
    <t>2026-05-03</t>
  </si>
  <si>
    <t>339058</t>
  </si>
  <si>
    <t>2026-05-16</t>
  </si>
  <si>
    <t>339057</t>
  </si>
  <si>
    <t>en:pates</t>
  </si>
  <si>
    <t>339056</t>
  </si>
  <si>
    <t>339055</t>
  </si>
  <si>
    <t>en:french-fries</t>
  </si>
  <si>
    <t>339054</t>
  </si>
  <si>
    <t>en:tortillas</t>
  </si>
  <si>
    <t>Đurić Market</t>
  </si>
  <si>
    <t>2026-06-04</t>
  </si>
  <si>
    <t>339053</t>
  </si>
  <si>
    <t>en:soups</t>
  </si>
  <si>
    <t>339052</t>
  </si>
  <si>
    <t>en:salads</t>
  </si>
  <si>
    <t>4.96</t>
  </si>
  <si>
    <t>339051</t>
  </si>
  <si>
    <t>en:microwave-meals</t>
  </si>
  <si>
    <t>8.49</t>
  </si>
  <si>
    <t>339050</t>
  </si>
  <si>
    <t>en:edam</t>
  </si>
  <si>
    <t>339049</t>
  </si>
  <si>
    <t>10.95</t>
  </si>
  <si>
    <t>339048</t>
  </si>
  <si>
    <t>7071688004164</t>
  </si>
  <si>
    <t>SØRLANDSCHIPS SPANSK PAPRIKA 200G</t>
  </si>
  <si>
    <t>33.9</t>
  </si>
  <si>
    <t>339046</t>
  </si>
  <si>
    <t>7071688004713</t>
  </si>
  <si>
    <t>SØRLANDSCHIPS ORIGINAL HAVSALT 190G</t>
  </si>
  <si>
    <t>29.9</t>
  </si>
  <si>
    <t>339047</t>
  </si>
  <si>
    <t>7039317008655</t>
  </si>
  <si>
    <t>KIMS POTETCHIPS SALT CRUNCH 200G</t>
  </si>
  <si>
    <t>339045</t>
  </si>
  <si>
    <t>7025110223999</t>
  </si>
  <si>
    <t>COOP BIG BEEFY BURGER 360G</t>
  </si>
  <si>
    <t>69.9</t>
  </si>
  <si>
    <t>339044</t>
  </si>
  <si>
    <t>2026-03-06</t>
  </si>
  <si>
    <t>339043</t>
  </si>
  <si>
    <t>5.0</t>
  </si>
  <si>
    <t>339042</t>
  </si>
  <si>
    <t>2026-05-20</t>
  </si>
  <si>
    <t>339041</t>
  </si>
  <si>
    <t>en:chips</t>
  </si>
  <si>
    <t>2026-03-20</t>
  </si>
  <si>
    <t>339040</t>
  </si>
  <si>
    <t>8.5</t>
  </si>
  <si>
    <t>2026-04-15</t>
  </si>
  <si>
    <t>339037</t>
  </si>
  <si>
    <t>en:pastries</t>
  </si>
  <si>
    <t>339036</t>
  </si>
  <si>
    <t>en:breakfast-cereals</t>
  </si>
  <si>
    <t>339035</t>
  </si>
  <si>
    <t>2026-06-05</t>
  </si>
  <si>
    <t>339034</t>
  </si>
  <si>
    <t>0.69</t>
  </si>
  <si>
    <t>2026-03-13</t>
  </si>
  <si>
    <t>339033</t>
  </si>
  <si>
    <t>339032</t>
  </si>
  <si>
    <t>en:sodas</t>
  </si>
  <si>
    <t>339031</t>
  </si>
  <si>
    <t>en:eggs</t>
  </si>
  <si>
    <t>2026-03-09</t>
  </si>
  <si>
    <t>339029</t>
  </si>
  <si>
    <t>en:cream-cheeses</t>
  </si>
  <si>
    <t>2026-03-12</t>
  </si>
  <si>
    <t>339028</t>
  </si>
  <si>
    <t>2026-06-03</t>
  </si>
  <si>
    <t>339027</t>
  </si>
  <si>
    <t>339026</t>
  </si>
  <si>
    <t>2026-05-12</t>
  </si>
  <si>
    <t>339025</t>
  </si>
  <si>
    <t>en:burek</t>
  </si>
  <si>
    <t>339024</t>
  </si>
  <si>
    <t>en:vegetables</t>
  </si>
  <si>
    <t>2026-05-14</t>
  </si>
  <si>
    <t>339023</t>
  </si>
  <si>
    <t>en:beverages</t>
  </si>
  <si>
    <t>339022</t>
  </si>
  <si>
    <t>2026-05-13</t>
  </si>
  <si>
    <t>339021</t>
  </si>
  <si>
    <t>7.94</t>
  </si>
  <si>
    <t>2026-05-11</t>
  </si>
  <si>
    <t>339020</t>
  </si>
  <si>
    <t>339018</t>
  </si>
  <si>
    <t>7.93</t>
  </si>
  <si>
    <t>339017</t>
  </si>
  <si>
    <t>2026-05-17</t>
  </si>
  <si>
    <t>339016</t>
  </si>
  <si>
    <t>8.47</t>
  </si>
  <si>
    <t>339015</t>
  </si>
  <si>
    <t>en:sausages</t>
  </si>
  <si>
    <t>339014</t>
  </si>
  <si>
    <t>7350024481716</t>
  </si>
  <si>
    <t>MOCHI STRAWBER&amp;MANGO 210G FOOD COURT</t>
  </si>
  <si>
    <t>75.5</t>
  </si>
  <si>
    <t>339013</t>
  </si>
  <si>
    <t>7350024482171</t>
  </si>
  <si>
    <t>MOCHI MANGO SORBET 210G FOOD COURT</t>
  </si>
  <si>
    <t>61.9</t>
  </si>
  <si>
    <t>339012</t>
  </si>
  <si>
    <t>7622202827389</t>
  </si>
  <si>
    <t>OREO RULL BROWN SUGAR PANCAKE 157G</t>
  </si>
  <si>
    <t>36.9</t>
  </si>
  <si>
    <t>339011</t>
  </si>
  <si>
    <t>339010</t>
  </si>
  <si>
    <t>13.99</t>
  </si>
  <si>
    <t>339009</t>
  </si>
  <si>
    <t>2026-04-24</t>
  </si>
  <si>
    <t>339008</t>
  </si>
  <si>
    <t>339007</t>
  </si>
  <si>
    <t>27.99</t>
  </si>
  <si>
    <t>2026-05-27</t>
  </si>
  <si>
    <t>339006</t>
  </si>
  <si>
    <t>en:chocolate-milks</t>
  </si>
  <si>
    <t>339005</t>
  </si>
  <si>
    <t>en:croissants</t>
  </si>
  <si>
    <t>339004</t>
  </si>
  <si>
    <t>en:chocolates</t>
  </si>
  <si>
    <t>339003</t>
  </si>
  <si>
    <t>339002</t>
  </si>
  <si>
    <t>en:smoked-meats</t>
  </si>
  <si>
    <t>2026-05-23</t>
  </si>
  <si>
    <t>339001</t>
  </si>
  <si>
    <t>5775345204219</t>
  </si>
  <si>
    <t>SUN LOLLY MANGO 0.48L</t>
  </si>
  <si>
    <t>339000</t>
  </si>
  <si>
    <t>5775345204226</t>
  </si>
  <si>
    <t>SUN LOLLY COLA 0.48L</t>
  </si>
  <si>
    <t>338999</t>
  </si>
  <si>
    <t>5775345204288</t>
  </si>
  <si>
    <t>SUN LOLLY RASPBERRY 0.48L</t>
  </si>
  <si>
    <t>338998</t>
  </si>
  <si>
    <t>5775345204233</t>
  </si>
  <si>
    <t>SUN LOLLY STRAWBERRY 0.48L</t>
  </si>
  <si>
    <t>338997</t>
  </si>
  <si>
    <t>2026-04-01</t>
  </si>
  <si>
    <t>338996</t>
  </si>
  <si>
    <t>0.85</t>
  </si>
  <si>
    <t>338995</t>
  </si>
  <si>
    <t>2026-04-30</t>
  </si>
  <si>
    <t>338994</t>
  </si>
  <si>
    <t>2026-05-08</t>
  </si>
  <si>
    <t>338992</t>
  </si>
  <si>
    <t>338991</t>
  </si>
  <si>
    <t>7310350121991</t>
  </si>
  <si>
    <t>338990</t>
  </si>
  <si>
    <t>ELDRIDSSIDER</t>
  </si>
  <si>
    <t>338989</t>
  </si>
  <si>
    <t>MEKESJUKVIKK LUNSJ</t>
  </si>
  <si>
    <t>338988</t>
  </si>
  <si>
    <t>7037710021998</t>
  </si>
  <si>
    <t>SMASH! GUL NIDAR 200 G ORKLA SNACKS</t>
  </si>
  <si>
    <t>338987</t>
  </si>
  <si>
    <t>7622300249021</t>
  </si>
  <si>
    <t>MELKESJ. M/DAIM</t>
  </si>
  <si>
    <t>338986</t>
  </si>
  <si>
    <t>7622300222161</t>
  </si>
  <si>
    <t>WALTERS MANDLER</t>
  </si>
  <si>
    <t>338984</t>
  </si>
  <si>
    <t>7040110572304</t>
  </si>
  <si>
    <t>FRUKTNØTT FREIA 200 G MONDELEZ</t>
  </si>
  <si>
    <t>338985</t>
  </si>
  <si>
    <t>7040110573004</t>
  </si>
  <si>
    <t>SJOKOLADE HELNØTT</t>
  </si>
  <si>
    <t>338983</t>
  </si>
  <si>
    <t>338982</t>
  </si>
  <si>
    <t>en:chocolate-spreads</t>
  </si>
  <si>
    <t>338981</t>
  </si>
  <si>
    <t>338980</t>
  </si>
  <si>
    <t>338979</t>
  </si>
  <si>
    <t>338978</t>
  </si>
  <si>
    <t>7.89</t>
  </si>
  <si>
    <t>338977</t>
  </si>
  <si>
    <t>en:tomatoes</t>
  </si>
  <si>
    <t>338976</t>
  </si>
  <si>
    <t>2026-05-22</t>
  </si>
  <si>
    <t>338975</t>
  </si>
  <si>
    <t>338974</t>
  </si>
  <si>
    <t>338973</t>
  </si>
  <si>
    <t>2026-05-25</t>
  </si>
  <si>
    <t>338972</t>
  </si>
  <si>
    <t>0.83</t>
  </si>
  <si>
    <t>338971</t>
  </si>
  <si>
    <t>en:beers</t>
  </si>
  <si>
    <t>338970</t>
  </si>
  <si>
    <t>2026-05-19</t>
  </si>
  <si>
    <t>338969</t>
  </si>
  <si>
    <t>2026-05-24</t>
  </si>
  <si>
    <t>338968</t>
  </si>
  <si>
    <t>7032069110270</t>
  </si>
  <si>
    <t>R PROTEINRINGER SJOKOSMAK 375 G</t>
  </si>
  <si>
    <t>338967</t>
  </si>
  <si>
    <t>7032069104941</t>
  </si>
  <si>
    <t>PROTEINRINGER</t>
  </si>
  <si>
    <t>338966</t>
  </si>
  <si>
    <t>7032069104934</t>
  </si>
  <si>
    <t>KARAMELLSTJERNER 375 G</t>
  </si>
  <si>
    <t>31.9</t>
  </si>
  <si>
    <t>338965</t>
  </si>
  <si>
    <t>338964</t>
  </si>
  <si>
    <t>2026-05-26</t>
  </si>
  <si>
    <t>338963</t>
  </si>
  <si>
    <t>en:energy-drinks</t>
  </si>
  <si>
    <t>338962</t>
  </si>
  <si>
    <t>338961</t>
  </si>
  <si>
    <t>338960</t>
  </si>
  <si>
    <t>en:frankfurters</t>
  </si>
  <si>
    <t>338959</t>
  </si>
  <si>
    <t>en:ketchup</t>
  </si>
  <si>
    <t>338958</t>
  </si>
  <si>
    <t>338957</t>
  </si>
  <si>
    <t>338956</t>
  </si>
  <si>
    <t>338955</t>
  </si>
  <si>
    <t>338954</t>
  </si>
  <si>
    <t>en:popcorn</t>
  </si>
  <si>
    <t>338953</t>
  </si>
  <si>
    <t>en:peanuts</t>
  </si>
  <si>
    <t>7.39</t>
  </si>
  <si>
    <t>338952</t>
  </si>
  <si>
    <t>7032069761090</t>
  </si>
  <si>
    <t>POPCORN M/SMOR</t>
  </si>
  <si>
    <t>16.9</t>
  </si>
  <si>
    <t>338951</t>
  </si>
  <si>
    <t>7032069731246</t>
  </si>
  <si>
    <t>NICE LINSECHIPS</t>
  </si>
  <si>
    <t>338950</t>
  </si>
  <si>
    <t>7032069103388</t>
  </si>
  <si>
    <t>POPCORN M/TRØFFEL R 80 G FOODMAN AS</t>
  </si>
  <si>
    <t>338949</t>
  </si>
  <si>
    <t>3858890478927</t>
  </si>
  <si>
    <t>2026-06-07</t>
  </si>
  <si>
    <t>338948</t>
  </si>
  <si>
    <t>3858890478792</t>
  </si>
  <si>
    <t>338947</t>
  </si>
  <si>
    <t>3856027800249</t>
  </si>
  <si>
    <t>338946</t>
  </si>
  <si>
    <t>5411188082620</t>
  </si>
  <si>
    <t>338945</t>
  </si>
  <si>
    <t>5411188082637</t>
  </si>
  <si>
    <t>338944</t>
  </si>
  <si>
    <t>7032069736852</t>
  </si>
  <si>
    <t>POPCORN</t>
  </si>
  <si>
    <t>14.2</t>
  </si>
  <si>
    <t>338942</t>
  </si>
  <si>
    <t>POPCORN M/SMØR</t>
  </si>
  <si>
    <t>338943</t>
  </si>
  <si>
    <t>7032069104149</t>
  </si>
  <si>
    <t>POPCORN SØTT &amp; SAL</t>
  </si>
  <si>
    <t>338941</t>
  </si>
  <si>
    <t>7032069101636</t>
  </si>
  <si>
    <t>CHIPS SALT</t>
  </si>
  <si>
    <t>338939</t>
  </si>
  <si>
    <t>CHIPS SALT LETT OG SPRØ 140 G FOODMAN AS</t>
  </si>
  <si>
    <t>338940</t>
  </si>
  <si>
    <t>POPCORN M</t>
  </si>
  <si>
    <t>338938</t>
  </si>
  <si>
    <t>POPCORN SØTT &amp; SAL 80G</t>
  </si>
  <si>
    <t>338937</t>
  </si>
  <si>
    <t>7032069731253</t>
  </si>
  <si>
    <t>NICE FLERKORNCHIPS</t>
  </si>
  <si>
    <t>338936</t>
  </si>
  <si>
    <t>NICE FLERKORNCHIPS 80 G</t>
  </si>
  <si>
    <t>338935</t>
  </si>
  <si>
    <t>5053990127740</t>
  </si>
  <si>
    <t>SOUR CREAM &amp; ONION PRINGLES 165 G</t>
  </si>
  <si>
    <t>338934</t>
  </si>
  <si>
    <t>5053990127726</t>
  </si>
  <si>
    <t>PRINGLES ORIGINAL</t>
  </si>
  <si>
    <t>338933</t>
  </si>
  <si>
    <t>NICE LINSECHIPS R 80 G FOODMANAS</t>
  </si>
  <si>
    <t>338932</t>
  </si>
  <si>
    <t>7032069101599</t>
  </si>
  <si>
    <t>SNACK BITES R 120 G FOODMANAS</t>
  </si>
  <si>
    <t>338931</t>
  </si>
  <si>
    <t>5053990161669</t>
  </si>
  <si>
    <t>PRINGLES PAPRIKA 165 G</t>
  </si>
  <si>
    <t>338930</t>
  </si>
  <si>
    <t>SNACK BITES R120 G FOODMANAS</t>
  </si>
  <si>
    <t>338929</t>
  </si>
  <si>
    <t>8715035110502</t>
  </si>
  <si>
    <t>KIKKOMAN SOYASAUS</t>
  </si>
  <si>
    <t>87.4</t>
  </si>
  <si>
    <t>338927</t>
  </si>
  <si>
    <t>8710605020939</t>
  </si>
  <si>
    <t>SWEET CHILI SAUCE GO-TAN 500 ML HAUGEN</t>
  </si>
  <si>
    <t>40.4</t>
  </si>
  <si>
    <t>338926</t>
  </si>
  <si>
    <t>7032069714034</t>
  </si>
  <si>
    <t>SWEET CHILISAUS R 700 ML</t>
  </si>
  <si>
    <t>338928</t>
  </si>
  <si>
    <t>7032069106655</t>
  </si>
  <si>
    <t>MAKARONI R 500 G RD IMPORT</t>
  </si>
  <si>
    <t>338925</t>
  </si>
  <si>
    <t>7044416013110</t>
  </si>
  <si>
    <t>SPAGHETTI SOPPS 500 G LANTMÄNNEN</t>
  </si>
  <si>
    <t>338924</t>
  </si>
  <si>
    <t>7038010007224</t>
  </si>
  <si>
    <t>SUNNIVA APPELSIN</t>
  </si>
  <si>
    <t>23.6</t>
  </si>
  <si>
    <t>338923</t>
  </si>
  <si>
    <t>7052660101255</t>
  </si>
  <si>
    <t>FLYTENDE EGGEHVITE DAVA 500 G DAVA FOODS</t>
  </si>
  <si>
    <t>338922</t>
  </si>
  <si>
    <t>7350068290145</t>
  </si>
  <si>
    <t>CHOCOLATE 1L NJIE GROUP</t>
  </si>
  <si>
    <t>338921</t>
  </si>
  <si>
    <t>7020656451141</t>
  </si>
  <si>
    <t>URKRAFT BARISTA HAVREDRIKK 3% 1 L NORGESMØLLE</t>
  </si>
  <si>
    <t>338920</t>
  </si>
  <si>
    <t>7038010042454</t>
  </si>
  <si>
    <t>ISKAFFE CAPPUCCINO TINE SA1 L TINE BA</t>
  </si>
  <si>
    <t>42.4</t>
  </si>
  <si>
    <t>338919</t>
  </si>
  <si>
    <t>2026-07-04</t>
  </si>
  <si>
    <t>338918</t>
  </si>
  <si>
    <t>7340083486371</t>
  </si>
  <si>
    <t>338917</t>
  </si>
  <si>
    <t>7311043010806</t>
  </si>
  <si>
    <t>338916</t>
  </si>
  <si>
    <t>5019503048292</t>
  </si>
  <si>
    <t>338915</t>
  </si>
  <si>
    <t>5019503049466</t>
  </si>
  <si>
    <t>338914</t>
  </si>
  <si>
    <t>0012511896249</t>
  </si>
  <si>
    <t>WHOLESOME Organic Unfiltered Raw Honey 24 OZ</t>
  </si>
  <si>
    <t>11.84</t>
  </si>
  <si>
    <t>338913</t>
  </si>
  <si>
    <t>0898601002031</t>
  </si>
  <si>
    <t>SMALL BEES Raw Creamed Honey 16 OZ</t>
  </si>
  <si>
    <t>13.79</t>
  </si>
  <si>
    <t>338912</t>
  </si>
  <si>
    <t>0898601002017</t>
  </si>
  <si>
    <t>SMALL BEES Raw Honey 12 OZ</t>
  </si>
  <si>
    <t>10.49</t>
  </si>
  <si>
    <t>338911</t>
  </si>
  <si>
    <t>0898601002024</t>
  </si>
  <si>
    <t>SMALL BEES Raw Honey 16 OZ</t>
  </si>
  <si>
    <t>12.49</t>
  </si>
  <si>
    <t>338910</t>
  </si>
  <si>
    <t>0094922131706</t>
  </si>
  <si>
    <t>STEVES BEES Honey Bee Bottle 16 OZ</t>
  </si>
  <si>
    <t>18.29</t>
  </si>
  <si>
    <t>338909</t>
  </si>
  <si>
    <t>0823182000107</t>
  </si>
  <si>
    <t>AMEN BEE HONEY Honey Comb 8 OZ</t>
  </si>
  <si>
    <t>22.49</t>
  </si>
  <si>
    <t>338908</t>
  </si>
  <si>
    <t>0690740424114</t>
  </si>
  <si>
    <t>MARSHALLS FARM Sonoma Wildflower Honey 24 OZ</t>
  </si>
  <si>
    <t>20.99</t>
  </si>
  <si>
    <t>338907</t>
  </si>
  <si>
    <t>0690740424053</t>
  </si>
  <si>
    <t>MARSHALLS FARM Buzzerkeley Honey 24 OZ</t>
  </si>
  <si>
    <t>338906</t>
  </si>
  <si>
    <t>0690740424091</t>
  </si>
  <si>
    <t>MARSHALLS FARM Napa Valley Wildflower Honey 24 OZ</t>
  </si>
  <si>
    <t>338905</t>
  </si>
  <si>
    <t>6408430342105</t>
  </si>
  <si>
    <t>18.83</t>
  </si>
  <si>
    <t>338904</t>
  </si>
  <si>
    <t>5202390020407</t>
  </si>
  <si>
    <t>338903</t>
  </si>
  <si>
    <t>7350090451453</t>
  </si>
  <si>
    <t>338902</t>
  </si>
  <si>
    <t>7340083475719</t>
  </si>
  <si>
    <t>338901</t>
  </si>
  <si>
    <t>0850012399360</t>
  </si>
  <si>
    <t>FIX &amp; FOGG Creamy Cashew Butter 10 OZ</t>
  </si>
  <si>
    <t>10.39</t>
  </si>
  <si>
    <t>338899</t>
  </si>
  <si>
    <t>0044082533414</t>
  </si>
  <si>
    <t>ONCE AGAIN Organic Cashew Butter 16 OZ</t>
  </si>
  <si>
    <t>17.29</t>
  </si>
  <si>
    <t>338900</t>
  </si>
  <si>
    <t>0099482548612</t>
  </si>
  <si>
    <t>WHOLE FOODS MARKET Pistachio Butter 8 OZ 12/CS</t>
  </si>
  <si>
    <t>12.99</t>
  </si>
  <si>
    <t>338898</t>
  </si>
  <si>
    <t>0099482538194</t>
  </si>
  <si>
    <t>WHOLE FOODS MARKET Organic Maple Butter 8.8 OZ</t>
  </si>
  <si>
    <t>9.19</t>
  </si>
  <si>
    <t>338897</t>
  </si>
  <si>
    <t>0870001002576</t>
  </si>
  <si>
    <t>ARTISANA Organic Raw Cashew Butter 14 OZ</t>
  </si>
  <si>
    <t>338896</t>
  </si>
  <si>
    <t>0852955007098</t>
  </si>
  <si>
    <t>MINA LEMONS PRESERVED 12.5 OZ PK 6</t>
  </si>
  <si>
    <t>Dumbo Market</t>
  </si>
  <si>
    <t>2026-09-12</t>
  </si>
  <si>
    <t>338895</t>
  </si>
  <si>
    <t>0835175000117</t>
  </si>
  <si>
    <t>LUCIEN APRICOT FRUIT SPREAD 11.28 OZ PK 6</t>
  </si>
  <si>
    <t>338893</t>
  </si>
  <si>
    <t>0009800895250</t>
  </si>
  <si>
    <t>NUTELLA SPREAD CHOC NUT 26.5 OZ</t>
  </si>
  <si>
    <t>338894</t>
  </si>
  <si>
    <t>0009800895007</t>
  </si>
  <si>
    <t>NUTELLA SPREAD CHOC NUT 13 OZ</t>
  </si>
  <si>
    <t>338892</t>
  </si>
  <si>
    <t>0856716008409</t>
  </si>
  <si>
    <t>GOOD GOOD CONCORD GRAPE JELL</t>
  </si>
  <si>
    <t>338891</t>
  </si>
  <si>
    <t>0009800892204</t>
  </si>
  <si>
    <t>NUTELA HAZELNUT SPREAD 35.3 OZ PK 6</t>
  </si>
  <si>
    <t>14.99</t>
  </si>
  <si>
    <t>338890</t>
  </si>
  <si>
    <t>0810126810519</t>
  </si>
  <si>
    <t>VAN LEEUWE BANA HNY CMB ICE</t>
  </si>
  <si>
    <t>8.99</t>
  </si>
  <si>
    <t>338889</t>
  </si>
  <si>
    <t>0860003984703</t>
  </si>
  <si>
    <t>KLIMON CRML BRULEE DAIRY FRE</t>
  </si>
  <si>
    <t>338888</t>
  </si>
  <si>
    <t>0810126810908</t>
  </si>
  <si>
    <t>VAN LEEUWEN DUBAI STYLE 14 FLOZ</t>
  </si>
  <si>
    <t>338886</t>
  </si>
  <si>
    <t>0850015096501</t>
  </si>
  <si>
    <t>ALEC'S ICE CREAM TRPL CHC BL 14 FLOZ</t>
  </si>
  <si>
    <t>338885</t>
  </si>
  <si>
    <t>0850015096518</t>
  </si>
  <si>
    <t>ALEC'S ICE CREAM TAHITIAN VN</t>
  </si>
  <si>
    <t>338884</t>
  </si>
  <si>
    <t>0810126810533</t>
  </si>
  <si>
    <t>VAN LEEUWEN ICE CREAM MLK WH 14 FLOZ PK 8</t>
  </si>
  <si>
    <t>338883</t>
  </si>
  <si>
    <t>0850015096150</t>
  </si>
  <si>
    <t>ALEC'S ICE CREAM PISTACHIO C</t>
  </si>
  <si>
    <t>338887</t>
  </si>
  <si>
    <t>0850015096532</t>
  </si>
  <si>
    <t>ALEC'S ICE CREAM COFFEE &amp; TO 14 FLOZ PK 8</t>
  </si>
  <si>
    <t>338882</t>
  </si>
  <si>
    <t>0076840100477</t>
  </si>
  <si>
    <t>Ben &amp; Jerry's Chocolate Fudge Brownie Ice Cream 1 PT</t>
  </si>
  <si>
    <t>6.69</t>
  </si>
  <si>
    <t>338881</t>
  </si>
  <si>
    <t>0076840100354</t>
  </si>
  <si>
    <t>Chunky Monkey Ice Cream</t>
  </si>
  <si>
    <t>338880</t>
  </si>
  <si>
    <t>0076840485116</t>
  </si>
  <si>
    <t>Ben &amp; Jerry's The Tonight Dough Ice Cream 1 PT</t>
  </si>
  <si>
    <t>338879</t>
  </si>
  <si>
    <t>0076840100149</t>
  </si>
  <si>
    <t>Ben &amp; Jerry's New York Super Fudge Chunk Ice Cream 1 PT</t>
  </si>
  <si>
    <t>338878</t>
  </si>
  <si>
    <t>0076840100989</t>
  </si>
  <si>
    <t>Ben &amp; Jerry's Phish Food Ice Cream 1 PT</t>
  </si>
  <si>
    <t>338876</t>
  </si>
  <si>
    <t>0076840100156</t>
  </si>
  <si>
    <t>Ben &amp; Jerry's Cherry Garcia Ice Cream</t>
  </si>
  <si>
    <t>338877</t>
  </si>
  <si>
    <t>0076840076574</t>
  </si>
  <si>
    <t>Ben &amp; Jerry's Milk &amp; Cookies Ice Cream 1 PT</t>
  </si>
  <si>
    <t>338875</t>
  </si>
  <si>
    <t>0038766361202</t>
  </si>
  <si>
    <t>ASAHI Super Dry 6pk</t>
  </si>
  <si>
    <t>338874</t>
  </si>
  <si>
    <t>0855352008057</t>
  </si>
  <si>
    <t>ATHLETIC BREWING CO Non-Alcoholic Run Wild IPA 6pk Cans</t>
  </si>
  <si>
    <t>338872</t>
  </si>
  <si>
    <t>0855352008125</t>
  </si>
  <si>
    <t>ATHLETIC BREWING CO Non-Alcoholic Run Wild IPA 12pk Cans</t>
  </si>
  <si>
    <t>18.49</t>
  </si>
  <si>
    <t>338873</t>
  </si>
  <si>
    <t>0810061575474</t>
  </si>
  <si>
    <t>ATHLETIC BREWING CO Non-Alcoholic Fruited Fields Radler 12pk Cans</t>
  </si>
  <si>
    <t>338871</t>
  </si>
  <si>
    <t>0855352008774</t>
  </si>
  <si>
    <t>ATHLETIC BREWING CO Non-Alcoholic Free Wave Hazy IPA 12pk Cans</t>
  </si>
  <si>
    <t>19.99</t>
  </si>
  <si>
    <t>338870</t>
  </si>
  <si>
    <t>0855352008132</t>
  </si>
  <si>
    <t>ATHLETIC BREWING CO Non-Alcoholic Upside Dawn Golden Ale 12pk Cans</t>
  </si>
  <si>
    <t>338869</t>
  </si>
  <si>
    <t>0012511891671</t>
  </si>
  <si>
    <t>WHOLESOME Organic Fair Trade Honey</t>
  </si>
  <si>
    <t>9.94</t>
  </si>
  <si>
    <t>338868</t>
  </si>
  <si>
    <t>0012511894160</t>
  </si>
  <si>
    <t>WHOLESOME Organic Raw Unfiltered Honey 16 OZ</t>
  </si>
  <si>
    <t>338867</t>
  </si>
  <si>
    <t>0012511891688</t>
  </si>
  <si>
    <t>WHOLESOME Organic Raw Unfiltered White Honey 16 OZ</t>
  </si>
  <si>
    <t>338866</t>
  </si>
  <si>
    <t>0012511892470</t>
  </si>
  <si>
    <t>WHOLESOME Organic Fair Trade Honey 24 OZ</t>
  </si>
  <si>
    <t>338865</t>
  </si>
  <si>
    <t>0012511891657</t>
  </si>
  <si>
    <t>338863</t>
  </si>
  <si>
    <t>0073299075073</t>
  </si>
  <si>
    <t>BEE HARMONY Organic Eucalyptus Raw Creamed Honey 12 OZ</t>
  </si>
  <si>
    <t>11.29</t>
  </si>
  <si>
    <t>338862</t>
  </si>
  <si>
    <t>0075002410171</t>
  </si>
  <si>
    <t>LOCAL HIVE Nor Cal Honey 16 OZ</t>
  </si>
  <si>
    <t>12.29</t>
  </si>
  <si>
    <t>338861</t>
  </si>
  <si>
    <t>0075002120162</t>
  </si>
  <si>
    <t>LOCAL HIVE Clover Honey 16 OZ</t>
  </si>
  <si>
    <t>338860</t>
  </si>
  <si>
    <t>0075002444121</t>
  </si>
  <si>
    <t>LOCAL HIVE Organic Honey 12 OZ</t>
  </si>
  <si>
    <t>338859</t>
  </si>
  <si>
    <t>0073299120018</t>
  </si>
  <si>
    <t>BEE HARMONY American Raw Wildflower Honey 12 OZ</t>
  </si>
  <si>
    <t>10.29</t>
  </si>
  <si>
    <t>338864</t>
  </si>
  <si>
    <t>0073299120230</t>
  </si>
  <si>
    <t>BEE HARMONY Organic Brazilian Raw Honey 12 OZ</t>
  </si>
  <si>
    <t>338858</t>
  </si>
  <si>
    <t>0075002120247</t>
  </si>
  <si>
    <t>LOCAL HIVE Wildflower Honey 16 OZ</t>
  </si>
  <si>
    <t>338857</t>
  </si>
  <si>
    <t>0073299120025</t>
  </si>
  <si>
    <t>BEE HARMONY American Berry Raw Honey 12 OZ</t>
  </si>
  <si>
    <t>338856</t>
  </si>
  <si>
    <t>6111242106925</t>
  </si>
  <si>
    <t>2.0</t>
  </si>
  <si>
    <t>MAD</t>
  </si>
  <si>
    <t>bonbondupainchene</t>
  </si>
  <si>
    <t>المدرسة الوطنية العليا للمعلوميات وتحليل النظم</t>
  </si>
  <si>
    <t>338855</t>
  </si>
  <si>
    <t>338854</t>
  </si>
  <si>
    <t>7311043010394</t>
  </si>
  <si>
    <t>338853</t>
  </si>
  <si>
    <t>7340083496905</t>
  </si>
  <si>
    <t>11.9</t>
  </si>
  <si>
    <t>338852</t>
  </si>
  <si>
    <t>338851</t>
  </si>
  <si>
    <t>7340083485558</t>
  </si>
  <si>
    <t>338850</t>
  </si>
  <si>
    <t>7340083468391</t>
  </si>
  <si>
    <t>338849</t>
  </si>
  <si>
    <t>7290120152830</t>
  </si>
  <si>
    <t>ILS</t>
  </si>
  <si>
    <t>libra</t>
  </si>
  <si>
    <t>Super-Pharm</t>
  </si>
  <si>
    <t>338848</t>
  </si>
  <si>
    <t>7290111063589</t>
  </si>
  <si>
    <t>338847</t>
  </si>
  <si>
    <t>4009900583145</t>
  </si>
  <si>
    <t>9.9</t>
  </si>
  <si>
    <t>338846</t>
  </si>
  <si>
    <t>7350125520734</t>
  </si>
  <si>
    <t>58.63</t>
  </si>
  <si>
    <t>emil-e</t>
  </si>
  <si>
    <t>Coop Värnhem</t>
  </si>
  <si>
    <t>338845</t>
  </si>
  <si>
    <t>0823182000022</t>
  </si>
  <si>
    <t>AMEN BEE HONEY Orange Blossom Honey 24 OZ</t>
  </si>
  <si>
    <t>22.99</t>
  </si>
  <si>
    <t>338843</t>
  </si>
  <si>
    <t>0094922131676</t>
  </si>
  <si>
    <t>STEVES BEES Honey Bee Jar 24 OZ</t>
  </si>
  <si>
    <t>26.49</t>
  </si>
  <si>
    <t>338842</t>
  </si>
  <si>
    <t>0075002444244</t>
  </si>
  <si>
    <t>LOCAL HIVE Organic Honey 24 OZ</t>
  </si>
  <si>
    <t>338844</t>
  </si>
  <si>
    <t>0823182000046</t>
  </si>
  <si>
    <t>AMEN BEE HONEY Wildflower Honey 24 OZ</t>
  </si>
  <si>
    <t>338841</t>
  </si>
  <si>
    <t>0733726805009</t>
  </si>
  <si>
    <t>PACIFIC RESOURCES Manuka Honey Bio Active 200+ 17.64 OZ</t>
  </si>
  <si>
    <t>35.99</t>
  </si>
  <si>
    <t>338840</t>
  </si>
  <si>
    <t>0814422024472</t>
  </si>
  <si>
    <t>WEDDERSPOON Organic Raw Manuka Honey MGO 100 8.8 OZ</t>
  </si>
  <si>
    <t>28.49</t>
  </si>
  <si>
    <t>338839</t>
  </si>
  <si>
    <t>0733726801001</t>
  </si>
  <si>
    <t>PACIFIC RESOURCES Manuka Honey Bio Active 100 Plus 17.6 OZ</t>
  </si>
  <si>
    <t>37.99</t>
  </si>
  <si>
    <t>338837</t>
  </si>
  <si>
    <t>0814422020023</t>
  </si>
  <si>
    <t>WEDDERSPOON Kfactor 16 Manuka Honey 17.6 OZ</t>
  </si>
  <si>
    <t>43.99</t>
  </si>
  <si>
    <t>338838</t>
  </si>
  <si>
    <t>0814422020054</t>
  </si>
  <si>
    <t>WEDDERSPOON Raw Manuka Honey 8.8 OZ</t>
  </si>
  <si>
    <t>27.49</t>
  </si>
  <si>
    <t>338836</t>
  </si>
  <si>
    <t>0865174000351</t>
  </si>
  <si>
    <t>JUST DATE SYRUP Organic Pomegranate Molasses 8.8 OZ</t>
  </si>
  <si>
    <t>9.17</t>
  </si>
  <si>
    <t>338835</t>
  </si>
  <si>
    <t>0865174000337</t>
  </si>
  <si>
    <t>JUST DATE SYRUP Organic Medjool Date Syrup 8.8 OZ</t>
  </si>
  <si>
    <t>8.63</t>
  </si>
  <si>
    <t>338834</t>
  </si>
  <si>
    <t>0867918000306</t>
  </si>
  <si>
    <t>DVASH ORGANICS Organic Date Nectar 16.6 OZ</t>
  </si>
  <si>
    <t>338833</t>
  </si>
  <si>
    <t>0850015717109</t>
  </si>
  <si>
    <t>MIKES HOT HONEY Extra Hot Honey 12 OZ</t>
  </si>
  <si>
    <t>12.79</t>
  </si>
  <si>
    <t>338832</t>
  </si>
  <si>
    <t>0865372000009</t>
  </si>
  <si>
    <t>MIKES HOT HONEY Hot Honey Infused with Chilies 12 OZ</t>
  </si>
  <si>
    <t>338831</t>
  </si>
  <si>
    <t>0099482531607</t>
  </si>
  <si>
    <t>365 BY WHOLE FOODS MARKET Hot Honey 12 OZ</t>
  </si>
  <si>
    <t>6.59</t>
  </si>
  <si>
    <t>338830</t>
  </si>
  <si>
    <t>0075002700937</t>
  </si>
  <si>
    <t>LOCAL HIVE Sriracha Hot Honey 9 OZ</t>
  </si>
  <si>
    <t>338829</t>
  </si>
  <si>
    <t>0075002700906</t>
  </si>
  <si>
    <t>LOCAL HIVE Original Hot Honey 9 OZ 6/CS</t>
  </si>
  <si>
    <t>338828</t>
  </si>
  <si>
    <t>0661563002100</t>
  </si>
  <si>
    <t>GIPSONS GOLDEN Clover Honey 24 OZ</t>
  </si>
  <si>
    <t>23.49</t>
  </si>
  <si>
    <t>338827</t>
  </si>
  <si>
    <t>0661563002308</t>
  </si>
  <si>
    <t>GIPSONS GOLDEN Orange Blossom Honey 24 OZ</t>
  </si>
  <si>
    <t>338826</t>
  </si>
  <si>
    <t>0661563002155</t>
  </si>
  <si>
    <t>GIPSONS GOLDEN Blackberry Honey 24 OZ</t>
  </si>
  <si>
    <t>338825</t>
  </si>
  <si>
    <t>0690740108045</t>
  </si>
  <si>
    <t>MARSHALLS FARM SF Bay Area Blend Honey 8 OZ</t>
  </si>
  <si>
    <t>338824</t>
  </si>
  <si>
    <t>8606033741594</t>
  </si>
  <si>
    <t>338823</t>
  </si>
  <si>
    <t>8601500130437</t>
  </si>
  <si>
    <t>338822</t>
  </si>
  <si>
    <t>4603413007169</t>
  </si>
  <si>
    <t>50.0</t>
  </si>
  <si>
    <t>RUB</t>
  </si>
  <si>
    <t>magadum</t>
  </si>
  <si>
    <t>Монетка</t>
  </si>
  <si>
    <t>338821</t>
  </si>
  <si>
    <t>4603413008449</t>
  </si>
  <si>
    <t>45.0</t>
  </si>
  <si>
    <t>338820</t>
  </si>
  <si>
    <t>4606540004353</t>
  </si>
  <si>
    <t>338819</t>
  </si>
  <si>
    <t>4606540004315</t>
  </si>
  <si>
    <t>70.0</t>
  </si>
  <si>
    <t>338818</t>
  </si>
  <si>
    <t>7622210439970</t>
  </si>
  <si>
    <t>OY LT2X100G LOT N</t>
  </si>
  <si>
    <t>piterpan2</t>
  </si>
  <si>
    <t>Carrefour Market</t>
  </si>
  <si>
    <t>338817</t>
  </si>
  <si>
    <t>3560070488520</t>
  </si>
  <si>
    <t>BOUTEILLE PET 75CL</t>
  </si>
  <si>
    <t>2.69</t>
  </si>
  <si>
    <t>338816</t>
  </si>
  <si>
    <t>3484702000006</t>
  </si>
  <si>
    <t>BREIZH COLA STAND.</t>
  </si>
  <si>
    <t>338815</t>
  </si>
  <si>
    <t>3560070719327</t>
  </si>
  <si>
    <t>70G JB CUIT SUP 2T</t>
  </si>
  <si>
    <t>338814</t>
  </si>
  <si>
    <t>3245412149146</t>
  </si>
  <si>
    <t>450G PIZZ.CHEVR/LA</t>
  </si>
  <si>
    <t>338813</t>
  </si>
  <si>
    <t>3560071245719</t>
  </si>
  <si>
    <t>450G EMMENT BLOC C</t>
  </si>
  <si>
    <t>338812</t>
  </si>
  <si>
    <t>3103220033371</t>
  </si>
  <si>
    <t>400G TAGADA HARIBO</t>
  </si>
  <si>
    <t>338811</t>
  </si>
  <si>
    <t>3560070880607</t>
  </si>
  <si>
    <t>2X125G NOIX DE CAJ</t>
  </si>
  <si>
    <t>338810</t>
  </si>
  <si>
    <t>3560070242788</t>
  </si>
  <si>
    <t>170G TUILES PAPRIK</t>
  </si>
  <si>
    <t>338809</t>
  </si>
  <si>
    <t>3560071152208</t>
  </si>
  <si>
    <t>280G PAIN DE MIE L</t>
  </si>
  <si>
    <t>0.92</t>
  </si>
  <si>
    <t>338808</t>
  </si>
  <si>
    <t>3116740030393</t>
  </si>
  <si>
    <t>200G LONG FIZZ</t>
  </si>
  <si>
    <t>338807</t>
  </si>
  <si>
    <t>3245412304941</t>
  </si>
  <si>
    <t>100G CHOCO NOIR PO</t>
  </si>
  <si>
    <t>338806</t>
  </si>
  <si>
    <t>7340083490705</t>
  </si>
  <si>
    <t>338805</t>
  </si>
  <si>
    <t>7310941801202</t>
  </si>
  <si>
    <t>338804</t>
  </si>
  <si>
    <t>7330797077613</t>
  </si>
  <si>
    <t>21.9</t>
  </si>
  <si>
    <t>338803</t>
  </si>
  <si>
    <t>7330797077606</t>
  </si>
  <si>
    <t>338802</t>
  </si>
  <si>
    <t>7330797077620</t>
  </si>
  <si>
    <t>338801</t>
  </si>
  <si>
    <t>5310099008395</t>
  </si>
  <si>
    <t>338800</t>
  </si>
  <si>
    <t>8710438115741</t>
  </si>
  <si>
    <t>raffaelej-70</t>
  </si>
  <si>
    <t>Oasi</t>
  </si>
  <si>
    <t>338799</t>
  </si>
  <si>
    <t>5202390017599</t>
  </si>
  <si>
    <t>338798</t>
  </si>
  <si>
    <t>5202390007934</t>
  </si>
  <si>
    <t>338797</t>
  </si>
  <si>
    <t>7313160005543</t>
  </si>
  <si>
    <t>338796</t>
  </si>
  <si>
    <t>7622201733681</t>
  </si>
  <si>
    <t>338795</t>
  </si>
  <si>
    <t>5202390013836</t>
  </si>
  <si>
    <t>338794</t>
  </si>
  <si>
    <t>8032770680399</t>
  </si>
  <si>
    <t>338793</t>
  </si>
  <si>
    <t>4353489007180</t>
  </si>
  <si>
    <t>vanessabringel</t>
  </si>
  <si>
    <t>338792</t>
  </si>
  <si>
    <t>7350126088370</t>
  </si>
  <si>
    <t>61.46</t>
  </si>
  <si>
    <t>Maxi ICA Stormarknad Landskrona</t>
  </si>
  <si>
    <t>2026-09-05</t>
  </si>
  <si>
    <t>338791</t>
  </si>
  <si>
    <t>7318690162575</t>
  </si>
  <si>
    <t>37.8</t>
  </si>
  <si>
    <t>338790</t>
  </si>
  <si>
    <t>7318690091752</t>
  </si>
  <si>
    <t>43.02</t>
  </si>
  <si>
    <t>338789</t>
  </si>
  <si>
    <t>7318690187028</t>
  </si>
  <si>
    <t>22.66</t>
  </si>
  <si>
    <t>338788</t>
  </si>
  <si>
    <t>7311442111401</t>
  </si>
  <si>
    <t>29.29</t>
  </si>
  <si>
    <t>338787</t>
  </si>
  <si>
    <t>8721201908590</t>
  </si>
  <si>
    <t>26.5</t>
  </si>
  <si>
    <t>338786</t>
  </si>
  <si>
    <t>8000130480132</t>
  </si>
  <si>
    <t>338785</t>
  </si>
  <si>
    <t>8000430138689</t>
  </si>
  <si>
    <t>338784</t>
  </si>
  <si>
    <t>8000965071130</t>
  </si>
  <si>
    <t>338783</t>
  </si>
  <si>
    <t>8076809580748</t>
  </si>
  <si>
    <t>338782</t>
  </si>
  <si>
    <t>8076809580601</t>
  </si>
  <si>
    <t>338781</t>
  </si>
  <si>
    <t>8020141810001</t>
  </si>
  <si>
    <t>338780</t>
  </si>
  <si>
    <t>5901713025890</t>
  </si>
  <si>
    <t>338779</t>
  </si>
  <si>
    <t>4101540711176</t>
  </si>
  <si>
    <t>338778</t>
  </si>
  <si>
    <t>3760056264791</t>
  </si>
  <si>
    <t>dambond</t>
  </si>
  <si>
    <t>338777</t>
  </si>
  <si>
    <t>4260336081463</t>
  </si>
  <si>
    <t>giaguar</t>
  </si>
  <si>
    <t>REWE</t>
  </si>
  <si>
    <t>338776</t>
  </si>
  <si>
    <t>5063334039196</t>
  </si>
  <si>
    <t>gwasanaethau</t>
  </si>
  <si>
    <t>Sainsbury's</t>
  </si>
  <si>
    <t>338775</t>
  </si>
  <si>
    <t>4056489972136</t>
  </si>
  <si>
    <t>3.52</t>
  </si>
  <si>
    <t>338774</t>
  </si>
  <si>
    <t>3147699111154</t>
  </si>
  <si>
    <t>20.66</t>
  </si>
  <si>
    <t>sebleouf</t>
  </si>
  <si>
    <t>U Express Lyon Université</t>
  </si>
  <si>
    <t>2026-09-24</t>
  </si>
  <si>
    <t>338773</t>
  </si>
  <si>
    <t>5011026108033</t>
  </si>
  <si>
    <t>22.0</t>
  </si>
  <si>
    <t>338772</t>
  </si>
  <si>
    <t>5000267014203</t>
  </si>
  <si>
    <t>19.08</t>
  </si>
  <si>
    <t>338771</t>
  </si>
  <si>
    <t>3228470065177</t>
  </si>
  <si>
    <t>6.01</t>
  </si>
  <si>
    <t>Intermarché Super</t>
  </si>
  <si>
    <t>338770</t>
  </si>
  <si>
    <t>8000500166758</t>
  </si>
  <si>
    <t>TIC TAC MENTHE EXTRA FRAICHE 0,054 kg</t>
  </si>
  <si>
    <t>338769</t>
  </si>
  <si>
    <t>8000500166697</t>
  </si>
  <si>
    <t>TIC TAC MENTHE SLEEVE T110 54G</t>
  </si>
  <si>
    <t>338768</t>
  </si>
  <si>
    <t>80897194</t>
  </si>
  <si>
    <t>39.5G TICTAC TWO REGLISSE</t>
  </si>
  <si>
    <t>338767</t>
  </si>
  <si>
    <t>80785385</t>
  </si>
  <si>
    <t>TIC TAC TWO MENT FRAIC 0,0385 kg</t>
  </si>
  <si>
    <t>338766</t>
  </si>
  <si>
    <t>3560070771035</t>
  </si>
  <si>
    <t>250G SALAD PLET/CRUDITE BAP CL</t>
  </si>
  <si>
    <t>338765</t>
  </si>
  <si>
    <t>3560071414757</t>
  </si>
  <si>
    <t>100G GAMBAS CARREFOUR EXTRA</t>
  </si>
  <si>
    <t>338764</t>
  </si>
  <si>
    <t>8719200031449</t>
  </si>
  <si>
    <t>450G MARGARINE DX FRUIT D'OR</t>
  </si>
  <si>
    <t>338763</t>
  </si>
  <si>
    <t>3155250358788</t>
  </si>
  <si>
    <t>250G PRIMEVERE BIO DX</t>
  </si>
  <si>
    <t>338762</t>
  </si>
  <si>
    <t>3560071578893</t>
  </si>
  <si>
    <t>200ML JUS CITRON JAUNE ABC</t>
  </si>
  <si>
    <t>338761</t>
  </si>
  <si>
    <t>3700196615312</t>
  </si>
  <si>
    <t>QUICHE LORRAINE X2 VERRIERE</t>
  </si>
  <si>
    <t>5.95</t>
  </si>
  <si>
    <t>338760</t>
  </si>
  <si>
    <t>3033492151506</t>
  </si>
  <si>
    <t>380G KEFIR FRAI/FRAM ACTIVIA</t>
  </si>
  <si>
    <t>338759</t>
  </si>
  <si>
    <t>3366321055516</t>
  </si>
  <si>
    <t>250G MARGAR ORIG DX ST HUBERT</t>
  </si>
  <si>
    <t>338758</t>
  </si>
  <si>
    <t>3017233001008</t>
  </si>
  <si>
    <t>TRAMIER OLIVE VERTE DENOYAUTEE BOCAL 37CL</t>
  </si>
  <si>
    <t>338757</t>
  </si>
  <si>
    <t>3123349018516</t>
  </si>
  <si>
    <t>1L JOKER PJUS POM PECH ABRICOT POMME PECHE ABRICOT PUR JUS</t>
  </si>
  <si>
    <t>338756</t>
  </si>
  <si>
    <t>3560070394944</t>
  </si>
  <si>
    <t>125G JEUNES POUSSES BIO CRF</t>
  </si>
  <si>
    <t>2.8</t>
  </si>
  <si>
    <t>338755</t>
  </si>
  <si>
    <t>3245411869298</t>
  </si>
  <si>
    <t>2X130G CROQ.MONSIEUR PREGR. CRF PREGRATINE 2X130G</t>
  </si>
  <si>
    <t>338754</t>
  </si>
  <si>
    <t>3560070981083</t>
  </si>
  <si>
    <t>150GR FILET DE BACON CRF EXT</t>
  </si>
  <si>
    <t>338753</t>
  </si>
  <si>
    <t>3245412432651</t>
  </si>
  <si>
    <t>100G BACON ETALE 10TR CRFEXT</t>
  </si>
  <si>
    <t>338752</t>
  </si>
  <si>
    <t>3366321053291</t>
  </si>
  <si>
    <t>ST HUBERT OMEGA 3 DS 255G</t>
  </si>
  <si>
    <t>338751</t>
  </si>
  <si>
    <t>3042062209257</t>
  </si>
  <si>
    <t>20S FLEUR CAMOMILLE TISANIERE</t>
  </si>
  <si>
    <t>338750</t>
  </si>
  <si>
    <t>3560070479641</t>
  </si>
  <si>
    <t>48 DOSETTES CORSE CRF</t>
  </si>
  <si>
    <t>5.19</t>
  </si>
  <si>
    <t>338749</t>
  </si>
  <si>
    <t>3560070473915</t>
  </si>
  <si>
    <t>370G CONFITURE FIGUES CR ORIG.</t>
  </si>
  <si>
    <t>338748</t>
  </si>
  <si>
    <t>3608580185352</t>
  </si>
  <si>
    <t>310G FRTS RGES SS MORC B. MAMAN</t>
  </si>
  <si>
    <t>338747</t>
  </si>
  <si>
    <t>3560071223304</t>
  </si>
  <si>
    <t>446ML HARICOT ROUGE CRF BIO</t>
  </si>
  <si>
    <t>338746</t>
  </si>
  <si>
    <t>3608580185260</t>
  </si>
  <si>
    <t>310G ABRICOT SS MORCX B. MAMAN</t>
  </si>
  <si>
    <t>338745</t>
  </si>
  <si>
    <t>3280220512157</t>
  </si>
  <si>
    <t>100G JEUNES POUSSES DOUCES</t>
  </si>
  <si>
    <t>338744</t>
  </si>
  <si>
    <t>3560070394975</t>
  </si>
  <si>
    <t>125G MESCLUN CRF</t>
  </si>
  <si>
    <t>338743</t>
  </si>
  <si>
    <t>3760324300305</t>
  </si>
  <si>
    <t>180G CROQFONDANT TOMATES MOZZA</t>
  </si>
  <si>
    <t>338742</t>
  </si>
  <si>
    <t>3095756330010</t>
  </si>
  <si>
    <t>DES DE JAMBON -SEL FLEURY MICHON SEL 0,15 kg</t>
  </si>
  <si>
    <t>338741</t>
  </si>
  <si>
    <t>3700196615398</t>
  </si>
  <si>
    <t>PIZZA X2 300G</t>
  </si>
  <si>
    <t>338740</t>
  </si>
  <si>
    <t>3760024684361</t>
  </si>
  <si>
    <t>BEIGNETS DE COURGETTES 350 G</t>
  </si>
  <si>
    <t>6.05</t>
  </si>
  <si>
    <t>338739</t>
  </si>
  <si>
    <t>3154230040286</t>
  </si>
  <si>
    <t>BACON SUP 150</t>
  </si>
  <si>
    <t>338738</t>
  </si>
  <si>
    <t>3449865302657</t>
  </si>
  <si>
    <t>UBRID ROSETTE 19T 170G</t>
  </si>
  <si>
    <t>338737</t>
  </si>
  <si>
    <t>3449860419855</t>
  </si>
  <si>
    <t>AOSTE JB 1/4 SER 18T 0,22 kg</t>
  </si>
  <si>
    <t>338736</t>
  </si>
  <si>
    <t>3245412452963</t>
  </si>
  <si>
    <t>100G ROSETTE 12 TRANCHES 100G CARREFOUR ORIGINAL</t>
  </si>
  <si>
    <t>338735</t>
  </si>
  <si>
    <t>3560071270346</t>
  </si>
  <si>
    <t>330G CONFITURE EMOTION MYRTILL</t>
  </si>
  <si>
    <t>338734</t>
  </si>
  <si>
    <t>3560070279319</t>
  </si>
  <si>
    <t>370G CONFITURE FRAMBOISE CRFO.</t>
  </si>
  <si>
    <t>338733</t>
  </si>
  <si>
    <t>3270190007081</t>
  </si>
  <si>
    <t>CARREFOUR GELEE GROSELLE 370G</t>
  </si>
  <si>
    <t>338732</t>
  </si>
  <si>
    <t>3560071231903</t>
  </si>
  <si>
    <t>360G CONFITURE CERISE CARREFOUR BIO</t>
  </si>
  <si>
    <t>338731</t>
  </si>
  <si>
    <t>3560071464134</t>
  </si>
  <si>
    <t>330G CONFITURE MANGUE PASSION</t>
  </si>
  <si>
    <t>338730</t>
  </si>
  <si>
    <t>3560070558667</t>
  </si>
  <si>
    <t>300G BQT.AGNEAU FLAGEOLETS CRF</t>
  </si>
  <si>
    <t>338729</t>
  </si>
  <si>
    <t>8715700421957</t>
  </si>
  <si>
    <t>HEINZ FLACON SOUPLE MAYO 395G</t>
  </si>
  <si>
    <t>338728</t>
  </si>
  <si>
    <t>3017239003860</t>
  </si>
  <si>
    <t>TRAMIER OLIVE NOIRES GRECQUES DENOYAUTEES 220G</t>
  </si>
  <si>
    <t>338727</t>
  </si>
  <si>
    <t>5900783008062</t>
  </si>
  <si>
    <t>425G MAYOMIX HEINZ</t>
  </si>
  <si>
    <t>338726</t>
  </si>
  <si>
    <t>3080216048802</t>
  </si>
  <si>
    <t>BTE CAN KRONENBOURG 4.20D6X33CL</t>
  </si>
  <si>
    <t>338725</t>
  </si>
  <si>
    <t>3367651010183</t>
  </si>
  <si>
    <t>140G TRIANGLE OEUF/EMM.DAU</t>
  </si>
  <si>
    <t>338724</t>
  </si>
  <si>
    <t>3560070346264</t>
  </si>
  <si>
    <t>100G VER.FLT ANCH.ALL.CRF EXT</t>
  </si>
  <si>
    <t>338723</t>
  </si>
  <si>
    <t>3560071508135</t>
  </si>
  <si>
    <t>160G MAQUEREAU FUME AU POIVRE CRF EXTRA</t>
  </si>
  <si>
    <t>338722</t>
  </si>
  <si>
    <t>3302740021244</t>
  </si>
  <si>
    <t>AIGUILLETT PLT GRILLE CSN FMIC 0,15 kg</t>
  </si>
  <si>
    <t>338721</t>
  </si>
  <si>
    <t>3154230802341</t>
  </si>
  <si>
    <t>150G ALLUMETTES NATURE CSN</t>
  </si>
  <si>
    <t>338720</t>
  </si>
  <si>
    <t>3560070742332</t>
  </si>
  <si>
    <t>150G EMINCES D AIGUILLETTES DE</t>
  </si>
  <si>
    <t>338719</t>
  </si>
  <si>
    <t>3242273205059</t>
  </si>
  <si>
    <t>SODEBO PIZZA LOVALE 3 FROMAGES 200G</t>
  </si>
  <si>
    <t>338718</t>
  </si>
  <si>
    <t>3560071263416</t>
  </si>
  <si>
    <t>400G QUICHE LORRAINE PUR BEURR</t>
  </si>
  <si>
    <t>338717</t>
  </si>
  <si>
    <t>3248830000587</t>
  </si>
  <si>
    <t>400G QUICHE LORRAINE PB MARIE</t>
  </si>
  <si>
    <t>338716</t>
  </si>
  <si>
    <t>3242271000762</t>
  </si>
  <si>
    <t>400G DOLCE CHEVRE MIEL SODEBO</t>
  </si>
  <si>
    <t>338715</t>
  </si>
  <si>
    <t>3242272345053</t>
  </si>
  <si>
    <t>SODEBO DOLCE PIZZA 4 FORMAGGI 380G</t>
  </si>
  <si>
    <t>338714</t>
  </si>
  <si>
    <t>3245411386757</t>
  </si>
  <si>
    <t>BEURRIER 1/2 SEL CRF 0.25 kg</t>
  </si>
  <si>
    <t>338713</t>
  </si>
  <si>
    <t>3366321053284</t>
  </si>
  <si>
    <t>255G MARGA DX ST HUBERT</t>
  </si>
  <si>
    <t>338712</t>
  </si>
  <si>
    <t>3366321053314</t>
  </si>
  <si>
    <t>510G ST HUBERT OMEGA 3 DS</t>
  </si>
  <si>
    <t>338711</t>
  </si>
  <si>
    <t>8719200230859</t>
  </si>
  <si>
    <t>500G ASTRA DX</t>
  </si>
  <si>
    <t>338710</t>
  </si>
  <si>
    <t>3560070616589</t>
  </si>
  <si>
    <t>500G MAT.GRASSE 55% SIMPL</t>
  </si>
  <si>
    <t>338709</t>
  </si>
  <si>
    <t>8000070084698</t>
  </si>
  <si>
    <t>1KG GRAINS MOMENTO VIVACE LVZ</t>
  </si>
  <si>
    <t>19.5</t>
  </si>
  <si>
    <t>338708</t>
  </si>
  <si>
    <t>3183810000105</t>
  </si>
  <si>
    <t>MARIUS BERNARD BISQUE HOMARD BOITE 1/2</t>
  </si>
  <si>
    <t>8.94</t>
  </si>
  <si>
    <t>338707</t>
  </si>
  <si>
    <t>8000070000216</t>
  </si>
  <si>
    <t>CARTE NOIRE DOS ESPR CLASSIC 8 336GX48</t>
  </si>
  <si>
    <t>8.35</t>
  </si>
  <si>
    <t>338706</t>
  </si>
  <si>
    <t>8711000523391</t>
  </si>
  <si>
    <t>JACQUES VABRE MOULU PO POPAYAN 250G</t>
  </si>
  <si>
    <t>338705</t>
  </si>
  <si>
    <t>3560070272600</t>
  </si>
  <si>
    <t>370G CONFITURE CHATAIGNES CRF ORIGNAL</t>
  </si>
  <si>
    <t>338704</t>
  </si>
  <si>
    <t>3045320001594</t>
  </si>
  <si>
    <t>BONNE MAMAN CONFITURE MIRABELLE BOCAL 370G</t>
  </si>
  <si>
    <t>338703</t>
  </si>
  <si>
    <t>3045320001570</t>
  </si>
  <si>
    <t>BONNE MAMAN CONFITURE FRAMBOISE BOCAL 370G</t>
  </si>
  <si>
    <t>338702</t>
  </si>
  <si>
    <t>3045320001518</t>
  </si>
  <si>
    <t>BONNE MAMAN CONFITURE CERISES GRIOTTES 370G</t>
  </si>
  <si>
    <t>338701</t>
  </si>
  <si>
    <t>3560071417833</t>
  </si>
  <si>
    <t>330G CONFITURE EMOTION 3 AGRUM</t>
  </si>
  <si>
    <t>338700</t>
  </si>
  <si>
    <t>3452200009098</t>
  </si>
  <si>
    <t>370G VERGER BIO CONFIT. MYRTIL IO 370GR</t>
  </si>
  <si>
    <t>338699</t>
  </si>
  <si>
    <t>3452200009135</t>
  </si>
  <si>
    <t>370G VERGER BIO CONFIT. CERIS 370GR</t>
  </si>
  <si>
    <t>338698</t>
  </si>
  <si>
    <t>3560071415372</t>
  </si>
  <si>
    <t>BOCAL 160G OLIVES VERTES DENOY</t>
  </si>
  <si>
    <t>338697</t>
  </si>
  <si>
    <t>3017239004911</t>
  </si>
  <si>
    <t>160G OLIVES VERTES DEN BOC SRP</t>
  </si>
  <si>
    <t>338696</t>
  </si>
  <si>
    <t>3270190180982</t>
  </si>
  <si>
    <t>CARREFOUR PULPE TOMATE BOITES 3 X 1/2</t>
  </si>
  <si>
    <t>338695</t>
  </si>
  <si>
    <t>3011360001252</t>
  </si>
  <si>
    <t>MORRAIL PERSIL SECRET D AROM TABLETTES 90G</t>
  </si>
  <si>
    <t>338694</t>
  </si>
  <si>
    <t>7613036891530</t>
  </si>
  <si>
    <t>128G BOUILLON KUB OR MAGGI</t>
  </si>
  <si>
    <t>338693</t>
  </si>
  <si>
    <t>3560071009175</t>
  </si>
  <si>
    <t>446ML LENTILLES BIO CRF</t>
  </si>
  <si>
    <t>338692</t>
  </si>
  <si>
    <t>3560071524289</t>
  </si>
  <si>
    <t>BRIQUE 1L BOISSON A LORANGE S IMPL</t>
  </si>
  <si>
    <t>1.1</t>
  </si>
  <si>
    <t>338691</t>
  </si>
  <si>
    <t>3502110005670</t>
  </si>
  <si>
    <t>TROPICANA POMME DOUCE PINK 1L</t>
  </si>
  <si>
    <t>338690</t>
  </si>
  <si>
    <t>3047100055421</t>
  </si>
  <si>
    <t>SUZE GENTIANE APERITIF 15%V BOUTEILLE 1L GUSTAVE EIFFEL</t>
  </si>
  <si>
    <t>10.15</t>
  </si>
  <si>
    <t>338689</t>
  </si>
  <si>
    <t>3270190143611</t>
  </si>
  <si>
    <t>75CL MUSCAT DE RIVESALTES MED</t>
  </si>
  <si>
    <t>5.65</t>
  </si>
  <si>
    <t>338688</t>
  </si>
  <si>
    <t>7613034678515</t>
  </si>
  <si>
    <t>MAGGI KUB OR BOUILLON DEGRAISS 128G</t>
  </si>
  <si>
    <t>338687</t>
  </si>
  <si>
    <t>3560071495329</t>
  </si>
  <si>
    <t>X12 BOUILLON DE BOEUF DESHYDRATE ET AROMATISE SIMPL 0.12 kg</t>
  </si>
  <si>
    <t>338686</t>
  </si>
  <si>
    <t>3560071102944</t>
  </si>
  <si>
    <t>2*115ML JUS CITRON SICILE CRF CLASSIC</t>
  </si>
  <si>
    <t>338685</t>
  </si>
  <si>
    <t>3560070483471</t>
  </si>
  <si>
    <t>250ML JUS DE CITRON CARREFOUR BIO</t>
  </si>
  <si>
    <t>338684</t>
  </si>
  <si>
    <t>5608771011048</t>
  </si>
  <si>
    <t>DOM DUARTE SCE FRANCESINH 48 cl</t>
  </si>
  <si>
    <t>4.49</t>
  </si>
  <si>
    <t>338683</t>
  </si>
  <si>
    <t>3183811011889</t>
  </si>
  <si>
    <t>1/2 SOUPE POISSONS LABEL ROUGE 490 g</t>
  </si>
  <si>
    <t>7.28</t>
  </si>
  <si>
    <t>338682</t>
  </si>
  <si>
    <t>3560070275298</t>
  </si>
  <si>
    <t>PET 1L PJ MATIN DOUCEUR CRF EX TRA</t>
  </si>
  <si>
    <t>338681</t>
  </si>
  <si>
    <t>3080216043326</t>
  </si>
  <si>
    <t>BTE 6X50CL BIERE 4,2% KRONENB.</t>
  </si>
  <si>
    <t>6.3</t>
  </si>
  <si>
    <t>338680</t>
  </si>
  <si>
    <t>4067700013859</t>
  </si>
  <si>
    <t>JAGERMEISTER 35%V LIQUEUR 70CL</t>
  </si>
  <si>
    <t>21.29</t>
  </si>
  <si>
    <t>338679</t>
  </si>
  <si>
    <t>3020884441109</t>
  </si>
  <si>
    <t>GET 31 PIPPERMINT 24%V BOUTEILLE 70CL</t>
  </si>
  <si>
    <t>16.75</t>
  </si>
  <si>
    <t>338678</t>
  </si>
  <si>
    <t>3560071170387</t>
  </si>
  <si>
    <t>BLE 70CL LIQUEUR AUX HERBES GE ISTLUCHS 35%</t>
  </si>
  <si>
    <t>12.89</t>
  </si>
  <si>
    <t>338677</t>
  </si>
  <si>
    <t>5391532124162</t>
  </si>
  <si>
    <t>55G FULFIL CHOCOLATE &amp; HAZELNUT</t>
  </si>
  <si>
    <t>338676</t>
  </si>
  <si>
    <t>3280220110155</t>
  </si>
  <si>
    <t>FLORETTE TRIO MACHE ROQ.BETT. 175G</t>
  </si>
  <si>
    <t>3.1</t>
  </si>
  <si>
    <t>338675</t>
  </si>
  <si>
    <t>3061430009541</t>
  </si>
  <si>
    <t>CRUDETTES SALADE IRRESISTIBLE 200G</t>
  </si>
  <si>
    <t>338674</t>
  </si>
  <si>
    <t>3524130004907</t>
  </si>
  <si>
    <t>UC TAPENADE VERTE 150G</t>
  </si>
  <si>
    <t>338673</t>
  </si>
  <si>
    <t>3242274703059</t>
  </si>
  <si>
    <t>250G PASTA SALADE POULET COMTE</t>
  </si>
  <si>
    <t>338672</t>
  </si>
  <si>
    <t>3245413046581</t>
  </si>
  <si>
    <t>100G VER.ANCH.ROUL. CAPRECRF EX</t>
  </si>
  <si>
    <t>338671</t>
  </si>
  <si>
    <t>3175690001211</t>
  </si>
  <si>
    <t>VANELLI ANCHOIS SEL VERRINE 130G</t>
  </si>
  <si>
    <t>338670</t>
  </si>
  <si>
    <t>3033610056812</t>
  </si>
  <si>
    <t>130G 4TR SAUMON F NOR -25% SEL</t>
  </si>
  <si>
    <t>338669</t>
  </si>
  <si>
    <t>3175690060119</t>
  </si>
  <si>
    <t>VERRINE 210G FILET ANCHOIS VANELLI</t>
  </si>
  <si>
    <t>338668</t>
  </si>
  <si>
    <t>200G MERGUEZ VEGETALES NOUVEAUX FERMIERS</t>
  </si>
  <si>
    <t>338667</t>
  </si>
  <si>
    <t>3270190020936</t>
  </si>
  <si>
    <t>1KG FROMAGE FRAIS 0%MG CRF</t>
  </si>
  <si>
    <t>338666</t>
  </si>
  <si>
    <t>3302740104213</t>
  </si>
  <si>
    <t>150G ALUMET HARICOT ROUG FUM</t>
  </si>
  <si>
    <t>338665</t>
  </si>
  <si>
    <t>7613034423146</t>
  </si>
  <si>
    <t>HERTA POITRINE FUME 7 T 100G</t>
  </si>
  <si>
    <t>338664</t>
  </si>
  <si>
    <t>3154230802167</t>
  </si>
  <si>
    <t>200G DES DE LARDON HERTA</t>
  </si>
  <si>
    <t>338663</t>
  </si>
  <si>
    <t>3560071154288</t>
  </si>
  <si>
    <t>140G POITRINE FUMEE CARREFOUR</t>
  </si>
  <si>
    <t>338662</t>
  </si>
  <si>
    <t>3560071154295</t>
  </si>
  <si>
    <t>140G POITRINE NATURE CARREFOUR</t>
  </si>
  <si>
    <t>338661</t>
  </si>
  <si>
    <t>3700196615039</t>
  </si>
  <si>
    <t>TARTELETTE FERMIERE X2 320G</t>
  </si>
  <si>
    <t>338660</t>
  </si>
  <si>
    <t>8059070740776</t>
  </si>
  <si>
    <t>PIZZA TIROLESE 550 G</t>
  </si>
  <si>
    <t>8.45</t>
  </si>
  <si>
    <t>338659</t>
  </si>
  <si>
    <t>3245411955618</t>
  </si>
  <si>
    <t>180G PIZZA JBN FROM. CRF CLA</t>
  </si>
  <si>
    <t>338658</t>
  </si>
  <si>
    <t>3245413824899</t>
  </si>
  <si>
    <t>CARREFOUR PIZZA CHORIZO 180G</t>
  </si>
  <si>
    <t>338657</t>
  </si>
  <si>
    <t>3560071523909</t>
  </si>
  <si>
    <t>520G PIZ CROUSTI FROM.CRF SENS</t>
  </si>
  <si>
    <t>338656</t>
  </si>
  <si>
    <t>3242273050253</t>
  </si>
  <si>
    <t>SODEBO PIZZA CRUST CHEESY 4 FROMAGES 580G</t>
  </si>
  <si>
    <t>338655</t>
  </si>
  <si>
    <t>3242273050055</t>
  </si>
  <si>
    <t>SODEBO PIZZA CRUST EMMENTAL JAMBON 600G</t>
  </si>
  <si>
    <t>338654</t>
  </si>
  <si>
    <t>3242272346050</t>
  </si>
  <si>
    <t>SODEBO DOLCE PIZZA PROSCIUTTO 400G</t>
  </si>
  <si>
    <t>338653</t>
  </si>
  <si>
    <t>3449865232930</t>
  </si>
  <si>
    <t>MORONI CHZO FORT TR 100G C8P</t>
  </si>
  <si>
    <t>338652</t>
  </si>
  <si>
    <t>3449865302664</t>
  </si>
  <si>
    <t>JBRID BACON 16T 160G</t>
  </si>
  <si>
    <t>338651</t>
  </si>
  <si>
    <t>3560071433420</t>
  </si>
  <si>
    <t>ROSETTE 150 GR ORIGINAL</t>
  </si>
  <si>
    <t>338650</t>
  </si>
  <si>
    <t>3700009272695</t>
  </si>
  <si>
    <t>420G PIZZA JAMBON SPECK MOZZA</t>
  </si>
  <si>
    <t>338649</t>
  </si>
  <si>
    <t>3700009274965</t>
  </si>
  <si>
    <t>420G PIZZA CHEVRE CENDRE TOMAT</t>
  </si>
  <si>
    <t>8.9</t>
  </si>
  <si>
    <t>338648</t>
  </si>
  <si>
    <t>3366321053307</t>
  </si>
  <si>
    <t>510G MARGA DX ST HUBERT</t>
  </si>
  <si>
    <t>338647</t>
  </si>
  <si>
    <t>3155251205319</t>
  </si>
  <si>
    <t>500G MARG TART CUIS DX PRIMEV</t>
  </si>
  <si>
    <t>338646</t>
  </si>
  <si>
    <t>3270190020080</t>
  </si>
  <si>
    <t>500G MATIERE GRASSE TOURNESOL 60% CRF</t>
  </si>
  <si>
    <t>338645</t>
  </si>
  <si>
    <t>8719200056626</t>
  </si>
  <si>
    <t>PLANTA FIN CUISINE FACILE 500ML</t>
  </si>
  <si>
    <t>338644</t>
  </si>
  <si>
    <t>5410093181800</t>
  </si>
  <si>
    <t>1KG GRAISSE A FRIRE BOEUF NN</t>
  </si>
  <si>
    <t>338643</t>
  </si>
  <si>
    <t>8719200012608</t>
  </si>
  <si>
    <t>225G PROACTIV EXPERT SHDP TART</t>
  </si>
  <si>
    <t>338642</t>
  </si>
  <si>
    <t>3560071445614</t>
  </si>
  <si>
    <t>250G PLQ BEUR MONTAGNE DX CRF EXTRA</t>
  </si>
  <si>
    <t>338641</t>
  </si>
  <si>
    <t>3560071445621</t>
  </si>
  <si>
    <t>250G PLQ BEUR MONTAGNE 1/2S CR F</t>
  </si>
  <si>
    <t>338640</t>
  </si>
  <si>
    <t>3560071549275</t>
  </si>
  <si>
    <t>200G BEURRE DEMI SEL 60% SIMPL</t>
  </si>
  <si>
    <t>338639</t>
  </si>
  <si>
    <t>8719200251700</t>
  </si>
  <si>
    <t>450G PF SHDP 100% VEG DX</t>
  </si>
  <si>
    <t>338638</t>
  </si>
  <si>
    <t>3270190130703</t>
  </si>
  <si>
    <t>BT 25 INFUS.PECHE CASSIS CRF C</t>
  </si>
  <si>
    <t>338637</t>
  </si>
  <si>
    <t>8711000422038</t>
  </si>
  <si>
    <t>104G LOR CAPS ESP DBL PRF</t>
  </si>
  <si>
    <t>5.45</t>
  </si>
  <si>
    <t>338636</t>
  </si>
  <si>
    <t>8711000422021</t>
  </si>
  <si>
    <t>X10CAPS OR BARISTA SPLENDENTE</t>
  </si>
  <si>
    <t>5.15</t>
  </si>
  <si>
    <t>338635</t>
  </si>
  <si>
    <t>8711000422069</t>
  </si>
  <si>
    <t>X10CAPS OR BARISTA RISTRETTO</t>
  </si>
  <si>
    <t>338634</t>
  </si>
  <si>
    <t>8445290991867</t>
  </si>
  <si>
    <t>170G DESS. NR 80% NESTLE</t>
  </si>
  <si>
    <t>338633</t>
  </si>
  <si>
    <t>7613035859098</t>
  </si>
  <si>
    <t>NESTLE DESSERT NOIR ABSOLU 170G</t>
  </si>
  <si>
    <t>338632</t>
  </si>
  <si>
    <t>7613035898646</t>
  </si>
  <si>
    <t>NESTLE DESSERT CORSE 200G</t>
  </si>
  <si>
    <t>338631</t>
  </si>
  <si>
    <t>3560070369690</t>
  </si>
  <si>
    <t>370G CONFITURE DE FRAISE CARREFOUR ORIGINAL</t>
  </si>
  <si>
    <t>338630</t>
  </si>
  <si>
    <t>3560070224524</t>
  </si>
  <si>
    <t>370G CONATURE DE PECHES CRFO</t>
  </si>
  <si>
    <t>338629</t>
  </si>
  <si>
    <t>3270190114895</t>
  </si>
  <si>
    <t>370G CONFITURE ABRICOT CRF ORI</t>
  </si>
  <si>
    <t>338628</t>
  </si>
  <si>
    <t>3270190194910</t>
  </si>
  <si>
    <t>370G GELEE MURES CARREFOUR</t>
  </si>
  <si>
    <t>338627</t>
  </si>
  <si>
    <t>3560070701490</t>
  </si>
  <si>
    <t>370G CONATURE MIRABELLE CRFO</t>
  </si>
  <si>
    <t>338626</t>
  </si>
  <si>
    <t>3045320009293</t>
  </si>
  <si>
    <t>BONNE MAMAN CONFITURE FIGUE BOCAL 370G</t>
  </si>
  <si>
    <t>338625</t>
  </si>
  <si>
    <t>3045320001693</t>
  </si>
  <si>
    <t>BONNE MAMAN GELEE COINGS BOCAL 370G</t>
  </si>
  <si>
    <t>338624</t>
  </si>
  <si>
    <t>3560071270315</t>
  </si>
  <si>
    <t>330G CONFITURE EMOTION FRAISE</t>
  </si>
  <si>
    <t>338623</t>
  </si>
  <si>
    <t>3560071501662</t>
  </si>
  <si>
    <t>340G CONFITURE ALLEGEE REINE CLAUDE CARREFOUR CLASSIC</t>
  </si>
  <si>
    <t>338622</t>
  </si>
  <si>
    <t>3270190127512</t>
  </si>
  <si>
    <t>360G CONFIT.EXT. FRAISE CRF BIO</t>
  </si>
  <si>
    <t>338621</t>
  </si>
  <si>
    <t>3560071501754</t>
  </si>
  <si>
    <t>360G CONF MYRTILLE CRF BIO</t>
  </si>
  <si>
    <t>338620</t>
  </si>
  <si>
    <t>3045320008401</t>
  </si>
  <si>
    <t>ANDROS PREPARATION ALLEGEE FRAISE BOCAL 350G</t>
  </si>
  <si>
    <t>338619</t>
  </si>
  <si>
    <t>3045320008494</t>
  </si>
  <si>
    <t>ANDROS PREPARATION ALLEGEE ABRICOT BOCAL 350G</t>
  </si>
  <si>
    <t>338618</t>
  </si>
  <si>
    <t>3560070105908</t>
  </si>
  <si>
    <t>1/2 OLIVES FARCIE ANCH.CRF CLA</t>
  </si>
  <si>
    <t>338617</t>
  </si>
  <si>
    <t>3017239004188</t>
  </si>
  <si>
    <t>130G OLIVE VERTE DENOYAUT BIO</t>
  </si>
  <si>
    <t>338616</t>
  </si>
  <si>
    <t>3076820002064</t>
  </si>
  <si>
    <t>CRESPO OLIVE NOIRE DENOYAUTEE BOITE 1/2</t>
  </si>
  <si>
    <t>338615</t>
  </si>
  <si>
    <t>3560071564247</t>
  </si>
  <si>
    <t>BOCAL 200G OLIVES KALAMATA ENT</t>
  </si>
  <si>
    <t>338614</t>
  </si>
  <si>
    <t>3560070602223</t>
  </si>
  <si>
    <t>120G OLIVE FARCIE AMAND.CRF CL</t>
  </si>
  <si>
    <t>338613</t>
  </si>
  <si>
    <t>3017233002005</t>
  </si>
  <si>
    <t>TRAMIER OLIVE VERTE DENOYAUTEE SACHET 100G</t>
  </si>
  <si>
    <t>338612</t>
  </si>
  <si>
    <t>3560070230228</t>
  </si>
  <si>
    <t>CARREFOUR OLIVE VERTES DENOYAUTEES BOC 37CL</t>
  </si>
  <si>
    <t>338611</t>
  </si>
  <si>
    <t>3560070940257</t>
  </si>
  <si>
    <t>OLIVE VERTE CAL SIMPL 30/34 SACHET 400G</t>
  </si>
  <si>
    <t>338610</t>
  </si>
  <si>
    <t>7613035645585</t>
  </si>
  <si>
    <t>MAGGI BOUILLON VOLAILLE 80G</t>
  </si>
  <si>
    <t>338609</t>
  </si>
  <si>
    <t>7613032397623</t>
  </si>
  <si>
    <t>120G BOUIL.VOLAIL.-25%SEL MAGG DE SEL 120G</t>
  </si>
  <si>
    <t>338608</t>
  </si>
  <si>
    <t>7613035862265</t>
  </si>
  <si>
    <t>MAGGIKUB OR SEL REDUIT 121,6G</t>
  </si>
  <si>
    <t>338607</t>
  </si>
  <si>
    <t>7613032394547</t>
  </si>
  <si>
    <t>KUB OR HERBES DE PROVENCES 128G</t>
  </si>
  <si>
    <t>338606</t>
  </si>
  <si>
    <t>3560071472993</t>
  </si>
  <si>
    <t>12X10G BOUILLON POT AU FEU CRF CLASSIC</t>
  </si>
  <si>
    <t>338605</t>
  </si>
  <si>
    <t>3560071495350</t>
  </si>
  <si>
    <t>12 BOUILLON CUBE LEGUMES SIMPL</t>
  </si>
  <si>
    <t>0.79</t>
  </si>
  <si>
    <t>338604</t>
  </si>
  <si>
    <t>3560071227661</t>
  </si>
  <si>
    <t>200ML JUS CITRON CONCENTRE SIM PL</t>
  </si>
  <si>
    <t>338603</t>
  </si>
  <si>
    <t>8009490000554</t>
  </si>
  <si>
    <t>JUS CITRON VERT 20CL</t>
  </si>
  <si>
    <t>338602</t>
  </si>
  <si>
    <t>3017800078853</t>
  </si>
  <si>
    <t>DAUCY LENTILLES PREPAREES 1/2</t>
  </si>
  <si>
    <t>338601</t>
  </si>
  <si>
    <t>3017800056202</t>
  </si>
  <si>
    <t>DAUCY POIS CHICHE SULTANINES 4/4 530G</t>
  </si>
  <si>
    <t>338600</t>
  </si>
  <si>
    <t>3560071527440</t>
  </si>
  <si>
    <t>72CL POIS CHICHES CARREFOUR CLASS</t>
  </si>
  <si>
    <t>1.39</t>
  </si>
  <si>
    <t>338599</t>
  </si>
  <si>
    <t>3560070331642</t>
  </si>
  <si>
    <t>530G COURGETTES PROVENCALE CRF</t>
  </si>
  <si>
    <t>338598</t>
  </si>
  <si>
    <t>3245390020390</t>
  </si>
  <si>
    <t>1L PUR JUS DE POMME BRETAGNE REFLETS DE FRANCE</t>
  </si>
  <si>
    <t>338597</t>
  </si>
  <si>
    <t>3560071008123</t>
  </si>
  <si>
    <t>1L NECTAR DE GOYAVE MARTINIQU</t>
  </si>
  <si>
    <t>338596</t>
  </si>
  <si>
    <t>3560070823277</t>
  </si>
  <si>
    <t>BRIQUE ELOPAK 1L PUR JUS PAMPLENOUSSE ROSE CARREFOUR BIO</t>
  </si>
  <si>
    <t>338595</t>
  </si>
  <si>
    <t>3560071418182</t>
  </si>
  <si>
    <t>PUR JUS DE CLEMENTINE BRICK 1L CRF BIO</t>
  </si>
  <si>
    <t>338594</t>
  </si>
  <si>
    <t>3560070788644</t>
  </si>
  <si>
    <t>BOCAL 1L PUR JUS DE TOMATE DE MARMANDE REFLET DE FRANCE</t>
  </si>
  <si>
    <t>338593</t>
  </si>
  <si>
    <t>3760091721952</t>
  </si>
  <si>
    <t>ETHIQUABLE PUR JUS DE TOMATE BIO 75 CL</t>
  </si>
  <si>
    <t>338592</t>
  </si>
  <si>
    <t>3770011779017</t>
  </si>
  <si>
    <t>1L CREME MENTHE-LA MENTHE</t>
  </si>
  <si>
    <t>12.2</t>
  </si>
  <si>
    <t>338591</t>
  </si>
  <si>
    <t>3180290000021</t>
  </si>
  <si>
    <t>GIFFARD MENTHE PASTILLE 24%V BOUTEILLE 70CL</t>
  </si>
  <si>
    <t>13.55</t>
  </si>
  <si>
    <t>338590</t>
  </si>
  <si>
    <t>8410024710328</t>
  </si>
  <si>
    <t>MALIBU COCO 18%V BOUTEILLE 70CL</t>
  </si>
  <si>
    <t>11.69</t>
  </si>
  <si>
    <t>338589</t>
  </si>
  <si>
    <t>5011013934546</t>
  </si>
  <si>
    <t>70CL BAILEYS 17% CARAMEL SALE</t>
  </si>
  <si>
    <t>15.49</t>
  </si>
  <si>
    <t>338588</t>
  </si>
  <si>
    <t>8000040210058</t>
  </si>
  <si>
    <t>1L PICON CLUB 18%V</t>
  </si>
  <si>
    <t>338587</t>
  </si>
  <si>
    <t>3560071252595</t>
  </si>
  <si>
    <t>1L AMER BIERE 18% AMARUS</t>
  </si>
  <si>
    <t>338586</t>
  </si>
  <si>
    <t>3609200011204</t>
  </si>
  <si>
    <t>55G JOYFUEL CHOCO BLANC COOKIE</t>
  </si>
  <si>
    <t>338585</t>
  </si>
  <si>
    <t>5000159561662</t>
  </si>
  <si>
    <t>36G M&amp;MS CRISPY</t>
  </si>
  <si>
    <t>338584</t>
  </si>
  <si>
    <t>3609200011907</t>
  </si>
  <si>
    <t>50G COEUR CARAMEL JOYFUEL</t>
  </si>
  <si>
    <t>338583</t>
  </si>
  <si>
    <t>3245390490636</t>
  </si>
  <si>
    <t>75CL MUSC DE RIVESALTE 15,5%PP</t>
  </si>
  <si>
    <t>5.25</t>
  </si>
  <si>
    <t>338582</t>
  </si>
  <si>
    <t>80798026</t>
  </si>
  <si>
    <t>TIC TAC TWO ETUI FRAMBOISE CIT 0,0385 kg</t>
  </si>
  <si>
    <t>338581</t>
  </si>
  <si>
    <t>3760294960301</t>
  </si>
  <si>
    <t>1.81</t>
  </si>
  <si>
    <t>adipolipo</t>
  </si>
  <si>
    <t>Super Cafoutch</t>
  </si>
  <si>
    <t>338580</t>
  </si>
  <si>
    <t>3268350120718</t>
  </si>
  <si>
    <t>338579</t>
  </si>
  <si>
    <t>7340083480638</t>
  </si>
  <si>
    <t>21.5</t>
  </si>
  <si>
    <t>338578</t>
  </si>
  <si>
    <t>7331974101701</t>
  </si>
  <si>
    <t>338577</t>
  </si>
  <si>
    <t>7340083444470</t>
  </si>
  <si>
    <t>338576</t>
  </si>
  <si>
    <t>7311043023837</t>
  </si>
  <si>
    <t>15.5</t>
  </si>
  <si>
    <t>338575</t>
  </si>
  <si>
    <t>7310240120042</t>
  </si>
  <si>
    <t>338574</t>
  </si>
  <si>
    <t>338573</t>
  </si>
  <si>
    <t>7331217012993</t>
  </si>
  <si>
    <t>27.35</t>
  </si>
  <si>
    <t>338572</t>
  </si>
  <si>
    <t>7340083492464</t>
  </si>
  <si>
    <t>338571</t>
  </si>
  <si>
    <t>7340083466861</t>
  </si>
  <si>
    <t>14.95</t>
  </si>
  <si>
    <t>338570</t>
  </si>
  <si>
    <t>7312200040797</t>
  </si>
  <si>
    <t>338569</t>
  </si>
  <si>
    <t>3608580006640</t>
  </si>
  <si>
    <t>4X100G POMME ABRICOT AND</t>
  </si>
  <si>
    <t>1.9</t>
  </si>
  <si>
    <t>Carrefour City</t>
  </si>
  <si>
    <t>338568</t>
  </si>
  <si>
    <t>3560071083946</t>
  </si>
  <si>
    <t>200G BOULETTE DE BLE THAI CRFV</t>
  </si>
  <si>
    <t>338567</t>
  </si>
  <si>
    <t>7613035694958</t>
  </si>
  <si>
    <t>160G CARRE GRD TOMAT &amp;MOZZA GG</t>
  </si>
  <si>
    <t>338566</t>
  </si>
  <si>
    <t>3608580762294</t>
  </si>
  <si>
    <t>4X100G POMME FRAISE MCX AND</t>
  </si>
  <si>
    <t>338565</t>
  </si>
  <si>
    <t>3560070769827</t>
  </si>
  <si>
    <t>PET 1L BSS MOJITO CRF SEL</t>
  </si>
  <si>
    <t>338564</t>
  </si>
  <si>
    <t>3560070309238</t>
  </si>
  <si>
    <t>PET 1L NECTAR GOYAVE CRF SEL</t>
  </si>
  <si>
    <t>338563</t>
  </si>
  <si>
    <t>3451790563256</t>
  </si>
  <si>
    <t>250G BEUR DX MONTFLEURI 60%</t>
  </si>
  <si>
    <t>338562</t>
  </si>
  <si>
    <t>3245390221698</t>
  </si>
  <si>
    <t>250G BEURRE DOUX AOP RDF</t>
  </si>
  <si>
    <t>338561</t>
  </si>
  <si>
    <t>3245390137838</t>
  </si>
  <si>
    <t>G BRILLAT SAVARIN 0,200 kg</t>
  </si>
  <si>
    <t>338560</t>
  </si>
  <si>
    <t>3497911101129</t>
  </si>
  <si>
    <t>125G CHIPS POULET BRAIS.BRET'S</t>
  </si>
  <si>
    <t>338559</t>
  </si>
  <si>
    <t>3302740087042</t>
  </si>
  <si>
    <t>4 TR POIS CHICHES</t>
  </si>
  <si>
    <t>2.6</t>
  </si>
  <si>
    <t>338558</t>
  </si>
  <si>
    <t>3302740087059</t>
  </si>
  <si>
    <t>4 TR LENTILLES CORAIL</t>
  </si>
  <si>
    <t>338557</t>
  </si>
  <si>
    <t>3502110009449</t>
  </si>
  <si>
    <t>PJ.ORANG.S.PULP.TROPIC PET 1L</t>
  </si>
  <si>
    <t>338556</t>
  </si>
  <si>
    <t>1210002002332</t>
  </si>
  <si>
    <t>1L CLEMET TROPICANA</t>
  </si>
  <si>
    <t>3.3</t>
  </si>
  <si>
    <t>338555</t>
  </si>
  <si>
    <t>3502110009401</t>
  </si>
  <si>
    <t>PET 1L ORANGE A/PULP TROPICANA</t>
  </si>
  <si>
    <t>338554</t>
  </si>
  <si>
    <t>3560070275267</t>
  </si>
  <si>
    <t>1L PET PUR JUS POMME CRF EXTRA</t>
  </si>
  <si>
    <t>338553</t>
  </si>
  <si>
    <t>3023290036655</t>
  </si>
  <si>
    <t>4X115G SEMOULE VAN LA LAIT</t>
  </si>
  <si>
    <t>338552</t>
  </si>
  <si>
    <t>3270190202837</t>
  </si>
  <si>
    <t>4X100G GATEAU SEMO</t>
  </si>
  <si>
    <t>338551</t>
  </si>
  <si>
    <t>3560070600151</t>
  </si>
  <si>
    <t>125G PLQ BEUR DX EXTRA FIN CRF</t>
  </si>
  <si>
    <t>338550</t>
  </si>
  <si>
    <t>3560071206635</t>
  </si>
  <si>
    <t>250G PLQ.BEUR.1/2SEL GASTRO CR</t>
  </si>
  <si>
    <t>338549</t>
  </si>
  <si>
    <t>3497917004264</t>
  </si>
  <si>
    <t>125G BRETS SAV BBQ MEXICAIN</t>
  </si>
  <si>
    <t>2.3</t>
  </si>
  <si>
    <t>338548</t>
  </si>
  <si>
    <t>3497917001621</t>
  </si>
  <si>
    <t>125G CHIPS YAKITORI BRETS</t>
  </si>
  <si>
    <t>338547</t>
  </si>
  <si>
    <t>3497917000938</t>
  </si>
  <si>
    <t>125G CHIPS CHEDDAR OIGNON BRETS</t>
  </si>
  <si>
    <t>338546</t>
  </si>
  <si>
    <t>8023696006356</t>
  </si>
  <si>
    <t>170GR ITALIAN SOFT PISTACHIO A</t>
  </si>
  <si>
    <t>338545</t>
  </si>
  <si>
    <t>3560071474935</t>
  </si>
  <si>
    <t>220G 2 HACHES VEGETAL CRF SENS</t>
  </si>
  <si>
    <t>338544</t>
  </si>
  <si>
    <t>3229820794112</t>
  </si>
  <si>
    <t>2X100G BIO TOFU FUME BJORG</t>
  </si>
  <si>
    <t>4.35</t>
  </si>
  <si>
    <t>338543</t>
  </si>
  <si>
    <t>PET 1L POMME DOUCE PINK TROPIC</t>
  </si>
  <si>
    <t>338542</t>
  </si>
  <si>
    <t>3502110003201</t>
  </si>
  <si>
    <t>PET 1L ESSENTIELS MULTIVITAMIN</t>
  </si>
  <si>
    <t>338541</t>
  </si>
  <si>
    <t>3560070309351</t>
  </si>
  <si>
    <t>PET 1L NECTAR FRAISE CRF SEL</t>
  </si>
  <si>
    <t>338540</t>
  </si>
  <si>
    <t>3560070309177</t>
  </si>
  <si>
    <t>PET 1L NECTAR ABRICOT CRF SEL</t>
  </si>
  <si>
    <t>338539</t>
  </si>
  <si>
    <t>3560070479900</t>
  </si>
  <si>
    <t>PET 1L PJ TOMATE CRF EXT</t>
  </si>
  <si>
    <t>338538</t>
  </si>
  <si>
    <t>3560070275236</t>
  </si>
  <si>
    <t>PET 1L P.JUS ANANAS CRF EXTRA</t>
  </si>
  <si>
    <t>338537</t>
  </si>
  <si>
    <t>3245412730627</t>
  </si>
  <si>
    <t>4X60G MOUSSE CHOCO NOIR CRF CL</t>
  </si>
  <si>
    <t>338536</t>
  </si>
  <si>
    <t>3033491279737</t>
  </si>
  <si>
    <t>125GX4 CARAMEL DANETTE</t>
  </si>
  <si>
    <t>338535</t>
  </si>
  <si>
    <t>3023290050378</t>
  </si>
  <si>
    <t>4X100G CHOCO VIENNOIS</t>
  </si>
  <si>
    <t>338534</t>
  </si>
  <si>
    <t>4X90G MOUSSE DE VIENNOIS CHOCO</t>
  </si>
  <si>
    <t>338533</t>
  </si>
  <si>
    <t>3270190026273</t>
  </si>
  <si>
    <t>4X100G CREME CARAMEL CRF ORI</t>
  </si>
  <si>
    <t>338532</t>
  </si>
  <si>
    <t>3270190026853</t>
  </si>
  <si>
    <t>4X100G GATEAU DE RIZ CRF ORI</t>
  </si>
  <si>
    <t>338531</t>
  </si>
  <si>
    <t>3228020481150</t>
  </si>
  <si>
    <t>125G PL BEUR DX PRESIDENT</t>
  </si>
  <si>
    <t>338530</t>
  </si>
  <si>
    <t>125G PLQ BEUR DX EXTR FIN CRF</t>
  </si>
  <si>
    <t>338529</t>
  </si>
  <si>
    <t>3073781216486</t>
  </si>
  <si>
    <t>110G 5P PROTEINES MINIBABY</t>
  </si>
  <si>
    <t>338528</t>
  </si>
  <si>
    <t>3073781200089</t>
  </si>
  <si>
    <t>40G MINIBABY ORIGINAL SNACK</t>
  </si>
  <si>
    <t>338527</t>
  </si>
  <si>
    <t>3497917001874</t>
  </si>
  <si>
    <t>125G BRETS L'ORIGINALE</t>
  </si>
  <si>
    <t>338526</t>
  </si>
  <si>
    <t>3497917002789</t>
  </si>
  <si>
    <t>125G CHIPS BRETS</t>
  </si>
  <si>
    <t>338525</t>
  </si>
  <si>
    <t>3497911123350</t>
  </si>
  <si>
    <t>125G BRETS PIZZA</t>
  </si>
  <si>
    <t>338524</t>
  </si>
  <si>
    <t>3497917000518</t>
  </si>
  <si>
    <t>125G CHIPS CHEVRE PIMENT BRETS</t>
  </si>
  <si>
    <t>338523</t>
  </si>
  <si>
    <t>5410041005707</t>
  </si>
  <si>
    <t>150G 12 PIM'S ORANGE LU</t>
  </si>
  <si>
    <t>338522</t>
  </si>
  <si>
    <t>5410041376609</t>
  </si>
  <si>
    <t>150G PIM S FRAISE/FRT BOIS LU</t>
  </si>
  <si>
    <t>338521</t>
  </si>
  <si>
    <t>3497911219121</t>
  </si>
  <si>
    <t>125G BRETS A L'ANCIENNE</t>
  </si>
  <si>
    <t>338520</t>
  </si>
  <si>
    <t>3497917000907</t>
  </si>
  <si>
    <t>BRETS 125G CHIPS FROM JURA</t>
  </si>
  <si>
    <t>338519</t>
  </si>
  <si>
    <t>4007965015007</t>
  </si>
  <si>
    <t>atemu</t>
  </si>
  <si>
    <t>Nahkauf</t>
  </si>
  <si>
    <t>2026-09-21</t>
  </si>
  <si>
    <t>338518</t>
  </si>
  <si>
    <t>4056489687610</t>
  </si>
  <si>
    <t>capsule</t>
  </si>
  <si>
    <t>338517</t>
  </si>
  <si>
    <t>20232535</t>
  </si>
  <si>
    <t>Macadamiakerne geröstet</t>
  </si>
  <si>
    <t>k127</t>
  </si>
  <si>
    <t>Norma</t>
  </si>
  <si>
    <t>338516</t>
  </si>
  <si>
    <t>Frz. Butter-Croissant</t>
  </si>
  <si>
    <t>en:butter-croissants</t>
  </si>
  <si>
    <t>338515</t>
  </si>
  <si>
    <t>40466033</t>
  </si>
  <si>
    <t>Frühlingsquark</t>
  </si>
  <si>
    <t>338514</t>
  </si>
  <si>
    <t>20299392</t>
  </si>
  <si>
    <t>Kaffeegetränk Espresso</t>
  </si>
  <si>
    <t>0.75</t>
  </si>
  <si>
    <t>338513</t>
  </si>
  <si>
    <t>20232481</t>
  </si>
  <si>
    <t>PFIFF Macadamia geröstet gesalzen</t>
  </si>
  <si>
    <t>338512</t>
  </si>
  <si>
    <t>40466323</t>
  </si>
  <si>
    <t>Zaziki</t>
  </si>
  <si>
    <t>338511</t>
  </si>
  <si>
    <t>20325701</t>
  </si>
  <si>
    <t>Äpfel mit Schönheits- 2kg</t>
  </si>
  <si>
    <t>338510</t>
  </si>
  <si>
    <t>20111311</t>
  </si>
  <si>
    <t>Broccoli 500g</t>
  </si>
  <si>
    <t>338509</t>
  </si>
  <si>
    <t>8480000033628</t>
  </si>
  <si>
    <t>foodscrutiny</t>
  </si>
  <si>
    <t>Mercadona</t>
  </si>
  <si>
    <t>338508</t>
  </si>
  <si>
    <t>6111259347861</t>
  </si>
  <si>
    <t>338507</t>
  </si>
  <si>
    <t>8410376026962</t>
  </si>
  <si>
    <t>23.0</t>
  </si>
  <si>
    <t>338506</t>
  </si>
  <si>
    <t>8435223281097</t>
  </si>
  <si>
    <t>ampeg</t>
  </si>
  <si>
    <t>Grand Frais</t>
  </si>
  <si>
    <t>338505</t>
  </si>
  <si>
    <t>4037400345864</t>
  </si>
  <si>
    <t>joniarida</t>
  </si>
  <si>
    <t>338504</t>
  </si>
  <si>
    <t>4037400345901</t>
  </si>
  <si>
    <t>338503</t>
  </si>
  <si>
    <t>4056489730309</t>
  </si>
  <si>
    <t>338502</t>
  </si>
  <si>
    <t>20131579</t>
  </si>
  <si>
    <t>338501</t>
  </si>
  <si>
    <t>5000112691719</t>
  </si>
  <si>
    <t>COCA COLA ZERO</t>
  </si>
  <si>
    <t>338500</t>
  </si>
  <si>
    <t>7050122304350</t>
  </si>
  <si>
    <t>MAARUD POTETGULL</t>
  </si>
  <si>
    <t>41.9</t>
  </si>
  <si>
    <t>338499</t>
  </si>
  <si>
    <t>5000112691696</t>
  </si>
  <si>
    <t>COCA COLA</t>
  </si>
  <si>
    <t>338498</t>
  </si>
  <si>
    <t>7050122304367</t>
  </si>
  <si>
    <t>MAARUD POTETGULL SALT &amp; PEPPER</t>
  </si>
  <si>
    <t>338497</t>
  </si>
  <si>
    <t>7071864018589</t>
  </si>
  <si>
    <t>MUFFINS MILK CHOCO</t>
  </si>
  <si>
    <t>15.4</t>
  </si>
  <si>
    <t>Rema 1000 Viken</t>
  </si>
  <si>
    <t>338494</t>
  </si>
  <si>
    <t>7300400483407</t>
  </si>
  <si>
    <t>338495</t>
  </si>
  <si>
    <t>7071864018558</t>
  </si>
  <si>
    <t>MUFFINS BLUEBERRY AUNT MABELS 95G BAXT AS</t>
  </si>
  <si>
    <t>12.9</t>
  </si>
  <si>
    <t>338496</t>
  </si>
  <si>
    <t>MUFFINS MILK CHOCO AUNT MABELS 95G</t>
  </si>
  <si>
    <t>338493</t>
  </si>
  <si>
    <t>54492653</t>
  </si>
  <si>
    <t>POWERADE MOUNTAIN BLAST 0.5L FL</t>
  </si>
  <si>
    <t>30.9</t>
  </si>
  <si>
    <t>338492</t>
  </si>
  <si>
    <t>54035157</t>
  </si>
  <si>
    <t>POWERADE LEMON ZERO 0 5L FL</t>
  </si>
  <si>
    <t>338491</t>
  </si>
  <si>
    <t>7034280109996</t>
  </si>
  <si>
    <t>GRESK YOGHURT HONNING&amp;PEKAN SYNNOVE FINDEN</t>
  </si>
  <si>
    <t>26.9</t>
  </si>
  <si>
    <t>338490</t>
  </si>
  <si>
    <t>7033330089493</t>
  </si>
  <si>
    <t>338489</t>
  </si>
  <si>
    <t>7350068295218</t>
  </si>
  <si>
    <t>CHOCOLATE MOUSSE</t>
  </si>
  <si>
    <t>32.5</t>
  </si>
  <si>
    <t>338488</t>
  </si>
  <si>
    <t>7350068296154</t>
  </si>
  <si>
    <t>PUDDING SALT CARAMEL 200G PROPUD</t>
  </si>
  <si>
    <t>338487</t>
  </si>
  <si>
    <t>73143611</t>
  </si>
  <si>
    <t>PROPUD CHOCOLATE 200G</t>
  </si>
  <si>
    <t>27.5</t>
  </si>
  <si>
    <t>338486</t>
  </si>
  <si>
    <t>7034280110756</t>
  </si>
  <si>
    <t>GRESK YOGHURT 165G VANILJE &amp; GRANOLA SYNNØVE FINDEN</t>
  </si>
  <si>
    <t>338485</t>
  </si>
  <si>
    <t>7038010068201</t>
  </si>
  <si>
    <t>GO MORGEN MELON 190G MELON/PASJON</t>
  </si>
  <si>
    <t>17.6</t>
  </si>
  <si>
    <t>338484</t>
  </si>
  <si>
    <t>7038010068980</t>
  </si>
  <si>
    <t>YT PROTEIN YOGHURT 430G VANILJE TINE</t>
  </si>
  <si>
    <t>338483</t>
  </si>
  <si>
    <t>GRESK YOGHURT</t>
  </si>
  <si>
    <t>338482</t>
  </si>
  <si>
    <t>7038010004254</t>
  </si>
  <si>
    <t>YT REST.DRIKK 330ML BANAN/JORDBÆR TINE</t>
  </si>
  <si>
    <t>338481</t>
  </si>
  <si>
    <t>7340191184923</t>
  </si>
  <si>
    <t>JASMINRIS 2KG</t>
  </si>
  <si>
    <t>41.5</t>
  </si>
  <si>
    <t>338480</t>
  </si>
  <si>
    <t>7622300286675</t>
  </si>
  <si>
    <t>79.9</t>
  </si>
  <si>
    <t>Kiwi Bøhmergaten</t>
  </si>
  <si>
    <t>338479</t>
  </si>
  <si>
    <t>7622202345821</t>
  </si>
  <si>
    <t>SJOKOLADEDRIKK 10 pk., 280 g, Freia</t>
  </si>
  <si>
    <t>338478</t>
  </si>
  <si>
    <t>7622300286811</t>
  </si>
  <si>
    <t>SOLBÆRTODDY 10PK 320G FREIA</t>
  </si>
  <si>
    <t>338476</t>
  </si>
  <si>
    <t>7048840232260</t>
  </si>
  <si>
    <t>PROTEINMELK SALTY CARAMEL 0,33L Q</t>
  </si>
  <si>
    <t>338477</t>
  </si>
  <si>
    <t>SJOKOLADE-DRIKK 10 pk., 280 g, Freia</t>
  </si>
  <si>
    <t>338475</t>
  </si>
  <si>
    <t>SJOKOLADEDRIKK 450G</t>
  </si>
  <si>
    <t>338474</t>
  </si>
  <si>
    <t>7037210119690</t>
  </si>
  <si>
    <t>LOLLIPOP 1.2L DIPLOM-IS</t>
  </si>
  <si>
    <t>45.43</t>
  </si>
  <si>
    <t>338473</t>
  </si>
  <si>
    <t>7037210121525</t>
  </si>
  <si>
    <t>LAKTOSEFRI</t>
  </si>
  <si>
    <t>42.63</t>
  </si>
  <si>
    <t>338472</t>
  </si>
  <si>
    <t>7037210121532</t>
  </si>
  <si>
    <t>DIPLOM VANILJE UTEN 1L DIPLOM-IS</t>
  </si>
  <si>
    <t>338471</t>
  </si>
  <si>
    <t>7038010029288</t>
  </si>
  <si>
    <t>TINE FLØTEMYSOST LETT SKIVER 130G</t>
  </si>
  <si>
    <t>20.5</t>
  </si>
  <si>
    <t>338470</t>
  </si>
  <si>
    <t>7041810013197</t>
  </si>
  <si>
    <t>KAVLI CHEDDAR&amp;CHILI 175G TUBE</t>
  </si>
  <si>
    <t>338469</t>
  </si>
  <si>
    <t>7041810010394</t>
  </si>
  <si>
    <t>KAVLI SKIN KEOST TUBE 175G</t>
  </si>
  <si>
    <t>338468</t>
  </si>
  <si>
    <t>7041810131976</t>
  </si>
  <si>
    <t>KAVLI SRIRACHA OST TUBE 175G</t>
  </si>
  <si>
    <t>338467</t>
  </si>
  <si>
    <t>7041810128921</t>
  </si>
  <si>
    <t>KAVLI MAGEROST NATURELL 175G</t>
  </si>
  <si>
    <t>40.5</t>
  </si>
  <si>
    <t>338466</t>
  </si>
  <si>
    <t>7041810010400</t>
  </si>
  <si>
    <t>KAVLI REKEOST 175G TUBE</t>
  </si>
  <si>
    <t>40.9</t>
  </si>
  <si>
    <t>338465</t>
  </si>
  <si>
    <t>4316268174657</t>
  </si>
  <si>
    <t>professordoc</t>
  </si>
  <si>
    <t>Bayern</t>
  </si>
  <si>
    <t>338464</t>
  </si>
  <si>
    <t>7048840217076</t>
  </si>
  <si>
    <t>YR BANA</t>
  </si>
  <si>
    <t>338462</t>
  </si>
  <si>
    <t>YT REST.DRIKK 330ML BANAN/JORDB&amp;R TINE</t>
  </si>
  <si>
    <t>338461</t>
  </si>
  <si>
    <t>GREEK YOGHURT</t>
  </si>
  <si>
    <t>338463</t>
  </si>
  <si>
    <t>7038010004261</t>
  </si>
  <si>
    <t>YT REST.DRIKK 330ML KAKAO TINE</t>
  </si>
  <si>
    <t>338460</t>
  </si>
  <si>
    <t>7038010055546</t>
  </si>
  <si>
    <t>YT REST.DRIKK PRO 330ML KAKAO TINE</t>
  </si>
  <si>
    <t>28.9</t>
  </si>
  <si>
    <t>338459</t>
  </si>
  <si>
    <t>7340191187962</t>
  </si>
  <si>
    <t>PROTEIN SHAKE DRINK CHOCOLATE 330ML</t>
  </si>
  <si>
    <t>338458</t>
  </si>
  <si>
    <t>PROTEINMELK 0.33L SALTY CARAMEL</t>
  </si>
  <si>
    <t>34.5</t>
  </si>
  <si>
    <t>338457</t>
  </si>
  <si>
    <t>7038010072376</t>
  </si>
  <si>
    <t>YT PROTEINSHAKE 300ML SJOKOLADE TINE</t>
  </si>
  <si>
    <t>338456</t>
  </si>
  <si>
    <t>7340191187986</t>
  </si>
  <si>
    <t>PROTEIN SHAKE JORDBÆR COOP</t>
  </si>
  <si>
    <t>338455</t>
  </si>
  <si>
    <t>7070866042752</t>
  </si>
  <si>
    <t>PROTEIN SHAKE 350ML CHOCOLATE</t>
  </si>
  <si>
    <t>338454</t>
  </si>
  <si>
    <t>7038010072925</t>
  </si>
  <si>
    <t>YT PROTEINSHAKE 300ML JORDBÆR&amp;BANAN TINE</t>
  </si>
  <si>
    <t>338452</t>
  </si>
  <si>
    <t>7070866042721</t>
  </si>
  <si>
    <t>PROTEIN SHAKE 250ML CARAMEL LATTE MAXIM</t>
  </si>
  <si>
    <t>338453</t>
  </si>
  <si>
    <t>338451</t>
  </si>
  <si>
    <t>PROTEIN SHAKE 250ML CHOCOLATE MA</t>
  </si>
  <si>
    <t>338450</t>
  </si>
  <si>
    <t>338449</t>
  </si>
  <si>
    <t>0070796801204</t>
  </si>
  <si>
    <t>CENTO CHICKEN STOCK 32 FLOZ</t>
  </si>
  <si>
    <t>338448</t>
  </si>
  <si>
    <t>0070796801259</t>
  </si>
  <si>
    <t>CENTO BEEF STOCK 32 FLOZ</t>
  </si>
  <si>
    <t>338447</t>
  </si>
  <si>
    <t>0850010613413</t>
  </si>
  <si>
    <t>KETTLEFR CKING BROTH CHCKN 32 OZ</t>
  </si>
  <si>
    <t>338446</t>
  </si>
  <si>
    <t>0851702007466</t>
  </si>
  <si>
    <t>K&amp;F VEG BROTH COOKING LS 32 OZ</t>
  </si>
  <si>
    <t>338445</t>
  </si>
  <si>
    <t>0851702007688</t>
  </si>
  <si>
    <t>KETTLE &amp; FIRE ORG CCT CRY C</t>
  </si>
  <si>
    <t>338444</t>
  </si>
  <si>
    <t>0851702007169</t>
  </si>
  <si>
    <t>KETTLE &amp; FIRE LS BEEF BROTH 32 OZ</t>
  </si>
  <si>
    <t>338443</t>
  </si>
  <si>
    <t>0851702007176</t>
  </si>
  <si>
    <t>KETTLE &amp; FIRE CHICKEN BROTH 32 OZ</t>
  </si>
  <si>
    <t>338442</t>
  </si>
  <si>
    <t>0070796801235</t>
  </si>
  <si>
    <t>CENTO ORGANIC VEGETABLE STOC 32 FLOZ</t>
  </si>
  <si>
    <t>338441</t>
  </si>
  <si>
    <t>0850010613406</t>
  </si>
  <si>
    <t>KETTLEFR COOKING BROTH BEEF 32 OZ</t>
  </si>
  <si>
    <t>338440</t>
  </si>
  <si>
    <t>3023290050286</t>
  </si>
  <si>
    <t>338438</t>
  </si>
  <si>
    <t>7340191188723</t>
  </si>
  <si>
    <t>COOP CHOCOLATE CREAM COOKIE 175G</t>
  </si>
  <si>
    <t>338439</t>
  </si>
  <si>
    <t>7039317005449</t>
  </si>
  <si>
    <t>SAFARI ORIGINAL 200G</t>
  </si>
  <si>
    <t>22.14</t>
  </si>
  <si>
    <t>338437</t>
  </si>
  <si>
    <t>5411188112709</t>
  </si>
  <si>
    <t>MANDELDRIKK USØTET 1L ALPRO</t>
  </si>
  <si>
    <t>338435</t>
  </si>
  <si>
    <t>5411188115496</t>
  </si>
  <si>
    <t>SOYADRIKK USØTET 1L ALPRO</t>
  </si>
  <si>
    <t>338436</t>
  </si>
  <si>
    <t>5411188115458</t>
  </si>
  <si>
    <t>SOYADRIKK SJOKOLADE 1L ALPRO</t>
  </si>
  <si>
    <t>37.9</t>
  </si>
  <si>
    <t>338434</t>
  </si>
  <si>
    <t>5000112702194</t>
  </si>
  <si>
    <t>COCA-COLA ORIGINAL CREAMY VANILLA 500ML</t>
  </si>
  <si>
    <t>338433</t>
  </si>
  <si>
    <t>5000112702170</t>
  </si>
  <si>
    <t>COCA-COLA ZERO CREAMY VANILLA 0,5L FL</t>
  </si>
  <si>
    <t>338432</t>
  </si>
  <si>
    <t>7035620047138</t>
  </si>
  <si>
    <t>EGGS</t>
  </si>
  <si>
    <t>338431</t>
  </si>
  <si>
    <t>7035620052316</t>
  </si>
  <si>
    <t>SUR</t>
  </si>
  <si>
    <t>338430</t>
  </si>
  <si>
    <t>7311041029268</t>
  </si>
  <si>
    <t>MAJONES EKTE</t>
  </si>
  <si>
    <t>338429</t>
  </si>
  <si>
    <t>7036110005560</t>
  </si>
  <si>
    <t>VITA HJERTEGO' LETTYOGHURT 175 G</t>
  </si>
  <si>
    <t>338427</t>
  </si>
  <si>
    <t>7036110210933</t>
  </si>
  <si>
    <t>MAJONES EKTE 330G MILLS</t>
  </si>
  <si>
    <t>338428</t>
  </si>
  <si>
    <t>7035620052064</t>
  </si>
  <si>
    <t>TOMATSILD</t>
  </si>
  <si>
    <t>39.4</t>
  </si>
  <si>
    <t>338426</t>
  </si>
  <si>
    <t>7035620048289</t>
  </si>
  <si>
    <t>KARRISILD 335G</t>
  </si>
  <si>
    <t>338425</t>
  </si>
  <si>
    <t>7039010016285</t>
  </si>
  <si>
    <t>MAKRELL GR.HAKK TO STABBURET 110 G</t>
  </si>
  <si>
    <t>338423</t>
  </si>
  <si>
    <t>7039010617536</t>
  </si>
  <si>
    <t>MAKRELL FILL STABBURET 80 G ORKLA FOODS</t>
  </si>
  <si>
    <t>18.9</t>
  </si>
  <si>
    <t>338424</t>
  </si>
  <si>
    <t>7032069760819</t>
  </si>
  <si>
    <t>MAKRELL I TOMAT PRIMA LAVPRIS 300 G</t>
  </si>
  <si>
    <t>338422</t>
  </si>
  <si>
    <t>7032069110935</t>
  </si>
  <si>
    <t>R SPECULOOS KREMET SMØREPÅLEGG 400 G</t>
  </si>
  <si>
    <t>38.9</t>
  </si>
  <si>
    <t>338421</t>
  </si>
  <si>
    <t>7027110111894</t>
  </si>
  <si>
    <t>TUNFISK THAI CHILI KING OSCAR</t>
  </si>
  <si>
    <t>338420</t>
  </si>
  <si>
    <t>7039010011129</t>
  </si>
  <si>
    <t>KYLLINGPOSTEI STABBURET 100 G</t>
  </si>
  <si>
    <t>338419</t>
  </si>
  <si>
    <t>7039010155038</t>
  </si>
  <si>
    <t>SVOLVÆRPOSTEI STABBURET ORKLA FOODS</t>
  </si>
  <si>
    <t>338418</t>
  </si>
  <si>
    <t>7027110114093</t>
  </si>
  <si>
    <t>MAKRELL TACOSMAK KING OSCAR 90 G</t>
  </si>
  <si>
    <t>338417</t>
  </si>
  <si>
    <t>7027110114826</t>
  </si>
  <si>
    <t>TUNFISK TOMAT GROVREVET 85 G KING OSCAR AS</t>
  </si>
  <si>
    <t>21.4</t>
  </si>
  <si>
    <t>338416</t>
  </si>
  <si>
    <t>7027110114109</t>
  </si>
  <si>
    <t>MAKRELL PIZZASMAK KING OSCAR 90 G</t>
  </si>
  <si>
    <t>338415</t>
  </si>
  <si>
    <t>7090013400037</t>
  </si>
  <si>
    <t>KAKEMANN FRA BERGEN 3PK 200G TRADISJONSBAKEREN</t>
  </si>
  <si>
    <t>Coop Prix Fenderen</t>
  </si>
  <si>
    <t>338414</t>
  </si>
  <si>
    <t>7037421026466</t>
  </si>
  <si>
    <t>LEFSESNACK 2PK VESTLANDSLEFSA</t>
  </si>
  <si>
    <t>338413</t>
  </si>
  <si>
    <t>7025168008364</t>
  </si>
  <si>
    <t>COOP MYKE KAKEMENN 4PK 270G</t>
  </si>
  <si>
    <t>50.1</t>
  </si>
  <si>
    <t>338412</t>
  </si>
  <si>
    <t>7037421097565</t>
  </si>
  <si>
    <t>PEPPERKAKER BERTHAS, 300G</t>
  </si>
  <si>
    <t>338411</t>
  </si>
  <si>
    <t>7622202265082</t>
  </si>
  <si>
    <t>NON STOP</t>
  </si>
  <si>
    <t>46.4</t>
  </si>
  <si>
    <t>338410</t>
  </si>
  <si>
    <t>7310350136353</t>
  </si>
  <si>
    <t>AHLGRENS BILAR SYRLIG FRUKT 130G</t>
  </si>
  <si>
    <t>338409</t>
  </si>
  <si>
    <t>7041111155480</t>
  </si>
  <si>
    <t>SUPERMIX</t>
  </si>
  <si>
    <t>338408</t>
  </si>
  <si>
    <t>SMASH!</t>
  </si>
  <si>
    <t>338407</t>
  </si>
  <si>
    <t>7070841005871</t>
  </si>
  <si>
    <t>HUSHOLDNINGSSAFT U/TILSETT SUKKER LERUM AS</t>
  </si>
  <si>
    <t>36.4</t>
  </si>
  <si>
    <t>338406</t>
  </si>
  <si>
    <t>7070841003150</t>
  </si>
  <si>
    <t>SOLBÆRSIRUP 0,75L LERUM</t>
  </si>
  <si>
    <t>45.9</t>
  </si>
  <si>
    <t>338405</t>
  </si>
  <si>
    <t>7070841005772</t>
  </si>
  <si>
    <t>ZEROH! MRK JORDBR &amp; LERUM AS</t>
  </si>
  <si>
    <t>338404</t>
  </si>
  <si>
    <t>7070841004072</t>
  </si>
  <si>
    <t>ZEROH! MANGO &amp; LEMON 0,8L</t>
  </si>
  <si>
    <t>338403</t>
  </si>
  <si>
    <t>7057280111103</t>
  </si>
  <si>
    <t>FRISK KRANBEER SMAK 3 GODT LOKALT</t>
  </si>
  <si>
    <t>89.0</t>
  </si>
  <si>
    <t>338402</t>
  </si>
  <si>
    <t>7041614002038</t>
  </si>
  <si>
    <t>KAKEMENN 5STK BAKEHUSET</t>
  </si>
  <si>
    <t>338401</t>
  </si>
  <si>
    <t>7035620069451</t>
  </si>
  <si>
    <t>SALT K 200G FIRST PR UNIL AS</t>
  </si>
  <si>
    <t>17.4</t>
  </si>
  <si>
    <t>338400</t>
  </si>
  <si>
    <t>7039317008167</t>
  </si>
  <si>
    <t>SURDEIGKJEKS 100G S/E</t>
  </si>
  <si>
    <t>24.2</t>
  </si>
  <si>
    <t>338399</t>
  </si>
  <si>
    <t>5410041001204</t>
  </si>
  <si>
    <t>TUC KJEKS SALT 100G</t>
  </si>
  <si>
    <t>338398</t>
  </si>
  <si>
    <t>7039317003766</t>
  </si>
  <si>
    <t>SALINAS KJEKS 200G</t>
  </si>
  <si>
    <t>28.1</t>
  </si>
  <si>
    <t>338397</t>
  </si>
  <si>
    <t>7039317007351</t>
  </si>
  <si>
    <t>BIXIT SJOKOLADE 200G</t>
  </si>
  <si>
    <t>21.2</t>
  </si>
  <si>
    <t>338396</t>
  </si>
  <si>
    <t>7622300591052</t>
  </si>
  <si>
    <t>MELKESJOKOLADE KJEKS 184G FREIA MONDELEZ NORGE</t>
  </si>
  <si>
    <t>53.9</t>
  </si>
  <si>
    <t>338395</t>
  </si>
  <si>
    <t>7622300336738</t>
  </si>
  <si>
    <t>OREO KJEKS 154G</t>
  </si>
  <si>
    <t>338394</t>
  </si>
  <si>
    <t>7039317008938</t>
  </si>
  <si>
    <t>BIXIT MINI 120G SÆTR</t>
  </si>
  <si>
    <t>338393</t>
  </si>
  <si>
    <t>7039317006224</t>
  </si>
  <si>
    <t>GJENDE ORIGINAL 220G</t>
  </si>
  <si>
    <t>19.7</t>
  </si>
  <si>
    <t>338392</t>
  </si>
  <si>
    <t>7039317008440</t>
  </si>
  <si>
    <t>BALLERINA SJOKOVANIL</t>
  </si>
  <si>
    <t>16.1</t>
  </si>
  <si>
    <t>338391</t>
  </si>
  <si>
    <t>7039317008907</t>
  </si>
  <si>
    <t>DIGESTIVE KJEKS ORIG</t>
  </si>
  <si>
    <t>19.4</t>
  </si>
  <si>
    <t>338390</t>
  </si>
  <si>
    <t>7039317005203</t>
  </si>
  <si>
    <t>BALLERINA KJEKS SKOG</t>
  </si>
  <si>
    <t>22.7</t>
  </si>
  <si>
    <t>338389</t>
  </si>
  <si>
    <t>7039317008877</t>
  </si>
  <si>
    <t>PEPITA KJEKS 190G SÆ</t>
  </si>
  <si>
    <t>20.9</t>
  </si>
  <si>
    <t>338388</t>
  </si>
  <si>
    <t>7039317008143</t>
  </si>
  <si>
    <t>BALLERINA KJEKS NOUG</t>
  </si>
  <si>
    <t>338387</t>
  </si>
  <si>
    <t>7037421054353</t>
  </si>
  <si>
    <t>TOFFEE KJEKS 120G BERTHAS</t>
  </si>
  <si>
    <t>338386</t>
  </si>
  <si>
    <t>5410126006377</t>
  </si>
  <si>
    <t>BISCOFF KJEKS SANDWICH VANILJ</t>
  </si>
  <si>
    <t>338384</t>
  </si>
  <si>
    <t>7622300327958</t>
  </si>
  <si>
    <t>STRØSSEL DAIM 100G FREIA MONDELEZ NORGE</t>
  </si>
  <si>
    <t>338383</t>
  </si>
  <si>
    <t>SAFARI COOKIES ORIGI</t>
  </si>
  <si>
    <t>22.1</t>
  </si>
  <si>
    <t>338385</t>
  </si>
  <si>
    <t>7039010575201</t>
  </si>
  <si>
    <t>KIRSEBÆRKOMPOTT 455G NORA</t>
  </si>
  <si>
    <t>34.4</t>
  </si>
  <si>
    <t>338382</t>
  </si>
  <si>
    <t>0753469010041</t>
  </si>
  <si>
    <t>DAVE'S GOURMET RST GRL SWT B 25.5 FLOZ PK 6</t>
  </si>
  <si>
    <t>9.49</t>
  </si>
  <si>
    <t>338381</t>
  </si>
  <si>
    <t>0855019004040</t>
  </si>
  <si>
    <t>MOBKLYN SCE ARRABBIATA GF 32 OZ</t>
  </si>
  <si>
    <t>338380</t>
  </si>
  <si>
    <t>0711381321072</t>
  </si>
  <si>
    <t>STONEWLL BUTT SQUA 1 OZ PK 6 STONEWALL KITCHEN</t>
  </si>
  <si>
    <t>338378</t>
  </si>
  <si>
    <t>0753469010140</t>
  </si>
  <si>
    <t>DAVES HRTY MARINARA 25.5 FLOZ PK 6</t>
  </si>
  <si>
    <t>338379</t>
  </si>
  <si>
    <t>0855019004026</t>
  </si>
  <si>
    <t>MOBKLYN SCE FILTO DE PMODORO 32 OZ</t>
  </si>
  <si>
    <t>338377</t>
  </si>
  <si>
    <t>0711381321225</t>
  </si>
  <si>
    <t>TRUFFLE MARINARA SAU STONEWALL KITCHEN 17.75 OZ</t>
  </si>
  <si>
    <t>338375</t>
  </si>
  <si>
    <t>0815369019903</t>
  </si>
  <si>
    <t>CADIA MARINARA SAUCE 24 OZ</t>
  </si>
  <si>
    <t>338376</t>
  </si>
  <si>
    <t>0855019004002</t>
  </si>
  <si>
    <t>MOBKLYN SCE MARINARA GF</t>
  </si>
  <si>
    <t>338374</t>
  </si>
  <si>
    <t>0753469010034</t>
  </si>
  <si>
    <t>DAVES PASTA SCE MUSHRM 25.5 FLOZ PK 6</t>
  </si>
  <si>
    <t>338373</t>
  </si>
  <si>
    <t>0782733021452</t>
  </si>
  <si>
    <t>TASTY BITE BTTR CHCKN SMR SC</t>
  </si>
  <si>
    <t>338372</t>
  </si>
  <si>
    <t>0767532030225</t>
  </si>
  <si>
    <t>TRULY INDIAN MADRAS CURRY SA 13 OZ</t>
  </si>
  <si>
    <t>338371</t>
  </si>
  <si>
    <t>0891756000167</t>
  </si>
  <si>
    <t>MAYA KAIMAL TIKKA MASALA 12.5 OZ</t>
  </si>
  <si>
    <t>338370</t>
  </si>
  <si>
    <t>0782733021476</t>
  </si>
  <si>
    <t>TASTY BITE STH INDIA CRRY SI</t>
  </si>
  <si>
    <t>338366</t>
  </si>
  <si>
    <t>0767532030232</t>
  </si>
  <si>
    <t>TRULY INDIAN SAUCE BUTTER CH</t>
  </si>
  <si>
    <t>338365</t>
  </si>
  <si>
    <t>0858034006167</t>
  </si>
  <si>
    <t>MAYA KAIM SPICY VINDALOO 12.5 OZ</t>
  </si>
  <si>
    <t>338364</t>
  </si>
  <si>
    <t>0891756000211</t>
  </si>
  <si>
    <t>MAYA KAIMAL SIMMR BTR MASALA 12.5 OZ PK 6</t>
  </si>
  <si>
    <t>338363</t>
  </si>
  <si>
    <t>0858034006174</t>
  </si>
  <si>
    <t>MAYA KAIMAL CCNT KORMA SAUCE 12.5 OZ</t>
  </si>
  <si>
    <t>338368</t>
  </si>
  <si>
    <t>0858034006181</t>
  </si>
  <si>
    <t>MK TIKKA MARSALA 12.5 OZ</t>
  </si>
  <si>
    <t>338367</t>
  </si>
  <si>
    <t>0891756000181</t>
  </si>
  <si>
    <t>MAYA KAIMAL KASHMIRI CRY</t>
  </si>
  <si>
    <t>338369</t>
  </si>
  <si>
    <t>0782733021490</t>
  </si>
  <si>
    <t>TASTY BITE TKA MSLA SMR SCE 13 OZ</t>
  </si>
  <si>
    <t>338362</t>
  </si>
  <si>
    <t>0782733021483</t>
  </si>
  <si>
    <t>TASTYBITE SPICY VINDALOO SIM 13 OZ PK 6</t>
  </si>
  <si>
    <t>338361</t>
  </si>
  <si>
    <t>0073491530004</t>
  </si>
  <si>
    <t>KOZY SHACK PUDDING TAPIOCA 22 OZ</t>
  </si>
  <si>
    <t>Safeway</t>
  </si>
  <si>
    <t>2026-02-07</t>
  </si>
  <si>
    <t>338360</t>
  </si>
  <si>
    <t>0048696382475</t>
  </si>
  <si>
    <t>REYNALDO'S RICE PUDDING 7 OZ</t>
  </si>
  <si>
    <t>338359</t>
  </si>
  <si>
    <t>0048696002014</t>
  </si>
  <si>
    <t>REYNALDO'S RICE PUDDING NO SUGAR ADDED 7 OZ</t>
  </si>
  <si>
    <t>338358</t>
  </si>
  <si>
    <t>0850025807258</t>
  </si>
  <si>
    <t>PETIT POT DARK CHOC CRMY FRNCH DSRT 2PK 2-3.5OZ</t>
  </si>
  <si>
    <t>338357</t>
  </si>
  <si>
    <t>0043000057551</t>
  </si>
  <si>
    <t>JELLO GELATIN STRAWBERRY ORIGINAL 27 OZ</t>
  </si>
  <si>
    <t>338356</t>
  </si>
  <si>
    <t>0043000046234</t>
  </si>
  <si>
    <t>JELL O CHOCOLATE VANILLA SWIRLS</t>
  </si>
  <si>
    <t>338355</t>
  </si>
  <si>
    <t>0073491081209</t>
  </si>
  <si>
    <t>KOZY SHACK PUDDING RICE 12-4 OZ</t>
  </si>
  <si>
    <t>338354</t>
  </si>
  <si>
    <t>0073491202000</t>
  </si>
  <si>
    <t>KOZY SHACK PUDDING TAPIOCA 6-4 OZ</t>
  </si>
  <si>
    <t>338353</t>
  </si>
  <si>
    <t>0043000050910</t>
  </si>
  <si>
    <t>JELL O STRAWBERRY ZERO SUGAR 25 OZ</t>
  </si>
  <si>
    <t>338352</t>
  </si>
  <si>
    <t>0073491203007</t>
  </si>
  <si>
    <t>KOZY SHACK CHOCOLATE PUDDING LOW FAT 6-4 OZ</t>
  </si>
  <si>
    <t>338351</t>
  </si>
  <si>
    <t>0633456200238</t>
  </si>
  <si>
    <t>RAYMUNDOS ASSORTED TROPICAL SF GEL 19.5 OZ</t>
  </si>
  <si>
    <t>338350</t>
  </si>
  <si>
    <t>0073491510006</t>
  </si>
  <si>
    <t>KOZY SHACK PUDDING RICE 22 OZ</t>
  </si>
  <si>
    <t>338349</t>
  </si>
  <si>
    <t>0073491201003</t>
  </si>
  <si>
    <t>KOZY SHACK PUDDING RICE 6-4 OZ</t>
  </si>
  <si>
    <t>338347</t>
  </si>
  <si>
    <t>0073491093004</t>
  </si>
  <si>
    <t>KOZY SHACK SIMPLY WELL TAPIOCA PUDDING 4-4 OZ</t>
  </si>
  <si>
    <t>338348</t>
  </si>
  <si>
    <t>0073491095008</t>
  </si>
  <si>
    <t>KOZY SHACK SIMPLY WELL RICE PUDDING 4-4 OZ</t>
  </si>
  <si>
    <t>338346</t>
  </si>
  <si>
    <t>338345</t>
  </si>
  <si>
    <t>7340083450617</t>
  </si>
  <si>
    <t>338344</t>
  </si>
  <si>
    <t>0044082534220</t>
  </si>
  <si>
    <t>QNCESAGAIN ALMOND</t>
  </si>
  <si>
    <t>338342</t>
  </si>
  <si>
    <t>0870001002583</t>
  </si>
  <si>
    <t>ARTISANA CCNT RAW NUT BUTTER 14 OZ</t>
  </si>
  <si>
    <t>338343</t>
  </si>
  <si>
    <t>0711381026502</t>
  </si>
  <si>
    <t>STONEWALL KITCHEN HOLIDAY JA 12.5 OZ</t>
  </si>
  <si>
    <t>338341</t>
  </si>
  <si>
    <t>0711381309025</t>
  </si>
  <si>
    <t>SWK JAM PCH AP CHR STONEWALL KITCHEN 12.5 OZ</t>
  </si>
  <si>
    <t>338340</t>
  </si>
  <si>
    <t>0094922149985</t>
  </si>
  <si>
    <t>BARNEY BUTTER NAT ALMOND BUT 10 OZ</t>
  </si>
  <si>
    <t>338339</t>
  </si>
  <si>
    <t>0711381000663</t>
  </si>
  <si>
    <t>STONEWALL KITCHEN STRAW JAM 12.5 OZ</t>
  </si>
  <si>
    <t>338338</t>
  </si>
  <si>
    <t>0711381327609</t>
  </si>
  <si>
    <t>STONE KITCH JAM 12.5 FLOZ</t>
  </si>
  <si>
    <t>338337</t>
  </si>
  <si>
    <t>0711381332290</t>
  </si>
  <si>
    <t>STONE KITCH JAM 12.5 OZ PK 12</t>
  </si>
  <si>
    <t>338336</t>
  </si>
  <si>
    <t>0711381025420</t>
  </si>
  <si>
    <t>STONE KITCH MARM 13 OZ</t>
  </si>
  <si>
    <t>338335</t>
  </si>
  <si>
    <t>0850032823265</t>
  </si>
  <si>
    <t>NUTTZO CHURRO NUT SEED BUTTE 16 OZ</t>
  </si>
  <si>
    <t>338334</t>
  </si>
  <si>
    <t>0186852000389</t>
  </si>
  <si>
    <t>Talenti Tahitian Vanilla Bean 16 oz</t>
  </si>
  <si>
    <t>Smart &amp; Final extra!</t>
  </si>
  <si>
    <t>2026-09-27</t>
  </si>
  <si>
    <t>338333</t>
  </si>
  <si>
    <t>0076840100811</t>
  </si>
  <si>
    <t>Ben &amp; Jerry's Peanut Butter Cup Ice Cream 16 oz</t>
  </si>
  <si>
    <t>338332</t>
  </si>
  <si>
    <t>Ben &amp; Jerry's Milk &amp; Cookies Ice Cream 16 oz</t>
  </si>
  <si>
    <t>338331</t>
  </si>
  <si>
    <t>0852455005518</t>
  </si>
  <si>
    <t>Baskin Robbins Wild N Reckless Sherbet 14 oz</t>
  </si>
  <si>
    <t>6.09</t>
  </si>
  <si>
    <t>338330</t>
  </si>
  <si>
    <t>0076840002351</t>
  </si>
  <si>
    <t>BJ Gimmesomre 16 oz</t>
  </si>
  <si>
    <t>338329</t>
  </si>
  <si>
    <t>0076840529872</t>
  </si>
  <si>
    <t>BJ Brownie Batter 16 oz</t>
  </si>
  <si>
    <t>338328</t>
  </si>
  <si>
    <t>0076840674442</t>
  </si>
  <si>
    <t>Ben &amp; Jerry Non Dairy Cherry Garcia 16 oz</t>
  </si>
  <si>
    <t>338327</t>
  </si>
  <si>
    <t>0186852000365</t>
  </si>
  <si>
    <t>Talenti Mediterranean Mint Gelato 16oz</t>
  </si>
  <si>
    <t>338325</t>
  </si>
  <si>
    <t>0186852000600</t>
  </si>
  <si>
    <t>Talenti Southern Butter Pecan 16 oz</t>
  </si>
  <si>
    <t>338326</t>
  </si>
  <si>
    <t>0186852000334</t>
  </si>
  <si>
    <t>Talenti Caramel Cookie Crunch 16 oz</t>
  </si>
  <si>
    <t>338324</t>
  </si>
  <si>
    <t>0076840102075</t>
  </si>
  <si>
    <t>Ben &amp; Jerrys SC Americone Dream 16 oz</t>
  </si>
  <si>
    <t>338323</t>
  </si>
  <si>
    <t>0850027984001</t>
  </si>
  <si>
    <t>Afters Cookie Monster Pint Ice Cream 16 oz</t>
  </si>
  <si>
    <t>338321</t>
  </si>
  <si>
    <t>0858089003050</t>
  </si>
  <si>
    <t>Halo Top Dairy Vanilla Bean</t>
  </si>
  <si>
    <t>338322</t>
  </si>
  <si>
    <t>0850027984247</t>
  </si>
  <si>
    <t>Afters Salty O's Ice Cream 16 oz</t>
  </si>
  <si>
    <t>338320</t>
  </si>
  <si>
    <t>Ben &amp; Jerrys Phish Food Ice Cream 16 oz</t>
  </si>
  <si>
    <t>338319</t>
  </si>
  <si>
    <t>0076840400218</t>
  </si>
  <si>
    <t>Ben &amp; Jerrys Strawberry Cheesecake Ice Cream 16 oz</t>
  </si>
  <si>
    <t>338318</t>
  </si>
  <si>
    <t>0076840003051</t>
  </si>
  <si>
    <t>BJ Top Sltdccrmbrwnie 15.2 oz</t>
  </si>
  <si>
    <t>338317</t>
  </si>
  <si>
    <t>0076840101320</t>
  </si>
  <si>
    <t>Ben &amp; Jerrys Half Baked Ice Cream</t>
  </si>
  <si>
    <t>338316</t>
  </si>
  <si>
    <t>0076840100583</t>
  </si>
  <si>
    <t>Ben &amp; Jerrys Chocolate Chip Cookie Dough Ice Cream</t>
  </si>
  <si>
    <t>338315</t>
  </si>
  <si>
    <t>Ben &amp; Jerrys The Tonight Dough 16 oz</t>
  </si>
  <si>
    <t>338314</t>
  </si>
  <si>
    <t>338313</t>
  </si>
  <si>
    <t>7611612150729</t>
  </si>
  <si>
    <t>6.67</t>
  </si>
  <si>
    <t>338312</t>
  </si>
  <si>
    <t>7611612150736</t>
  </si>
  <si>
    <t>338311</t>
  </si>
  <si>
    <t>0694501121779</t>
  </si>
  <si>
    <t>BATH SCALE</t>
  </si>
  <si>
    <t>19.44</t>
  </si>
  <si>
    <t>Walmart Supercenter</t>
  </si>
  <si>
    <t>338309</t>
  </si>
  <si>
    <t>0884912434296</t>
  </si>
  <si>
    <t>HONEYCOMB</t>
  </si>
  <si>
    <t>6.82</t>
  </si>
  <si>
    <t>338310</t>
  </si>
  <si>
    <t>0805106896850</t>
  </si>
  <si>
    <t>MONSTER LED</t>
  </si>
  <si>
    <t>19.88</t>
  </si>
  <si>
    <t>338308</t>
  </si>
  <si>
    <t>0072600057180</t>
  </si>
  <si>
    <t>CFA SAUC CHP</t>
  </si>
  <si>
    <t>4.78</t>
  </si>
  <si>
    <t>338307</t>
  </si>
  <si>
    <t>0629070800336</t>
  </si>
  <si>
    <t>KICKING HORSE COFFEE HAP CMP</t>
  </si>
  <si>
    <t>18.99</t>
  </si>
  <si>
    <t>338306</t>
  </si>
  <si>
    <t>0041953029311</t>
  </si>
  <si>
    <t>LAVAZZA INTNSO DRKRST COFFEE 12 OZ PK 6</t>
  </si>
  <si>
    <t>17.99</t>
  </si>
  <si>
    <t>338305</t>
  </si>
  <si>
    <t>0051497474317</t>
  </si>
  <si>
    <t>OVAL COFFEE ROASTERS BOWLNG 8 CT</t>
  </si>
  <si>
    <t>338304</t>
  </si>
  <si>
    <t>0051497474294</t>
  </si>
  <si>
    <t>OVAL COFFEE ROASTER RIVERSID 8 CT</t>
  </si>
  <si>
    <t>338303</t>
  </si>
  <si>
    <t>0051497411633</t>
  </si>
  <si>
    <t>OVAL COFFEE ROASTERS LITTLE</t>
  </si>
  <si>
    <t>338302</t>
  </si>
  <si>
    <t>0629070800275</t>
  </si>
  <si>
    <t>KICKING SMART ASS WHL COFF</t>
  </si>
  <si>
    <t>338301</t>
  </si>
  <si>
    <t>0051497411657</t>
  </si>
  <si>
    <t>OVAL COFFEE ROASTERS BOWLING 8 OZ PK 6</t>
  </si>
  <si>
    <t>338298</t>
  </si>
  <si>
    <t>0041953075080</t>
  </si>
  <si>
    <t>LAVAZZA ITALIAN ROAST COFFEE</t>
  </si>
  <si>
    <t>338299</t>
  </si>
  <si>
    <t>0041953075066</t>
  </si>
  <si>
    <t>LAVAZZA CLASSICO COFFEE 12 OZ PK 6</t>
  </si>
  <si>
    <t>338300</t>
  </si>
  <si>
    <t>0041953001942</t>
  </si>
  <si>
    <t>LAVAZZA PERFETTO COFFEE 12 OZ PK 6</t>
  </si>
  <si>
    <t>338297</t>
  </si>
  <si>
    <t>0070328010876</t>
  </si>
  <si>
    <t>OLD BAY BLACKENED SEASONING 2.25 OZ</t>
  </si>
  <si>
    <t>338295</t>
  </si>
  <si>
    <t>0070328005230</t>
  </si>
  <si>
    <t>OLD BAY SEASONING 6 OZ</t>
  </si>
  <si>
    <t>338294</t>
  </si>
  <si>
    <t>0850053731051</t>
  </si>
  <si>
    <t>LE TRAT WHITE TRUFFL SAUC</t>
  </si>
  <si>
    <t>11.99</t>
  </si>
  <si>
    <t>338293</t>
  </si>
  <si>
    <t>0812907013058</t>
  </si>
  <si>
    <t>HIMALANIA PINK SALT GRINDER</t>
  </si>
  <si>
    <t>338292</t>
  </si>
  <si>
    <t>0850053731099</t>
  </si>
  <si>
    <t>COLLE DE TRUFFLE SAUCE</t>
  </si>
  <si>
    <t>338291</t>
  </si>
  <si>
    <t>0649241838135</t>
  </si>
  <si>
    <t>ALA SALT FINEGRAIN SHAKER 6 OZ</t>
  </si>
  <si>
    <t>338290</t>
  </si>
  <si>
    <t>0021718412169</t>
  </si>
  <si>
    <t>A VOGEL HERBAMARE SSNG SLT 8.8 OZ</t>
  </si>
  <si>
    <t>338289</t>
  </si>
  <si>
    <t>0812907010361</t>
  </si>
  <si>
    <t>NATIERRA PINK SALT SHAKER 6 OZ</t>
  </si>
  <si>
    <t>338288</t>
  </si>
  <si>
    <t>0071429015708</t>
  </si>
  <si>
    <t>ZTRNS CRB SHRMP BOIL 3 OZ PK 6</t>
  </si>
  <si>
    <t>338296</t>
  </si>
  <si>
    <t>0856308000064</t>
  </si>
  <si>
    <t>NATIER HIMALY FINE PNK SALT 10 OZ PK 6</t>
  </si>
  <si>
    <t>338287</t>
  </si>
  <si>
    <t>0071429144866</t>
  </si>
  <si>
    <t>ZAT SNG BOIL LIQ SHRIMP 4 FLOZ</t>
  </si>
  <si>
    <t>338286</t>
  </si>
  <si>
    <t>0856308000057</t>
  </si>
  <si>
    <t>NATIER HIML COARS PNK SALT 9 OZ</t>
  </si>
  <si>
    <t>338285</t>
  </si>
  <si>
    <t>0875863002085</t>
  </si>
  <si>
    <t>IRVING FARMS COFFEE 71 HOUSE 12 OZ PK 6</t>
  </si>
  <si>
    <t>338284</t>
  </si>
  <si>
    <t>0180626000599</t>
  </si>
  <si>
    <t>STUMPT SUMTR WHLE 12 OZ</t>
  </si>
  <si>
    <t>21.99</t>
  </si>
  <si>
    <t>338283</t>
  </si>
  <si>
    <t>0860011930877</t>
  </si>
  <si>
    <t>SOUTH STREET SUPER DARK IRVI 10.58 OZ</t>
  </si>
  <si>
    <t>338282</t>
  </si>
  <si>
    <t>0663505000212</t>
  </si>
  <si>
    <t>COUNTER CULTURE HLGRM WHL CO</t>
  </si>
  <si>
    <t>338281</t>
  </si>
  <si>
    <t>0875863002443</t>
  </si>
  <si>
    <t>IRVING FARMS DECAFE COFFEE 12 OZ PK 6</t>
  </si>
  <si>
    <t>338280</t>
  </si>
  <si>
    <t>0856387008838</t>
  </si>
  <si>
    <t>COFFEE WHOLE BEANS 10 OZ</t>
  </si>
  <si>
    <t>338278</t>
  </si>
  <si>
    <t>0663505002063</t>
  </si>
  <si>
    <t>COUNTER CULTURE BT 12 OZ PK 6</t>
  </si>
  <si>
    <t>338279</t>
  </si>
  <si>
    <t>0875863002009</t>
  </si>
  <si>
    <t>IRVING FARM COFFEE BLACKSTRA</t>
  </si>
  <si>
    <t>338276</t>
  </si>
  <si>
    <t>0663505003138</t>
  </si>
  <si>
    <t>COUNTER CULTURE APOLLO 12 OZ</t>
  </si>
  <si>
    <t>338277</t>
  </si>
  <si>
    <t>STUMPT SUMTR WHLE</t>
  </si>
  <si>
    <t>338275</t>
  </si>
  <si>
    <t>0043000042991</t>
  </si>
  <si>
    <t>GEVALIA HSE BLEND GRND CFFEE 12 OZ</t>
  </si>
  <si>
    <t>338273</t>
  </si>
  <si>
    <t>0762111206121</t>
  </si>
  <si>
    <t>STARBUCK FRNCH RST WHL BEAN 12 OZ</t>
  </si>
  <si>
    <t>338274</t>
  </si>
  <si>
    <t>0762111206053</t>
  </si>
  <si>
    <t>STARBUCK HOUSE BLND GRND 12 OZ PK 6</t>
  </si>
  <si>
    <t>338271</t>
  </si>
  <si>
    <t>0762111810564</t>
  </si>
  <si>
    <t>STARBUCK CARAMEL GROUND</t>
  </si>
  <si>
    <t>338272</t>
  </si>
  <si>
    <t>0762111206138</t>
  </si>
  <si>
    <t>STARBUCK FRENCH RST GRND</t>
  </si>
  <si>
    <t>338270</t>
  </si>
  <si>
    <t>0043000009192</t>
  </si>
  <si>
    <t>MAXWELL HOUSE INT FRNCH VAN 4.3 OZ PK 8</t>
  </si>
  <si>
    <t>6.49</t>
  </si>
  <si>
    <t>338269</t>
  </si>
  <si>
    <t>0043000043004</t>
  </si>
  <si>
    <t>GEVALIA FRNCH RST GRND CFFEE 12 OZ PK 6</t>
  </si>
  <si>
    <t>338268</t>
  </si>
  <si>
    <t>0043000042960</t>
  </si>
  <si>
    <t>GEVALIA TRAD MED RST COFFEE 12 OZ PK 6</t>
  </si>
  <si>
    <t>338266</t>
  </si>
  <si>
    <t>0762111622877</t>
  </si>
  <si>
    <t>STARBUCK CAFE VERONA GROUND 12 OZ PK 6</t>
  </si>
  <si>
    <t>338265</t>
  </si>
  <si>
    <t>0762111795755</t>
  </si>
  <si>
    <t>STARBUCK PIKE PLC GROUND 12 OZ PK 6</t>
  </si>
  <si>
    <t>338267</t>
  </si>
  <si>
    <t>0043000009208</t>
  </si>
  <si>
    <t>MAXWELL HOUSE INT SF MOCHA 4.4 OZ PK 8</t>
  </si>
  <si>
    <t>338264</t>
  </si>
  <si>
    <t>0656385000380</t>
  </si>
  <si>
    <t>D A HMLYN PNK SLT</t>
  </si>
  <si>
    <t>338263</t>
  </si>
  <si>
    <t>0755795375276</t>
  </si>
  <si>
    <t>KINDERS BUTTERY STEAK HOUSE</t>
  </si>
  <si>
    <t>338262</t>
  </si>
  <si>
    <t>0755795375825</t>
  </si>
  <si>
    <t>KINDERS SEASONING COWBOY BUT</t>
  </si>
  <si>
    <t>338261</t>
  </si>
  <si>
    <t>0755795375504</t>
  </si>
  <si>
    <t>KINDERS STEAK BLEND SEASONIN 6.2 OZ PK 6</t>
  </si>
  <si>
    <t>338260</t>
  </si>
  <si>
    <t>0656385356005</t>
  </si>
  <si>
    <t>D A BLK PEPPERCORNS</t>
  </si>
  <si>
    <t>338259</t>
  </si>
  <si>
    <t>0755795375702</t>
  </si>
  <si>
    <t>KINDERS RUB PRIME STEAK 5 OZ PK 6</t>
  </si>
  <si>
    <t>338258</t>
  </si>
  <si>
    <t>0755795375450</t>
  </si>
  <si>
    <t>KINDER US SSNG BUTCHERS ALL</t>
  </si>
  <si>
    <t>338257</t>
  </si>
  <si>
    <t>0656385363003</t>
  </si>
  <si>
    <t>D A MEDITERRANEAN SALT 3.18 OZ PK 6</t>
  </si>
  <si>
    <t>338256</t>
  </si>
  <si>
    <t>0656385359006</t>
  </si>
  <si>
    <t>A 4 SEAS PEPPERCORNS 1.24 OZ</t>
  </si>
  <si>
    <t>338255</t>
  </si>
  <si>
    <t>0755795175012</t>
  </si>
  <si>
    <t>KINDERS THE BLEND SEASONING 6.25 OZ</t>
  </si>
  <si>
    <t>338254</t>
  </si>
  <si>
    <t>0071072003664</t>
  </si>
  <si>
    <t>SI WHITE PEPPERCORN</t>
  </si>
  <si>
    <t>338253</t>
  </si>
  <si>
    <t>5694110039293</t>
  </si>
  <si>
    <t>SALTVERK LAVA SALT</t>
  </si>
  <si>
    <t>338252</t>
  </si>
  <si>
    <t>5694110039279</t>
  </si>
  <si>
    <t>SALTVERK BIRCH SMOKED SALT 3.17 OZ</t>
  </si>
  <si>
    <t>338251</t>
  </si>
  <si>
    <t>0071072003688</t>
  </si>
  <si>
    <t>ALESSI SEA SALT GRINDER 2.83 OZ</t>
  </si>
  <si>
    <t>338250</t>
  </si>
  <si>
    <t>0021500013222</t>
  </si>
  <si>
    <t>LAWRY LESS SOD GARLIC SALT 5.62 OZ</t>
  </si>
  <si>
    <t>338249</t>
  </si>
  <si>
    <t>0016291443709</t>
  </si>
  <si>
    <t>AS GARLIC PWDR 2.6 OZ PK 3</t>
  </si>
  <si>
    <t>338248</t>
  </si>
  <si>
    <t>0016291442139</t>
  </si>
  <si>
    <t>ORGANIC GROUND CIN 2.2 OZ PK 3</t>
  </si>
  <si>
    <t>338247</t>
  </si>
  <si>
    <t>0016291442207</t>
  </si>
  <si>
    <t>ORGANIC GROUND CUM</t>
  </si>
  <si>
    <t>338246</t>
  </si>
  <si>
    <t>0016291444010</t>
  </si>
  <si>
    <t>ADOBO SALT FREE 2 OZ PK 3</t>
  </si>
  <si>
    <t>11.49</t>
  </si>
  <si>
    <t>338245</t>
  </si>
  <si>
    <t>0016291442887</t>
  </si>
  <si>
    <t>ORGANIC CHILI POWD 2.1 OZ</t>
  </si>
  <si>
    <t>338244</t>
  </si>
  <si>
    <t>0071092000209</t>
  </si>
  <si>
    <t>WICK FOWLERS 2 ALARM CHILI 3.3 OZ</t>
  </si>
  <si>
    <t>338243</t>
  </si>
  <si>
    <t>0016291442146</t>
  </si>
  <si>
    <t>ORGANIC CINNAMON S</t>
  </si>
  <si>
    <t>338242</t>
  </si>
  <si>
    <t>0016291443549</t>
  </si>
  <si>
    <t>BASSETT ORGANIC TAR 0.3 OZ PK 3</t>
  </si>
  <si>
    <t>338241</t>
  </si>
  <si>
    <t>0817885000052</t>
  </si>
  <si>
    <t>SLAP YA MAMA CAJUN SEASONING 16 OZ</t>
  </si>
  <si>
    <t>338239</t>
  </si>
  <si>
    <t>0021500000529</t>
  </si>
  <si>
    <t>LAWRY SEASONED SALT 8 OZ</t>
  </si>
  <si>
    <t>338240</t>
  </si>
  <si>
    <t>0024182002096</t>
  </si>
  <si>
    <t>EDEN SEAWEED GOMASIO 3.5 OZ</t>
  </si>
  <si>
    <t>338238</t>
  </si>
  <si>
    <t>0052100049700</t>
  </si>
  <si>
    <t>MCCORMICK PRF PNCH LEM PEPPR 5.75 OZ</t>
  </si>
  <si>
    <t>338237</t>
  </si>
  <si>
    <t>0016291442047</t>
  </si>
  <si>
    <t>MORT BASS ORGANIC BASIL 0.4 OZ PK 3</t>
  </si>
  <si>
    <t>338236</t>
  </si>
  <si>
    <t>0024600010986</t>
  </si>
  <si>
    <t>MORTON SALT PEPPER 2PK 5.25 OZ</t>
  </si>
  <si>
    <t>338234</t>
  </si>
  <si>
    <t>0818581010413</t>
  </si>
  <si>
    <t>HIMAL SLT ON PEPR 3.5 OZ</t>
  </si>
  <si>
    <t>338233</t>
  </si>
  <si>
    <t>0728028260274</t>
  </si>
  <si>
    <t>OMNIVORE SALT</t>
  </si>
  <si>
    <t>338232</t>
  </si>
  <si>
    <t>338231</t>
  </si>
  <si>
    <t>0052100049694</t>
  </si>
  <si>
    <t>MCCORMICK PRF PNCH CAJUN 5 OZ</t>
  </si>
  <si>
    <t>338230</t>
  </si>
  <si>
    <t>0089836221063</t>
  </si>
  <si>
    <t>SIMPLY ORGANIC HTCH CHLE FNS 2.61 OZ</t>
  </si>
  <si>
    <t>338229</t>
  </si>
  <si>
    <t>0052100049717</t>
  </si>
  <si>
    <t>MCCORMICK PERFECT PNCH STEAK 7 OZ</t>
  </si>
  <si>
    <t>338228</t>
  </si>
  <si>
    <t>8058268351077</t>
  </si>
  <si>
    <t>COLLE DEL TARTUFO TRUFFLE DU 2.2 OZ</t>
  </si>
  <si>
    <t>338227</t>
  </si>
  <si>
    <t>0052100040837</t>
  </si>
  <si>
    <t>MCCORM GRILLMATES BBQ 6 OZ PK 6</t>
  </si>
  <si>
    <t>338226</t>
  </si>
  <si>
    <t>0089836221087</t>
  </si>
  <si>
    <t>SIMPLY ORGANIC BLCK GRLC FNS</t>
  </si>
  <si>
    <t>338235</t>
  </si>
  <si>
    <t>0089836221056</t>
  </si>
  <si>
    <t>SIMPLY ORGANIC CTRS RSMR FNS 2.58 OZ</t>
  </si>
  <si>
    <t>338225</t>
  </si>
  <si>
    <t>0791344424255</t>
  </si>
  <si>
    <t>HAWAIIAN ISLAND CABERNET DE</t>
  </si>
  <si>
    <t>16.49</t>
  </si>
  <si>
    <t>338224</t>
  </si>
  <si>
    <t>0728060107209</t>
  </si>
  <si>
    <t>CELT SEA SALT FINE GRND SHAK 8 OZ</t>
  </si>
  <si>
    <t>338223</t>
  </si>
  <si>
    <t>0850020861736</t>
  </si>
  <si>
    <t>TRUFFLE SALT BLACK TRUFF 5.3 OZ</t>
  </si>
  <si>
    <t>338222</t>
  </si>
  <si>
    <t>0021273200164</t>
  </si>
  <si>
    <t>GUNTERS HNY WILDFLOWER 16 OZ</t>
  </si>
  <si>
    <t>338221</t>
  </si>
  <si>
    <t>0021273700169</t>
  </si>
  <si>
    <t>GUNTERS CLVR CRM HNY 16 OZ</t>
  </si>
  <si>
    <t>338220</t>
  </si>
  <si>
    <t>0021273500165</t>
  </si>
  <si>
    <t>GUNTERS HNY OR BLOSSOM</t>
  </si>
  <si>
    <t>338219</t>
  </si>
  <si>
    <t>0075002340164</t>
  </si>
  <si>
    <t>LOCAL HIVE ORNG BLOSSOM HONE 16 OZ</t>
  </si>
  <si>
    <t>338218</t>
  </si>
  <si>
    <t>0078196988501</t>
  </si>
  <si>
    <t>LANGNESE SUMMER FLOWER HONEY 17.6 OZ</t>
  </si>
  <si>
    <t>338217</t>
  </si>
  <si>
    <t>LOCAL HIVE CLOVER HONEY 16 OZ</t>
  </si>
  <si>
    <t>338216</t>
  </si>
  <si>
    <t>LR RICE WLDFLWR LOCAL 16 OZ</t>
  </si>
  <si>
    <t>338215</t>
  </si>
  <si>
    <t>0075002999997</t>
  </si>
  <si>
    <t>LOCAL HIVE NORTHEAST HONEY 16 OZ</t>
  </si>
  <si>
    <t>338214</t>
  </si>
  <si>
    <t>0075002180166</t>
  </si>
  <si>
    <t>LOCAL HIVE RAW HONEY 16 OZ</t>
  </si>
  <si>
    <t>338213</t>
  </si>
  <si>
    <t>0021273100167</t>
  </si>
  <si>
    <t>GUNTERS HNY CLOVER 16 OZ</t>
  </si>
  <si>
    <t>338212</t>
  </si>
  <si>
    <t>0021273600162</t>
  </si>
  <si>
    <t>GUNTERS GLDN HNY 16 OZ</t>
  </si>
  <si>
    <t>338211</t>
  </si>
  <si>
    <t>0711381021002</t>
  </si>
  <si>
    <t>STONEWALL SMALL WI 8.5 OZ</t>
  </si>
  <si>
    <t>338210</t>
  </si>
  <si>
    <t>0852913003018</t>
  </si>
  <si>
    <t>CRWN MPL AMBER COLOR 12.7 FLOZ</t>
  </si>
  <si>
    <t>338209</t>
  </si>
  <si>
    <t>0024182491159</t>
  </si>
  <si>
    <t>EDEN BARLEY 20 OZ</t>
  </si>
  <si>
    <t>338207</t>
  </si>
  <si>
    <t>0711381020999</t>
  </si>
  <si>
    <t>STNWALL MAPLE SYRUP 8.5 FLOZ</t>
  </si>
  <si>
    <t>338208</t>
  </si>
  <si>
    <t>0854048006063</t>
  </si>
  <si>
    <t>FINDING ORG MAPLE SYRUP GLAS 8 FLOZ PK 6</t>
  </si>
  <si>
    <t>338206</t>
  </si>
  <si>
    <t>0711381031872</t>
  </si>
  <si>
    <t>SK CINN APPLE SYRU 8.5 FLOZ</t>
  </si>
  <si>
    <t>338205</t>
  </si>
  <si>
    <t>0852913003506</t>
  </si>
  <si>
    <t>CROWN MAPLE SYRUP MPLE MDGSC</t>
  </si>
  <si>
    <t>338204</t>
  </si>
  <si>
    <t>0734027904705</t>
  </si>
  <si>
    <t>THE GINGER PEOPLE GINGER SYR 8 FLOZ</t>
  </si>
  <si>
    <t>338203</t>
  </si>
  <si>
    <t>0074683005515</t>
  </si>
  <si>
    <t>VERMONT SUGAR FREE SYRUP 12 FLOZ</t>
  </si>
  <si>
    <t>338202</t>
  </si>
  <si>
    <t>0843076000266</t>
  </si>
  <si>
    <t>LAKANTO MAPLE SYRUP 13 FLOZ</t>
  </si>
  <si>
    <t>338200</t>
  </si>
  <si>
    <t>0710282439121</t>
  </si>
  <si>
    <t>COOMBS FAM FARMS ORG MAPLE S</t>
  </si>
  <si>
    <t>338201</t>
  </si>
  <si>
    <t>0710282339124</t>
  </si>
  <si>
    <t>COOMBS ORGANIC MAPLE SYRUP 12 FLOZ</t>
  </si>
  <si>
    <t>338199</t>
  </si>
  <si>
    <t>0711381335321</t>
  </si>
  <si>
    <t>STN WLL BRBN SYRUP 8.5 OZ</t>
  </si>
  <si>
    <t>338198</t>
  </si>
  <si>
    <t>0767335077793</t>
  </si>
  <si>
    <t>DR MCDS RTS LS VEG SOUP 17.9 OZ PK 6</t>
  </si>
  <si>
    <t>338197</t>
  </si>
  <si>
    <t>0747479400206</t>
  </si>
  <si>
    <t>RAOS SOUP TUSCAN BEEF 16 OZ</t>
  </si>
  <si>
    <t>338196</t>
  </si>
  <si>
    <t>0041000014857</t>
  </si>
  <si>
    <t>LIPTON CUP A SOUP CRM OF CKN 2.4 OZ PK 12</t>
  </si>
  <si>
    <t>338195</t>
  </si>
  <si>
    <t>0041000014802</t>
  </si>
  <si>
    <t>LIPTON CUP A SOUP CHICK NOOD</t>
  </si>
  <si>
    <t>338194</t>
  </si>
  <si>
    <t>00851732</t>
  </si>
  <si>
    <t>KETTLE &amp; FIRE ORG CHK ANCNT</t>
  </si>
  <si>
    <t>338193</t>
  </si>
  <si>
    <t>0855868002044</t>
  </si>
  <si>
    <t>ZOUP BLACK CHILI BEAN</t>
  </si>
  <si>
    <t>338192</t>
  </si>
  <si>
    <t>0851702007695</t>
  </si>
  <si>
    <t>KETTLE &amp; FIRE ORG ITAL WED H 16 OZ</t>
  </si>
  <si>
    <t>338191</t>
  </si>
  <si>
    <t>0855868002181</t>
  </si>
  <si>
    <t>ZOUP PORTABELLA MUSH BISQ 16 OZ</t>
  </si>
  <si>
    <t>338190</t>
  </si>
  <si>
    <t>0855868002310</t>
  </si>
  <si>
    <t>ZOUOS WHITE CHICKEN CHILI 16 OZ</t>
  </si>
  <si>
    <t>338187</t>
  </si>
  <si>
    <t>0855868002167</t>
  </si>
  <si>
    <t>ZOUP CHICKEN &amp; RICED CAULIFL 16 OZ</t>
  </si>
  <si>
    <t>338188</t>
  </si>
  <si>
    <t>0747479400039</t>
  </si>
  <si>
    <t>RAOS TOMATO BASIL SOUP 16 OZ PK 6</t>
  </si>
  <si>
    <t>338189</t>
  </si>
  <si>
    <t>0855868002174</t>
  </si>
  <si>
    <t>ZOUP BUTTERNUT SQUASH SOUP 16 OZ</t>
  </si>
  <si>
    <t>338185</t>
  </si>
  <si>
    <t>0044963270223</t>
  </si>
  <si>
    <t>SPICY OIL CALABRAIN CHILIS 6.7 OZ</t>
  </si>
  <si>
    <t>338184</t>
  </si>
  <si>
    <t>0852955007258</t>
  </si>
  <si>
    <t>MOROCCAN XTRA VIRG 33.8 FLOZ PK 6</t>
  </si>
  <si>
    <t>26.99</t>
  </si>
  <si>
    <t>338183</t>
  </si>
  <si>
    <t>0860009082878</t>
  </si>
  <si>
    <t>GRAZA DRIZZLE XTRA VRGN OLIV 11.8 FLOZ</t>
  </si>
  <si>
    <t>338182</t>
  </si>
  <si>
    <t>0656285206219</t>
  </si>
  <si>
    <t>PARTANNA EXTRA VIRGIN OLIVE 16.9 FLOZ PK 1</t>
  </si>
  <si>
    <t>338181</t>
  </si>
  <si>
    <t>0656285170398</t>
  </si>
  <si>
    <t>PARTANNA ORG EXTRA VIRGIN</t>
  </si>
  <si>
    <t>338180</t>
  </si>
  <si>
    <t>0656285176253</t>
  </si>
  <si>
    <t>PARTANNA OIL OLIV EX VRGN MI 17 FLOZ PK 6</t>
  </si>
  <si>
    <t>338179</t>
  </si>
  <si>
    <t>0022506108059</t>
  </si>
  <si>
    <t>SPECTRUM OVX UNREF ORG</t>
  </si>
  <si>
    <t>13.0</t>
  </si>
  <si>
    <t>338178</t>
  </si>
  <si>
    <t>0656285176277</t>
  </si>
  <si>
    <t>RTANNA OIL OILVE EX VIRGIN 17 FLOZ</t>
  </si>
  <si>
    <t>338177</t>
  </si>
  <si>
    <t>0041736001909</t>
  </si>
  <si>
    <t>FIL BERIO OLIVE OIL 8.4 FLOZ PK 12</t>
  </si>
  <si>
    <t>338176</t>
  </si>
  <si>
    <t>5201043106321</t>
  </si>
  <si>
    <t>ILIADA THE CHEF'S WAY KALAMA</t>
  </si>
  <si>
    <t>338175</t>
  </si>
  <si>
    <t>0850020861101</t>
  </si>
  <si>
    <t>TRUFF OIL BLACK TRUFF OLIVE 6 FLOZ PK 6</t>
  </si>
  <si>
    <t>24.99</t>
  </si>
  <si>
    <t>338174</t>
  </si>
  <si>
    <t>FIL BERIO OLIVE OIL 8.4 FLOZ</t>
  </si>
  <si>
    <t>338173</t>
  </si>
  <si>
    <t>0840224601139</t>
  </si>
  <si>
    <t>PRIMAL KITCHEN CSHW KLE PTSO 16 OZ</t>
  </si>
  <si>
    <t>338172</t>
  </si>
  <si>
    <t>0850041276045</t>
  </si>
  <si>
    <t>SAUZ HOT HONEY MARINARA</t>
  </si>
  <si>
    <t>338171</t>
  </si>
  <si>
    <t>0782301236943</t>
  </si>
  <si>
    <t>JI GRAVY VODKA SAUCE 24 OZ</t>
  </si>
  <si>
    <t>338170</t>
  </si>
  <si>
    <t>0850041276052</t>
  </si>
  <si>
    <t>SAUZ SUMMER LEMON MARINARA 25 OZ</t>
  </si>
  <si>
    <t>338169</t>
  </si>
  <si>
    <t>0782301236929</t>
  </si>
  <si>
    <t>JI GRVY TMT BSL SAUCE</t>
  </si>
  <si>
    <t>338168</t>
  </si>
  <si>
    <t>0876045006440</t>
  </si>
  <si>
    <t>LITTLE ITALY ALFREDO SAUCE 15 OZ</t>
  </si>
  <si>
    <t>338167</t>
  </si>
  <si>
    <t>0840224601146</t>
  </si>
  <si>
    <t>PRIMAL KITCHEN CREAMY CASHEW 16 OZ</t>
  </si>
  <si>
    <t>338166</t>
  </si>
  <si>
    <t>0850041276120</t>
  </si>
  <si>
    <t>SAUZ WILD ROSEMARY MARINARA 25 OZ</t>
  </si>
  <si>
    <t>338165</t>
  </si>
  <si>
    <t>0753469015015</t>
  </si>
  <si>
    <t>DAVES GOURMET PAST SC WHT CH 15 OZ</t>
  </si>
  <si>
    <t>338164</t>
  </si>
  <si>
    <t>0850004639054</t>
  </si>
  <si>
    <t>PRIMALKI SC ALFRD ND AVO OI 15.5 OZ</t>
  </si>
  <si>
    <t>338163</t>
  </si>
  <si>
    <t>0040232639760</t>
  </si>
  <si>
    <t>POMONTE GRAPESEED OIL</t>
  </si>
  <si>
    <t>338161</t>
  </si>
  <si>
    <t>0885616006567</t>
  </si>
  <si>
    <t>PLRM AVO OIL 17 FLOZ PK 6</t>
  </si>
  <si>
    <t>338159</t>
  </si>
  <si>
    <t>0191414003722</t>
  </si>
  <si>
    <t>LITALY AVOCADO OIL</t>
  </si>
  <si>
    <t>338158</t>
  </si>
  <si>
    <t>0022506111202</t>
  </si>
  <si>
    <t>SPECTRUM SAFFLOWER OIL EXPEL 32 FLOZ</t>
  </si>
  <si>
    <t>338155</t>
  </si>
  <si>
    <t>0022506102606</t>
  </si>
  <si>
    <t>SPECTRUM SHORTENING OG 24 OZ</t>
  </si>
  <si>
    <t>338153</t>
  </si>
  <si>
    <t>0854259005107</t>
  </si>
  <si>
    <t>LA TOURANGELLE ORG SUNFLOWER</t>
  </si>
  <si>
    <t>338152</t>
  </si>
  <si>
    <t>0196005251957</t>
  </si>
  <si>
    <t>CRISCO BUTTER SHRTNNG STCK 20 OZ</t>
  </si>
  <si>
    <t>338151</t>
  </si>
  <si>
    <t>0196005251889</t>
  </si>
  <si>
    <t>CRISCO SHORTENING STICKS 20 OZ</t>
  </si>
  <si>
    <t>338149</t>
  </si>
  <si>
    <t>0196005242504</t>
  </si>
  <si>
    <t>CRISCO ALL VEG SHORTENING 16 OZ</t>
  </si>
  <si>
    <t>338150</t>
  </si>
  <si>
    <t>0850017808461</t>
  </si>
  <si>
    <t>BOTTICELLI CHEF SELECT</t>
  </si>
  <si>
    <t>338148</t>
  </si>
  <si>
    <t>0850008833359</t>
  </si>
  <si>
    <t>YO MAMAS ALFREDO SPICY SAUCE 16 OZ</t>
  </si>
  <si>
    <t>338147</t>
  </si>
  <si>
    <t>0850008833236</t>
  </si>
  <si>
    <t>YO MAMAS GARLIC ALFREDO WHIT 16 OZ</t>
  </si>
  <si>
    <t>338146</t>
  </si>
  <si>
    <t>0747479001182</t>
  </si>
  <si>
    <t>RAOS HOMEMADE ALFREDO SAUCE 15 OZ</t>
  </si>
  <si>
    <t>338145</t>
  </si>
  <si>
    <t>0747479001175</t>
  </si>
  <si>
    <t>RAOS ROAST GRLC ALFREDO SCE 15 OZ</t>
  </si>
  <si>
    <t>338144</t>
  </si>
  <si>
    <t>0046015165402</t>
  </si>
  <si>
    <t>ORGANICVILLE MARINARA PASTA 24 OZ</t>
  </si>
  <si>
    <t>338143</t>
  </si>
  <si>
    <t>0850008833229</t>
  </si>
  <si>
    <t>YO MAMAS ALFREDO WHITE SAUCE 16 OZ</t>
  </si>
  <si>
    <t>338142</t>
  </si>
  <si>
    <t>0701111121249</t>
  </si>
  <si>
    <t>VINCENT TOMATO SAU 25 OZ</t>
  </si>
  <si>
    <t>338141</t>
  </si>
  <si>
    <t>0850041276137</t>
  </si>
  <si>
    <t>SAUZ CREAMY CALABRIAN VODKA 25 OZ</t>
  </si>
  <si>
    <t>338140</t>
  </si>
  <si>
    <t>0855019004293</t>
  </si>
  <si>
    <t>MICHAELS OF BROOKLYN AFLREDO 15 OZ</t>
  </si>
  <si>
    <t>338139</t>
  </si>
  <si>
    <t>0701111099920</t>
  </si>
  <si>
    <t>VINCENTS VODKA SAUCE 25 OZ</t>
  </si>
  <si>
    <t>338138</t>
  </si>
  <si>
    <t>0855019004286</t>
  </si>
  <si>
    <t>MICHAELS OF BROOKLYN VODKA S 15 OZ PK 6</t>
  </si>
  <si>
    <t>338137</t>
  </si>
  <si>
    <t>0850041276199</t>
  </si>
  <si>
    <t>SAUZ CRACKED PEPPER &amp; PARMES</t>
  </si>
  <si>
    <t>338132</t>
  </si>
  <si>
    <t>0022506117105</t>
  </si>
  <si>
    <t>SPN OIL SF REFINED SEMI OG 16 FLOZ</t>
  </si>
  <si>
    <t>338133</t>
  </si>
  <si>
    <t>0810084760710</t>
  </si>
  <si>
    <t>FOND PORK LARD 14 OZ</t>
  </si>
  <si>
    <t>338129</t>
  </si>
  <si>
    <t>0815074020904</t>
  </si>
  <si>
    <t>AVOCADO SHORTING OIL 16 OZ</t>
  </si>
  <si>
    <t>338130</t>
  </si>
  <si>
    <t>0860011917113</t>
  </si>
  <si>
    <t>CORNHUSKER AB CHICKEN FAT 14 OZ</t>
  </si>
  <si>
    <t>338127</t>
  </si>
  <si>
    <t>0022506137103</t>
  </si>
  <si>
    <t>PCTRM ORG S REF CANOLA OIL</t>
  </si>
  <si>
    <t>338126</t>
  </si>
  <si>
    <t>0022506065307</t>
  </si>
  <si>
    <t>SPECTRUM KETO AVOC OIL 16 FLOZ</t>
  </si>
  <si>
    <t>338125</t>
  </si>
  <si>
    <t>0022506002852</t>
  </si>
  <si>
    <t>SPEC OIL REFINED GRAPESEED 16 FLOZ</t>
  </si>
  <si>
    <t>338124</t>
  </si>
  <si>
    <t>0022506125100</t>
  </si>
  <si>
    <t>SPECTRUM TOASTED SESAME OIL 16 FLOZ</t>
  </si>
  <si>
    <t>338123</t>
  </si>
  <si>
    <t>0732153024731</t>
  </si>
  <si>
    <t>EPIC GRASS FED BF LOW TALLOW 11 OZ</t>
  </si>
  <si>
    <t>338122</t>
  </si>
  <si>
    <t>0022506104174</t>
  </si>
  <si>
    <t>SPECTRUM ORG PEANUT OIL REFI 16 FLOZ</t>
  </si>
  <si>
    <t>338135</t>
  </si>
  <si>
    <t>0810084760635</t>
  </si>
  <si>
    <t>FOND BEEF TALLOW 14 OZ</t>
  </si>
  <si>
    <t>338121</t>
  </si>
  <si>
    <t>0022506135109</t>
  </si>
  <si>
    <t>SPCTRM RF WLNT OIL 16 FLOZ</t>
  </si>
  <si>
    <t>338120</t>
  </si>
  <si>
    <t>0850010613529</t>
  </si>
  <si>
    <t>KETTLE &amp; FIRE GRASS FED BEEF 14 OZ PK 6</t>
  </si>
  <si>
    <t>338119</t>
  </si>
  <si>
    <t>SPECTRUM TOASTED SESAME OIL</t>
  </si>
  <si>
    <t>338118</t>
  </si>
  <si>
    <t>0041736000049</t>
  </si>
  <si>
    <t>FILIPPO BERIO PURE OLIVE OIL 33.8 FLOZ</t>
  </si>
  <si>
    <t>23.99</t>
  </si>
  <si>
    <t>338115</t>
  </si>
  <si>
    <t>0852955007241</t>
  </si>
  <si>
    <t>MINA XTRA VIRGIN 16.9 FLOZ PK 6</t>
  </si>
  <si>
    <t>338114</t>
  </si>
  <si>
    <t>0855372005258</t>
  </si>
  <si>
    <t>NUTRAW PISTACHIO OIL 8.5 FLOZ</t>
  </si>
  <si>
    <t>338113</t>
  </si>
  <si>
    <t>0856769006476</t>
  </si>
  <si>
    <t>PRIMAL KITCHEN ORG EVOO 16.9 FLOZ</t>
  </si>
  <si>
    <t>13.49</t>
  </si>
  <si>
    <t>338112</t>
  </si>
  <si>
    <t>0894306000112</t>
  </si>
  <si>
    <t>N`5 LORENZO EVOO 16.9 FLOZ PK 6</t>
  </si>
  <si>
    <t>34.99</t>
  </si>
  <si>
    <t>338110</t>
  </si>
  <si>
    <t>0656285171081</t>
  </si>
  <si>
    <t>ASARO WH TRFLE OIL 8.5 FLOZ PK 6</t>
  </si>
  <si>
    <t>29.99</t>
  </si>
  <si>
    <t>338109</t>
  </si>
  <si>
    <t>0041736011120</t>
  </si>
  <si>
    <t>FILIPPO BERIO EXTRA VIRGN OL 33.8 FLOZ</t>
  </si>
  <si>
    <t>25.99</t>
  </si>
  <si>
    <t>338108</t>
  </si>
  <si>
    <t>0039153010062</t>
  </si>
  <si>
    <t>COLAVITA PURE OLIVE OIL 17 FLOZ</t>
  </si>
  <si>
    <t>338107</t>
  </si>
  <si>
    <t>0073296025880</t>
  </si>
  <si>
    <t>UM PURE OLIVE OIL 25.4 FLOZ PK 6</t>
  </si>
  <si>
    <t>338106</t>
  </si>
  <si>
    <t>0815421015003</t>
  </si>
  <si>
    <t>JOVIAL ORGANIC EXTRA VRGN OL 16.9 FLOZ</t>
  </si>
  <si>
    <t>338105</t>
  </si>
  <si>
    <t>0708271510173</t>
  </si>
  <si>
    <t>ZOE SELECT OOL TIN 33.8 FLOZ</t>
  </si>
  <si>
    <t>338103</t>
  </si>
  <si>
    <t>0894306000099</t>
  </si>
  <si>
    <t>N 3 LORENZO EVOO 16.9 FLOZ</t>
  </si>
  <si>
    <t>32.99</t>
  </si>
  <si>
    <t>338101</t>
  </si>
  <si>
    <t>0044100190810</t>
  </si>
  <si>
    <t>PLANET OAT OATMILK UNSWTND 52 FLOZ</t>
  </si>
  <si>
    <t>338100</t>
  </si>
  <si>
    <t>0025293001497</t>
  </si>
  <si>
    <t>SILK ALMOND UNSWTND MK</t>
  </si>
  <si>
    <t>338099</t>
  </si>
  <si>
    <t>0044100156205</t>
  </si>
  <si>
    <t>PLANET OATMILK DARK CHOC 52 FLOZ</t>
  </si>
  <si>
    <t>338098</t>
  </si>
  <si>
    <t>0025293000995</t>
  </si>
  <si>
    <t>SILK ALMOND VANILLA MK 64 FLOZ</t>
  </si>
  <si>
    <t>338096</t>
  </si>
  <si>
    <t>0044100190803</t>
  </si>
  <si>
    <t>PLANET OAT OATMLK UNSWT ORIG 52 FLOZ</t>
  </si>
  <si>
    <t>338095</t>
  </si>
  <si>
    <t>0044100190933</t>
  </si>
  <si>
    <t>PLANET OAT UNSWEETENED OATMI 52 FLOZ</t>
  </si>
  <si>
    <t>338091</t>
  </si>
  <si>
    <t>0025293001367</t>
  </si>
  <si>
    <t>SILK ALMOND MILK UNSWT VAN 64 FLOZ</t>
  </si>
  <si>
    <t>338092</t>
  </si>
  <si>
    <t>0044100156212</t>
  </si>
  <si>
    <t>PLANET OATMILK VANILLA NSA 52 FLOZ PK 6</t>
  </si>
  <si>
    <t>338087</t>
  </si>
  <si>
    <t>0044100190926</t>
  </si>
  <si>
    <t>PLANET OAT BARISTA OATMILK 52 FLOZ</t>
  </si>
  <si>
    <t>338088</t>
  </si>
  <si>
    <t>0025293000988</t>
  </si>
  <si>
    <t>SILK ALMOND PLAIN MILK</t>
  </si>
  <si>
    <t>338086</t>
  </si>
  <si>
    <t>0794171151509</t>
  </si>
  <si>
    <t>GRN BNDT RD HT SCE</t>
  </si>
  <si>
    <t>338083</t>
  </si>
  <si>
    <t>0897508001192</t>
  </si>
  <si>
    <t>TABANERO AGAVE 5 OZ</t>
  </si>
  <si>
    <t>338084</t>
  </si>
  <si>
    <t>0753287111012</t>
  </si>
  <si>
    <t>MAMBA HOT SAUCE 1.7 OZ</t>
  </si>
  <si>
    <t>338082</t>
  </si>
  <si>
    <t>0041500805016</t>
  </si>
  <si>
    <t>FRANKS ORIG RED HOT SAUCE 5 FLOZ</t>
  </si>
  <si>
    <t>338085</t>
  </si>
  <si>
    <t>0753287111074</t>
  </si>
  <si>
    <t>MAMBA HOT SAUCE 1.7 OZ PK 24</t>
  </si>
  <si>
    <t>338081</t>
  </si>
  <si>
    <t>0850016568410</t>
  </si>
  <si>
    <t>YELLOW BIRD STRAWBERRY GINGE 9.8 OZ</t>
  </si>
  <si>
    <t>338080</t>
  </si>
  <si>
    <t>0077885710614</t>
  </si>
  <si>
    <t>TAPATIO PICANTE HOT SAUCE</t>
  </si>
  <si>
    <t>338078</t>
  </si>
  <si>
    <t>0816493010361</t>
  </si>
  <si>
    <t>EL YUCATECO HABANERO COFFEE 4 FLOZ</t>
  </si>
  <si>
    <t>338079</t>
  </si>
  <si>
    <t>0850016568380</t>
  </si>
  <si>
    <t>YELLOW BIRD PLUM REAPER HS 9.8 OZ</t>
  </si>
  <si>
    <t>338077</t>
  </si>
  <si>
    <t>0816493010378</t>
  </si>
  <si>
    <t>ATECO HABANERO CHILTEP</t>
  </si>
  <si>
    <t>338076</t>
  </si>
  <si>
    <t>0011210006096</t>
  </si>
  <si>
    <t>MC ILHENNY HABANERO HOT SCE 2 FLOZ PK 12</t>
  </si>
  <si>
    <t>338074</t>
  </si>
  <si>
    <t>0897508001277</t>
  </si>
  <si>
    <t>TABANERO HBNRO 5 OZ</t>
  </si>
  <si>
    <t>338075</t>
  </si>
  <si>
    <t>0816493010026</t>
  </si>
  <si>
    <t>EL YUCATECO CHILE HBNR GRN 4 FLOZ PK 12</t>
  </si>
  <si>
    <t>338073</t>
  </si>
  <si>
    <t>0064144033850</t>
  </si>
  <si>
    <t>PAM GRILLING COOKING SPRAY 5 OZ</t>
  </si>
  <si>
    <t>338072</t>
  </si>
  <si>
    <t>0850003695754</t>
  </si>
  <si>
    <t>LA TOURANGELLE NON STICK COO 5 FLOZ</t>
  </si>
  <si>
    <t>338071</t>
  </si>
  <si>
    <t>0048176321598</t>
  </si>
  <si>
    <t>MANTOVA AIR FRYER OIL SPRAY 8 FLOZ</t>
  </si>
  <si>
    <t>338070</t>
  </si>
  <si>
    <t>0857190000217</t>
  </si>
  <si>
    <t>LA TOURGOIL ALMOND RSTD 16.9 FLOZ PK 6</t>
  </si>
  <si>
    <t>338069</t>
  </si>
  <si>
    <t>0850003695624</t>
  </si>
  <si>
    <t>LA TOURANGELLE ALL PURPOSE B 5 FLOZ</t>
  </si>
  <si>
    <t>338068</t>
  </si>
  <si>
    <t>0026700156182</t>
  </si>
  <si>
    <t>OU ANA PAN SPRAY COCO OIL 6 OZ</t>
  </si>
  <si>
    <t>338067</t>
  </si>
  <si>
    <t>0072368720609</t>
  </si>
  <si>
    <t>DELALLO EV AVOCADO OIL</t>
  </si>
  <si>
    <t>338066</t>
  </si>
  <si>
    <t>0861555000118</t>
  </si>
  <si>
    <t>4TH &amp; HEART GHEE BUTTER ORIG 9 OZ</t>
  </si>
  <si>
    <t>338065</t>
  </si>
  <si>
    <t>0857190000194</t>
  </si>
  <si>
    <t>LA TOURANGELLE AVOCADO OIL</t>
  </si>
  <si>
    <t>338064</t>
  </si>
  <si>
    <t>0861555000101</t>
  </si>
  <si>
    <t>4&amp;HEART GHEE BUTTER GARLIC</t>
  </si>
  <si>
    <t>338063</t>
  </si>
  <si>
    <t>0064144033164</t>
  </si>
  <si>
    <t>PAM BUTTER COOKING SPRAY 5 OZ</t>
  </si>
  <si>
    <t>338062</t>
  </si>
  <si>
    <t>0605021774000</t>
  </si>
  <si>
    <t>BAKERS JOY BAKING SPRAY 5 OZ</t>
  </si>
  <si>
    <t>338061</t>
  </si>
  <si>
    <t>0857190000019</t>
  </si>
  <si>
    <t>LA TOURANGELLE WALNUT OIL 16.9 FLOZ</t>
  </si>
  <si>
    <t>338060</t>
  </si>
  <si>
    <t>4316268519342</t>
  </si>
  <si>
    <t>0.47</t>
  </si>
  <si>
    <t>338059</t>
  </si>
  <si>
    <t>3870626000602</t>
  </si>
  <si>
    <t>338058</t>
  </si>
  <si>
    <t>3872609001859</t>
  </si>
  <si>
    <t>338057</t>
  </si>
  <si>
    <t>8005803010661</t>
  </si>
  <si>
    <t>338056</t>
  </si>
  <si>
    <t>3273221114864</t>
  </si>
  <si>
    <t>nacho2m</t>
  </si>
  <si>
    <t>338055</t>
  </si>
  <si>
    <t>3229820794624</t>
  </si>
  <si>
    <t>338054</t>
  </si>
  <si>
    <t>3350031720086</t>
  </si>
  <si>
    <t>338053</t>
  </si>
  <si>
    <t>3760278866513</t>
  </si>
  <si>
    <t>338052</t>
  </si>
  <si>
    <t>8012431212701</t>
  </si>
  <si>
    <t>7.5</t>
  </si>
  <si>
    <t>dacavali</t>
  </si>
  <si>
    <t>Mega</t>
  </si>
  <si>
    <t>338051</t>
  </si>
  <si>
    <t>8000212050116</t>
  </si>
  <si>
    <t>338050</t>
  </si>
  <si>
    <t>8002785008310</t>
  </si>
  <si>
    <t>1.2</t>
  </si>
  <si>
    <t>338049</t>
  </si>
  <si>
    <t>8003100911001</t>
  </si>
  <si>
    <t>338048</t>
  </si>
  <si>
    <t>3259011105984</t>
  </si>
  <si>
    <t>TOFOU SOYEUUX 2X120 G SOY FRAIS</t>
  </si>
  <si>
    <t>L'Eau Vive</t>
  </si>
  <si>
    <t>338047</t>
  </si>
  <si>
    <t>3259011010769</t>
  </si>
  <si>
    <t>GRINIOC LEGUMES SAFRAN SOY FRAIS</t>
  </si>
  <si>
    <t>338046</t>
  </si>
  <si>
    <t>3259010201106</t>
  </si>
  <si>
    <t>GRINIOC EPEAUTRE/LEG 2x100G SOY FRAIS</t>
  </si>
  <si>
    <t>338045</t>
  </si>
  <si>
    <t>3259011093069</t>
  </si>
  <si>
    <t>GRINIOC ORGE CHEVRE 2X100G</t>
  </si>
  <si>
    <t>338044</t>
  </si>
  <si>
    <t>3445020105286</t>
  </si>
  <si>
    <t>HUILE COCO 200 ML</t>
  </si>
  <si>
    <t>338043</t>
  </si>
  <si>
    <t>3245411157944</t>
  </si>
  <si>
    <t>CARREFOUR BIO SOJA CALCIUM GOURMAND</t>
  </si>
  <si>
    <t>338042</t>
  </si>
  <si>
    <t>8054729871511</t>
  </si>
  <si>
    <t>3.4</t>
  </si>
  <si>
    <t>338041</t>
  </si>
  <si>
    <t>8711327579057</t>
  </si>
  <si>
    <t>ice-tea green, pêche 50cl</t>
  </si>
  <si>
    <t>HEMA</t>
  </si>
  <si>
    <t>2026-09-17</t>
  </si>
  <si>
    <t>338040</t>
  </si>
  <si>
    <t>3560071092238</t>
  </si>
  <si>
    <t>6X100G SPEC SOJA NAT BIO CRF</t>
  </si>
  <si>
    <t>3.23</t>
  </si>
  <si>
    <t>2026-09-26</t>
  </si>
  <si>
    <t>338039</t>
  </si>
  <si>
    <t>8007290000767</t>
  </si>
  <si>
    <t>338038</t>
  </si>
  <si>
    <t>8007290000774</t>
  </si>
  <si>
    <t>338037</t>
  </si>
  <si>
    <t>3259010005063</t>
  </si>
  <si>
    <t>SOYCISS FUMEES X4 160G</t>
  </si>
  <si>
    <t>338036</t>
  </si>
  <si>
    <t>3270190156222</t>
  </si>
  <si>
    <t>500G SPAGH S/CPLT S.C CRF BIO</t>
  </si>
  <si>
    <t>1.38</t>
  </si>
  <si>
    <t>338033</t>
  </si>
  <si>
    <t>8007290000781</t>
  </si>
  <si>
    <t>338032</t>
  </si>
  <si>
    <t>0025000000294</t>
  </si>
  <si>
    <t>SIMPLY APPLE JUICE 11.5 FLOZ PK 12</t>
  </si>
  <si>
    <t>338031</t>
  </si>
  <si>
    <t>0016300168258</t>
  </si>
  <si>
    <t>FLORIDA NAT RUBY RED GRPFRT 52 FLOZ PK 8</t>
  </si>
  <si>
    <t>338030</t>
  </si>
  <si>
    <t>0025000000300</t>
  </si>
  <si>
    <t>SIMPLY CRANBERRY COCKTAIL 11.5 FLOZ PK 12</t>
  </si>
  <si>
    <t>338029</t>
  </si>
  <si>
    <t>0016300168227</t>
  </si>
  <si>
    <t>FLORIDA NAT NO PULP CALC OJ 52 FLOZ</t>
  </si>
  <si>
    <t>338028</t>
  </si>
  <si>
    <t>0016300168210</t>
  </si>
  <si>
    <t>FLORIDA NAT SOME PULP OJ</t>
  </si>
  <si>
    <t>338027</t>
  </si>
  <si>
    <t>0048500001769</t>
  </si>
  <si>
    <t>TROPICANA APPLE JUIC 10 FLOZ PK 24</t>
  </si>
  <si>
    <t>338026</t>
  </si>
  <si>
    <t>0016300168203</t>
  </si>
  <si>
    <t>FLORIDA NATURAL NO PULP OJ 52 FLOZ PK 8</t>
  </si>
  <si>
    <t>338025</t>
  </si>
  <si>
    <t>0048500206867</t>
  </si>
  <si>
    <t>TROPICANA ORANGE BLEND 10 FLOZ PK 24</t>
  </si>
  <si>
    <t>338024</t>
  </si>
  <si>
    <t>5601252110995</t>
  </si>
  <si>
    <t>GALLO H.OLIVE EXTRA VIERG 40 2.000 L</t>
  </si>
  <si>
    <t>25.87</t>
  </si>
  <si>
    <t>Colruyt</t>
  </si>
  <si>
    <t>338023</t>
  </si>
  <si>
    <t>3021210011201</t>
  </si>
  <si>
    <t>HENAFF PATE DE PORC 3X78</t>
  </si>
  <si>
    <t>338022</t>
  </si>
  <si>
    <t>3250390682745</t>
  </si>
  <si>
    <t>NETTO TERRINE DE CERF 180</t>
  </si>
  <si>
    <t>338021</t>
  </si>
  <si>
    <t>BRETS CHIPS FROMAGE JURA 40</t>
  </si>
  <si>
    <t>1.12</t>
  </si>
  <si>
    <t>338020</t>
  </si>
  <si>
    <t>BRET'S CHIPS PESTO MOZA 140</t>
  </si>
  <si>
    <t>338019</t>
  </si>
  <si>
    <t>8032625480440</t>
  </si>
  <si>
    <t>PR_DES/BOISSON SOJA CACAO</t>
  </si>
  <si>
    <t>338018</t>
  </si>
  <si>
    <t>8032625480518</t>
  </si>
  <si>
    <t>*PR_DES/BOISSON NOISETTE CACAO</t>
  </si>
  <si>
    <t>338017</t>
  </si>
  <si>
    <t>3443704350014</t>
  </si>
  <si>
    <t>130G FOIE GRAS ENT.MO 40 M OCCITANS</t>
  </si>
  <si>
    <t>13.42</t>
  </si>
  <si>
    <t>338016</t>
  </si>
  <si>
    <t>8411578500601</t>
  </si>
  <si>
    <t>FRUYPER CAPRES AU VINAIGR 40</t>
  </si>
  <si>
    <t>338015</t>
  </si>
  <si>
    <t>5000111001007</t>
  </si>
  <si>
    <t>HP SAUCE (SAUCE BRUNE) 255G</t>
  </si>
  <si>
    <t>338014</t>
  </si>
  <si>
    <t>8411578504661</t>
  </si>
  <si>
    <t>FRUYPER BROCHETTES PIQUAN 40</t>
  </si>
  <si>
    <t>2.17</t>
  </si>
  <si>
    <t>338013</t>
  </si>
  <si>
    <t>3250390910855</t>
  </si>
  <si>
    <t>NETTO CHIPS ANCIEN MOUTAR</t>
  </si>
  <si>
    <t>338012</t>
  </si>
  <si>
    <t>3250391320530</t>
  </si>
  <si>
    <t>LES CREAT CHIPS LEGUMES 140</t>
  </si>
  <si>
    <t>338011</t>
  </si>
  <si>
    <t>3250390194842</t>
  </si>
  <si>
    <t>ST ELOI H.VERTS T.FINS 5 40</t>
  </si>
  <si>
    <t>9.04</t>
  </si>
  <si>
    <t>338010</t>
  </si>
  <si>
    <t>3250390228066</t>
  </si>
  <si>
    <t>ST ELOI TOMATE ENT/PELEE 40</t>
  </si>
  <si>
    <t>4.77</t>
  </si>
  <si>
    <t>338009</t>
  </si>
  <si>
    <t>3250390194873</t>
  </si>
  <si>
    <t>ST ELOI MACEDOINE LEG5/1 40</t>
  </si>
  <si>
    <t>5.97</t>
  </si>
  <si>
    <t>338008</t>
  </si>
  <si>
    <t>3250390194897</t>
  </si>
  <si>
    <t>ST ELOI POIS TF/CAR 5/1 2.655 Kg</t>
  </si>
  <si>
    <t>338007</t>
  </si>
  <si>
    <t>3261055954916</t>
  </si>
  <si>
    <t>WS.RISOTTO POULET CHAMPIG</t>
  </si>
  <si>
    <t>2.83</t>
  </si>
  <si>
    <t>338006</t>
  </si>
  <si>
    <t>3250390561392</t>
  </si>
  <si>
    <t>NETTO HARICOT ROUGE 250G</t>
  </si>
  <si>
    <t>0.77</t>
  </si>
  <si>
    <t>338005</t>
  </si>
  <si>
    <t>3083681040609</t>
  </si>
  <si>
    <t>BOND H.ROUGE FACON CHILI 400G BONDUELLE</t>
  </si>
  <si>
    <t>338004</t>
  </si>
  <si>
    <t>8015559562147</t>
  </si>
  <si>
    <t>ANTICO CASALE CIURS D'ART 40</t>
  </si>
  <si>
    <t>2.82</t>
  </si>
  <si>
    <t>338003</t>
  </si>
  <si>
    <t>8411578500755</t>
  </si>
  <si>
    <t>FRUYPER OIGNONS AU VINAIG 40</t>
  </si>
  <si>
    <t>338002</t>
  </si>
  <si>
    <t>3265470166015</t>
  </si>
  <si>
    <t>LESIEUR SAUCE GIANT QUICK 40</t>
  </si>
  <si>
    <t>338001</t>
  </si>
  <si>
    <t>8076800195019</t>
  </si>
  <si>
    <t>PT 500G CAPELLINI BARIL BARILLA</t>
  </si>
  <si>
    <t>338000</t>
  </si>
  <si>
    <t>3250392504601</t>
  </si>
  <si>
    <t>NETTO TORTI BLE COMPLET 500G</t>
  </si>
  <si>
    <t>337999</t>
  </si>
  <si>
    <t>3250393483752</t>
  </si>
  <si>
    <t>NETTO CHIPS 4 LEGUMES 100 40</t>
  </si>
  <si>
    <t>337998</t>
  </si>
  <si>
    <t>3497917002352</t>
  </si>
  <si>
    <t>BRETS CHIPS SCE POM FRITE 40</t>
  </si>
  <si>
    <t>337997</t>
  </si>
  <si>
    <t>BRETS CHIPS CHEDDAR JALAP</t>
  </si>
  <si>
    <t>337996</t>
  </si>
  <si>
    <t>3497917000914</t>
  </si>
  <si>
    <t>BRET'S CHIPS SAVEUR AIOLI 40</t>
  </si>
  <si>
    <t>337995</t>
  </si>
  <si>
    <t>8032625480457</t>
  </si>
  <si>
    <t>*PR_DES/BOISSON SOJA VANILLE 1 l</t>
  </si>
  <si>
    <t>337994</t>
  </si>
  <si>
    <t>8700216910194</t>
  </si>
  <si>
    <t>41PANTS T4 PAMP.BABYDRY 40</t>
  </si>
  <si>
    <t>16.7</t>
  </si>
  <si>
    <t>337993</t>
  </si>
  <si>
    <t>8700216910118</t>
  </si>
  <si>
    <t>36 PANTS T5 PAMP.BABYDRY 40</t>
  </si>
  <si>
    <t>16.59</t>
  </si>
  <si>
    <t>337992</t>
  </si>
  <si>
    <t>3250390194736</t>
  </si>
  <si>
    <t>ST ELOI CAROT RAPEES 5/1 40</t>
  </si>
  <si>
    <t>337991</t>
  </si>
  <si>
    <t>3250390194804</t>
  </si>
  <si>
    <t>ST ELOI FLAGEOLET E.FIN</t>
  </si>
  <si>
    <t>6.48</t>
  </si>
  <si>
    <t>337990</t>
  </si>
  <si>
    <t>3265475140003</t>
  </si>
  <si>
    <t>HUILE DE TOURNESOL 5 LITRE</t>
  </si>
  <si>
    <t>337989</t>
  </si>
  <si>
    <t>5410556204879</t>
  </si>
  <si>
    <t>HUILE DE COLZA 5L</t>
  </si>
  <si>
    <t>10.6</t>
  </si>
  <si>
    <t>337988</t>
  </si>
  <si>
    <t>3265475142007</t>
  </si>
  <si>
    <t>HUILE SPECIALE FRITURE 5 L</t>
  </si>
  <si>
    <t>11.17</t>
  </si>
  <si>
    <t>337987</t>
  </si>
  <si>
    <t>3443705041485</t>
  </si>
  <si>
    <t>140G TARTIN.FOIE GR.SAU M OCCITANS</t>
  </si>
  <si>
    <t>337986</t>
  </si>
  <si>
    <t>3083681027860</t>
  </si>
  <si>
    <t>CASSEGRAIN HARICOT.VERT E40</t>
  </si>
  <si>
    <t>3.14</t>
  </si>
  <si>
    <t>337985</t>
  </si>
  <si>
    <t>3250390626121</t>
  </si>
  <si>
    <t>NETTO TERRINE SANGLIER 180G</t>
  </si>
  <si>
    <t>337984</t>
  </si>
  <si>
    <t>3537580706123</t>
  </si>
  <si>
    <t>HENAFF PATE DE PORC 154G</t>
  </si>
  <si>
    <t>337983</t>
  </si>
  <si>
    <t>8015559554166</t>
  </si>
  <si>
    <t>ANTICO CASALE TOMATES SEC 40</t>
  </si>
  <si>
    <t>2.34</t>
  </si>
  <si>
    <t>337982</t>
  </si>
  <si>
    <t>8015559580240</t>
  </si>
  <si>
    <t>ANTICO CASALE POIVRONS AI 40</t>
  </si>
  <si>
    <t>337981</t>
  </si>
  <si>
    <t>8015559568019</t>
  </si>
  <si>
    <t>ANTICO CASALE CAPRES AU V40</t>
  </si>
  <si>
    <t>2.48</t>
  </si>
  <si>
    <t>337980</t>
  </si>
  <si>
    <t>8008685003578</t>
  </si>
  <si>
    <t>LA MOLE TARALLI A L'HUILE 40</t>
  </si>
  <si>
    <t>337979</t>
  </si>
  <si>
    <t>8076809545488</t>
  </si>
  <si>
    <t>COQUILLETTES SANS GLUTEN BARILLA 400 g</t>
  </si>
  <si>
    <t>1.97</t>
  </si>
  <si>
    <t>337978</t>
  </si>
  <si>
    <t>3250391887439</t>
  </si>
  <si>
    <t>BOISSON RIZ BIO REGAIN BIO</t>
  </si>
  <si>
    <t>1.67</t>
  </si>
  <si>
    <t>337977</t>
  </si>
  <si>
    <t>3250391318353</t>
  </si>
  <si>
    <t>BOISSON AU SOJA NATURE BIO REGAIN BIO</t>
  </si>
  <si>
    <t>0.88</t>
  </si>
  <si>
    <t>337976</t>
  </si>
  <si>
    <t>8008698041925</t>
  </si>
  <si>
    <t>250G LASAGNES S/GLUTEN SCHAR</t>
  </si>
  <si>
    <t>5.06</t>
  </si>
  <si>
    <t>337975</t>
  </si>
  <si>
    <t>8076809578998</t>
  </si>
  <si>
    <t>500G STELLINE BARILLA</t>
  </si>
  <si>
    <t>337974</t>
  </si>
  <si>
    <t>3398984507057</t>
  </si>
  <si>
    <t>20ST THE FROID MENTHE P PAGES 0.040 Kg</t>
  </si>
  <si>
    <t>337973</t>
  </si>
  <si>
    <t>3398984507569</t>
  </si>
  <si>
    <t>20ST INF.THYM/MENTH.BIO 40 PAGES</t>
  </si>
  <si>
    <t>3.32</t>
  </si>
  <si>
    <t>337972</t>
  </si>
  <si>
    <t>3660140954259</t>
  </si>
  <si>
    <t>BROS.SAV.POC.CHOC.NOIR X7 40</t>
  </si>
  <si>
    <t>337971</t>
  </si>
  <si>
    <t>5060391625911</t>
  </si>
  <si>
    <t>SUN-PAT PEANUT BUTTER SMO</t>
  </si>
  <si>
    <t>337970</t>
  </si>
  <si>
    <t>5060391625935</t>
  </si>
  <si>
    <t>SUN-PAT PEANUT BUTTER CRU</t>
  </si>
  <si>
    <t>337969</t>
  </si>
  <si>
    <t>5035660138782</t>
  </si>
  <si>
    <t>FRANK COOPER'S FINE CUT 0.454 Kg</t>
  </si>
  <si>
    <t>337968</t>
  </si>
  <si>
    <t>3250391282838</t>
  </si>
  <si>
    <t>REGAIN GALE.DE RIZ.COM.BI</t>
  </si>
  <si>
    <t>337967</t>
  </si>
  <si>
    <t>3250391318322</t>
  </si>
  <si>
    <t>REGAIN BOIS.AU SOJA VANI 1.000 L</t>
  </si>
  <si>
    <t>337966</t>
  </si>
  <si>
    <t>3760286460307</t>
  </si>
  <si>
    <t>HOOPE BOISS VEG AVNE SPIR 40</t>
  </si>
  <si>
    <t>2.96</t>
  </si>
  <si>
    <t>337965</t>
  </si>
  <si>
    <t>3229820787015</t>
  </si>
  <si>
    <t>BJORG BOIS.AMANDE SISU.1L</t>
  </si>
  <si>
    <t>337964</t>
  </si>
  <si>
    <t>8001420003178</t>
  </si>
  <si>
    <t>RIZ RISOTTI SELECT SPECIA RISO GALLO 0.500 Kg</t>
  </si>
  <si>
    <t>2.18</t>
  </si>
  <si>
    <t>337963</t>
  </si>
  <si>
    <t>8001420003406</t>
  </si>
  <si>
    <t>RIZ GRAN GALLO RISOTTO 500G</t>
  </si>
  <si>
    <t>337962</t>
  </si>
  <si>
    <t>3265470166077</t>
  </si>
  <si>
    <t>LESIEUR SCE SUPREM SPICY 40</t>
  </si>
  <si>
    <t>337961</t>
  </si>
  <si>
    <t>8076809523509</t>
  </si>
  <si>
    <t>BARILLA LINGUINE 500G</t>
  </si>
  <si>
    <t>337960</t>
  </si>
  <si>
    <t>3252971585858</t>
  </si>
  <si>
    <t>ALPINA CROZETS BLANC ETUI 400G</t>
  </si>
  <si>
    <t>337959</t>
  </si>
  <si>
    <t>87157741</t>
  </si>
  <si>
    <t>HEINZ AMER.SCE MUSTARD 240</t>
  </si>
  <si>
    <t>337958</t>
  </si>
  <si>
    <t>8076809523547</t>
  </si>
  <si>
    <t>BARILLA SAUCE PESTO ROSSO 0.200 Kg</t>
  </si>
  <si>
    <t>337957</t>
  </si>
  <si>
    <t>8076809545396</t>
  </si>
  <si>
    <t>190G PESTO BASILIC&amp;ROQU 40 BARILLA</t>
  </si>
  <si>
    <t>337956</t>
  </si>
  <si>
    <t>3250391487110</t>
  </si>
  <si>
    <t>NETTO OLIVES HBES PROVENC 0.150 Kg</t>
  </si>
  <si>
    <t>337955</t>
  </si>
  <si>
    <t>3307901030080</t>
  </si>
  <si>
    <t>FE PAVE AFFINOIS ORIGINAL 40</t>
  </si>
  <si>
    <t>2.7</t>
  </si>
  <si>
    <t>337954</t>
  </si>
  <si>
    <t>3250552391621</t>
  </si>
  <si>
    <t>ERMITAGE CARRE DE L'EST 240</t>
  </si>
  <si>
    <t>337953</t>
  </si>
  <si>
    <t>3250390465287</t>
  </si>
  <si>
    <t>NETTO 10 KNACK VOLAILLE 340</t>
  </si>
  <si>
    <t>337952</t>
  </si>
  <si>
    <t>3252970001427</t>
  </si>
  <si>
    <t>ALPINA CROZETS CHANTERELL 400g</t>
  </si>
  <si>
    <t>337951</t>
  </si>
  <si>
    <t>HEINZ MAYONNAISE SQ 395G</t>
  </si>
  <si>
    <t>337950</t>
  </si>
  <si>
    <t>3038352357005</t>
  </si>
  <si>
    <t>PANZANI SEMOULE FINE 500G</t>
  </si>
  <si>
    <t>337949</t>
  </si>
  <si>
    <t>3398984507804</t>
  </si>
  <si>
    <t>20ST THE N.EPIC.HIV.BIO 40 PAGES</t>
  </si>
  <si>
    <t>3.83</t>
  </si>
  <si>
    <t>337948</t>
  </si>
  <si>
    <t>3398984214481</t>
  </si>
  <si>
    <t>PAGES INFU FENOUIL BIO 30 40</t>
  </si>
  <si>
    <t>337947</t>
  </si>
  <si>
    <t>3042061712079</t>
  </si>
  <si>
    <t>LA TISAN.SCHT DIGESTION B40</t>
  </si>
  <si>
    <t>337946</t>
  </si>
  <si>
    <t>3250392138448</t>
  </si>
  <si>
    <t>NETTO BROWNIE 285G</t>
  </si>
  <si>
    <t>337945</t>
  </si>
  <si>
    <t>3181232138307</t>
  </si>
  <si>
    <t>CHAR BACON BURGER 1X155G</t>
  </si>
  <si>
    <t>337944</t>
  </si>
  <si>
    <t>3181232138369</t>
  </si>
  <si>
    <t>CHAR CHEESE BURGER 2X145G CHARAL</t>
  </si>
  <si>
    <t>337943</t>
  </si>
  <si>
    <t>3250391074129</t>
  </si>
  <si>
    <t>NETTO PIZZA AUX FROMAGES 450G</t>
  </si>
  <si>
    <t>337942</t>
  </si>
  <si>
    <t>3250390755906</t>
  </si>
  <si>
    <t>NETTO DES EPAULE CHOIX 20 40</t>
  </si>
  <si>
    <t>337941</t>
  </si>
  <si>
    <t>3250392008574</t>
  </si>
  <si>
    <t>NETTO KNACKS X20 700G</t>
  </si>
  <si>
    <t>2.73</t>
  </si>
  <si>
    <t>337940</t>
  </si>
  <si>
    <t>BURGER GEANT NATURE X4 JACQUET 330 g</t>
  </si>
  <si>
    <t>337939</t>
  </si>
  <si>
    <t>8594071650025</t>
  </si>
  <si>
    <t>299.9</t>
  </si>
  <si>
    <t>CZK</t>
  </si>
  <si>
    <t>BILLA</t>
  </si>
  <si>
    <t>337938</t>
  </si>
  <si>
    <t>KVASKO DÝŇOVÝ CHLÉ</t>
  </si>
  <si>
    <t>fr:pains-multicereales</t>
  </si>
  <si>
    <t>337937</t>
  </si>
  <si>
    <t>8593807567224</t>
  </si>
  <si>
    <t>FLORIAN STRACCIAT.</t>
  </si>
  <si>
    <t>337936</t>
  </si>
  <si>
    <t>8590345422053</t>
  </si>
  <si>
    <t>RD HUMMUS NATUR S</t>
  </si>
  <si>
    <t>337935</t>
  </si>
  <si>
    <t>8594052743401</t>
  </si>
  <si>
    <t>ZS EIDAM 30% PL</t>
  </si>
  <si>
    <t>337933</t>
  </si>
  <si>
    <t>8593807567248</t>
  </si>
  <si>
    <t>FLORIAN CHOCOBALLS</t>
  </si>
  <si>
    <t>337934</t>
  </si>
  <si>
    <t>0590435420110</t>
  </si>
  <si>
    <t>WRAP HOT STRIPS</t>
  </si>
  <si>
    <t>337932</t>
  </si>
  <si>
    <t>9008684068218</t>
  </si>
  <si>
    <t>ALMOND WHITE STICK</t>
  </si>
  <si>
    <t>337931</t>
  </si>
  <si>
    <t>8590345421179</t>
  </si>
  <si>
    <t>KUS. HUMUS. FAZOLKY</t>
  </si>
  <si>
    <t>337930</t>
  </si>
  <si>
    <t>8714789985060</t>
  </si>
  <si>
    <t>ZP ELMEX SENSITIVE</t>
  </si>
  <si>
    <t>159.9</t>
  </si>
  <si>
    <t>337928</t>
  </si>
  <si>
    <t>8594014630053</t>
  </si>
  <si>
    <t>STRÁŽ. BRAMB. SLAN.</t>
  </si>
  <si>
    <t>337929</t>
  </si>
  <si>
    <t>4820048617413</t>
  </si>
  <si>
    <t>MAGGI NUD. KURE, KAR</t>
  </si>
  <si>
    <t>337927</t>
  </si>
  <si>
    <t>8593868005734</t>
  </si>
  <si>
    <t>STP COOL NEALKO</t>
  </si>
  <si>
    <t>337926</t>
  </si>
  <si>
    <t>8076809545440</t>
  </si>
  <si>
    <t>SPAGHETTI GLUTEN SANS GLUTEN BARILLA 400 g</t>
  </si>
  <si>
    <t>337925</t>
  </si>
  <si>
    <t>8076809545457</t>
  </si>
  <si>
    <t>PENNE RIGATE SANS GLUTEN BARILLA 400 g</t>
  </si>
  <si>
    <t>337924</t>
  </si>
  <si>
    <t>5410803561526</t>
  </si>
  <si>
    <t>COLONA SAUCE HANNIBAL 235</t>
  </si>
  <si>
    <t>337923</t>
  </si>
  <si>
    <t>3250391318414</t>
  </si>
  <si>
    <t>BOISSON AU SOJA REGAIN BIO 1L</t>
  </si>
  <si>
    <t>337922</t>
  </si>
  <si>
    <t>8001420011388</t>
  </si>
  <si>
    <t>GALLO RIZ BASMATI HIMALAY</t>
  </si>
  <si>
    <t>337921</t>
  </si>
  <si>
    <t>3265470166039</t>
  </si>
  <si>
    <t>LESIEUR SCE QUICK TOAST 240</t>
  </si>
  <si>
    <t>337920</t>
  </si>
  <si>
    <t>3760341070830</t>
  </si>
  <si>
    <t>TAUREAU AIL RIZ RISOTTO 500g</t>
  </si>
  <si>
    <t>337919</t>
  </si>
  <si>
    <t>8076802085738</t>
  </si>
  <si>
    <t>BARILLA PENNE RIGATE 500G 40</t>
  </si>
  <si>
    <t>337918</t>
  </si>
  <si>
    <t>3250392475741</t>
  </si>
  <si>
    <t>NET TORSADE SEMI CPLTE BI 40</t>
  </si>
  <si>
    <t>1.0</t>
  </si>
  <si>
    <t>337917</t>
  </si>
  <si>
    <t>8076809500289</t>
  </si>
  <si>
    <t>250G TORTELLINI FROM.BA BARILLA</t>
  </si>
  <si>
    <t>3.01</t>
  </si>
  <si>
    <t>337916</t>
  </si>
  <si>
    <t>8076808890015</t>
  </si>
  <si>
    <t>BARIL.TORTELLINI JAMB FRO 40 BARILLA 0.250 Kg</t>
  </si>
  <si>
    <t>2.77</t>
  </si>
  <si>
    <t>337915</t>
  </si>
  <si>
    <t>3252971595857</t>
  </si>
  <si>
    <t>ALPINA CROZET SARASIN ETU 40</t>
  </si>
  <si>
    <t>337914</t>
  </si>
  <si>
    <t>3250391119080</t>
  </si>
  <si>
    <t>NETTO MAYONNAISE SQUEEZ.4 450 Kg</t>
  </si>
  <si>
    <t>337913</t>
  </si>
  <si>
    <t>8711200548002</t>
  </si>
  <si>
    <t>AMORA MAYON DIJON FISOUP 415G</t>
  </si>
  <si>
    <t>337912</t>
  </si>
  <si>
    <t>3038350011701</t>
  </si>
  <si>
    <t>PANZANI VERMICELLES 500G</t>
  </si>
  <si>
    <t>1.21</t>
  </si>
  <si>
    <t>337911</t>
  </si>
  <si>
    <t>3038350013002</t>
  </si>
  <si>
    <t>PANZANI COQUILLETTE CELLO</t>
  </si>
  <si>
    <t>0.9</t>
  </si>
  <si>
    <t>337910</t>
  </si>
  <si>
    <t>3760253400008</t>
  </si>
  <si>
    <t>PESTO BASILIC PARMIG AOP 40 ITALIANS D 0.135 Kg</t>
  </si>
  <si>
    <t>337909</t>
  </si>
  <si>
    <t>3398984507811</t>
  </si>
  <si>
    <t>20ST INFUS.GROG BIO PAG40 PAGES</t>
  </si>
  <si>
    <t>337908</t>
  </si>
  <si>
    <t>8076809513753</t>
  </si>
  <si>
    <t>BARIL SCE PESTO GENOVESE 40 BARILLA 0.190 Kg</t>
  </si>
  <si>
    <t>337907</t>
  </si>
  <si>
    <t>3398984507064</t>
  </si>
  <si>
    <t>20ST THE FROID MANGUE P PAGES 40</t>
  </si>
  <si>
    <t>337906</t>
  </si>
  <si>
    <t>3398984507675</t>
  </si>
  <si>
    <t>INFUS BRULE GRAISSES BIO 40 PAGES</t>
  </si>
  <si>
    <t>3.53</t>
  </si>
  <si>
    <t>337905</t>
  </si>
  <si>
    <t>3250390340294</t>
  </si>
  <si>
    <t>NETTO THE VERT MENT 25S44 40</t>
  </si>
  <si>
    <t>337904</t>
  </si>
  <si>
    <t>3660140953351</t>
  </si>
  <si>
    <t>BROS.SAVAN.POCK.CHOCOL.X7 BROSSARD</t>
  </si>
  <si>
    <t>337903</t>
  </si>
  <si>
    <t>3660140958851</t>
  </si>
  <si>
    <t>7SAVAN.POCK.BAR.MAX.210 SAVANE</t>
  </si>
  <si>
    <t>337902</t>
  </si>
  <si>
    <t>3250393457043</t>
  </si>
  <si>
    <t>NETTO OLIVES FROMAGE 150G</t>
  </si>
  <si>
    <t>337901</t>
  </si>
  <si>
    <t>3250390989516</t>
  </si>
  <si>
    <t>JR BOUL. VB NAPOLITAINE 340 JEAN ROZE</t>
  </si>
  <si>
    <t>337900</t>
  </si>
  <si>
    <t>3250553103995</t>
  </si>
  <si>
    <t>ERMITAGE MUNSTER FD BT200</t>
  </si>
  <si>
    <t>3.07</t>
  </si>
  <si>
    <t>337899</t>
  </si>
  <si>
    <t>3250553021053</t>
  </si>
  <si>
    <t>ERMITAGE MUNSTER AOP 125G</t>
  </si>
  <si>
    <t>1.93</t>
  </si>
  <si>
    <t>337898</t>
  </si>
  <si>
    <t>CHAVROUX 9P 162G</t>
  </si>
  <si>
    <t>337897</t>
  </si>
  <si>
    <t>3250391074167</t>
  </si>
  <si>
    <t>NETTO PIZZA JAMBON FROMAG</t>
  </si>
  <si>
    <t>337896</t>
  </si>
  <si>
    <t>3154230801269</t>
  </si>
  <si>
    <t>HERTA KNACKI ORIGINAL X4 140g</t>
  </si>
  <si>
    <t>1.31</t>
  </si>
  <si>
    <t>337895</t>
  </si>
  <si>
    <t>3154230801313</t>
  </si>
  <si>
    <t>HERT.KNACKI ORIGINAL X6</t>
  </si>
  <si>
    <t>1.56</t>
  </si>
  <si>
    <t>337894</t>
  </si>
  <si>
    <t>3367651002973</t>
  </si>
  <si>
    <t>DAUN WRAPS BACON SCE YAOU 40 DAUNAT 0.190 Kg</t>
  </si>
  <si>
    <t>3.12</t>
  </si>
  <si>
    <t>337893</t>
  </si>
  <si>
    <t>3250393462771</t>
  </si>
  <si>
    <t>RANOU WRAP SAUMON 190G</t>
  </si>
  <si>
    <t>337892</t>
  </si>
  <si>
    <t>3250390866107</t>
  </si>
  <si>
    <t>6 PAINS HAMBURGER LONG. CONSERV NETTO</t>
  </si>
  <si>
    <t>337891</t>
  </si>
  <si>
    <t>3250391373666</t>
  </si>
  <si>
    <t>4 PETITS PAINS NETTO 300 g</t>
  </si>
  <si>
    <t>337890</t>
  </si>
  <si>
    <t>3398984801452</t>
  </si>
  <si>
    <t>20ST INFUS.EP.VIN CHAUD 40 PAGES</t>
  </si>
  <si>
    <t>337889</t>
  </si>
  <si>
    <t>3250393194436</t>
  </si>
  <si>
    <t>NETTO.THE.V.MENTHE.BIO.20 40</t>
  </si>
  <si>
    <t>337888</t>
  </si>
  <si>
    <t>3042061712130</t>
  </si>
  <si>
    <t>20ST BRUL.GRAIS.BIO TIS40 LA TISANIE</t>
  </si>
  <si>
    <t>337887</t>
  </si>
  <si>
    <t>3660140846455</t>
  </si>
  <si>
    <t>BROSSARD BROWNIE PEP CHOC 40</t>
  </si>
  <si>
    <t>337886</t>
  </si>
  <si>
    <t>3250391320172</t>
  </si>
  <si>
    <t>NETTO MINI BROWNIES X8 244G</t>
  </si>
  <si>
    <t>1.48</t>
  </si>
  <si>
    <t>337885</t>
  </si>
  <si>
    <t>3660140928458</t>
  </si>
  <si>
    <t>BROS.MINI BROWNIE CHOC.LT 40</t>
  </si>
  <si>
    <t>337884</t>
  </si>
  <si>
    <t>3250392147204</t>
  </si>
  <si>
    <t>NETTO 7MINI GAT.MARBRES 140</t>
  </si>
  <si>
    <t>337883</t>
  </si>
  <si>
    <t>3760257091851</t>
  </si>
  <si>
    <t>H&amp;CO RIZ THAI LEG EM VEG</t>
  </si>
  <si>
    <t>4.24</t>
  </si>
  <si>
    <t>337882</t>
  </si>
  <si>
    <t>3250392597986</t>
  </si>
  <si>
    <t>NETTO OLIVE DEN. PIQUANTE 150G</t>
  </si>
  <si>
    <t>337881</t>
  </si>
  <si>
    <t>3168930163480</t>
  </si>
  <si>
    <t>ALVALLE GAZPACHO 1L</t>
  </si>
  <si>
    <t>3.62</t>
  </si>
  <si>
    <t>337880</t>
  </si>
  <si>
    <t>3250391035700</t>
  </si>
  <si>
    <t>JR ROGNON B UF MADERE 300G JEAN ROZE</t>
  </si>
  <si>
    <t>337879</t>
  </si>
  <si>
    <t>3250390989486</t>
  </si>
  <si>
    <t>UR LANGUE B UF PIQUANTE 340 JEAN ROZE</t>
  </si>
  <si>
    <t>5.05</t>
  </si>
  <si>
    <t>337878</t>
  </si>
  <si>
    <t>UR BF BOULETTES BOEUF LB 300G</t>
  </si>
  <si>
    <t>337877</t>
  </si>
  <si>
    <t>3304420009917</t>
  </si>
  <si>
    <t>HAXAIRE CREME DE MUNSTER 40</t>
  </si>
  <si>
    <t>3.57</t>
  </si>
  <si>
    <t>337876</t>
  </si>
  <si>
    <t>3412290070385</t>
  </si>
  <si>
    <t>FGE FOUET NAT -SEL 150G L 40</t>
  </si>
  <si>
    <t>337875</t>
  </si>
  <si>
    <t>3412290070088</t>
  </si>
  <si>
    <t>MME LOIK FROMAG FOUET.NAT 0.460 Kg</t>
  </si>
  <si>
    <t>4.54</t>
  </si>
  <si>
    <t>337874</t>
  </si>
  <si>
    <t>3287360768017</t>
  </si>
  <si>
    <t>PTIT PATE CROUTE POULET M 40 BOLARD 0.450 Kg</t>
  </si>
  <si>
    <t>337873</t>
  </si>
  <si>
    <t>3250391074105</t>
  </si>
  <si>
    <t>NETTO PIZZA CHEVRE/LARDON 450G</t>
  </si>
  <si>
    <t>2.54</t>
  </si>
  <si>
    <t>337872</t>
  </si>
  <si>
    <t>3250391160846</t>
  </si>
  <si>
    <t>NETTO DES EPAULE STANDARD 0.500 Kg</t>
  </si>
  <si>
    <t>337871</t>
  </si>
  <si>
    <t>3481910512505</t>
  </si>
  <si>
    <t>ILLER CERVELA ALSACIEN X2 40</t>
  </si>
  <si>
    <t>4.1</t>
  </si>
  <si>
    <t>337870</t>
  </si>
  <si>
    <t>3154230801368</t>
  </si>
  <si>
    <t>HERTA KNACKI PORC X10 350</t>
  </si>
  <si>
    <t>337869</t>
  </si>
  <si>
    <t>3250390614982</t>
  </si>
  <si>
    <t>NETTO KNACKS X10 350G</t>
  </si>
  <si>
    <t>337868</t>
  </si>
  <si>
    <t>3250390465300</t>
  </si>
  <si>
    <t>NETTO SAUCISSE COCKTAIL 440</t>
  </si>
  <si>
    <t>337867</t>
  </si>
  <si>
    <t>3242272890959</t>
  </si>
  <si>
    <t>SOD SDW SUED JB/CHED135G SODEBO</t>
  </si>
  <si>
    <t>337866</t>
  </si>
  <si>
    <t>3250392265021</t>
  </si>
  <si>
    <t>LES CREA.PAIN CPLT FLOC.AVOINE LES CREAT. 500 g</t>
  </si>
  <si>
    <t>2.27</t>
  </si>
  <si>
    <t>337865</t>
  </si>
  <si>
    <t>3250393436451</t>
  </si>
  <si>
    <t>MUFFINS COMPLET IDS 245 g X8</t>
  </si>
  <si>
    <t>337864</t>
  </si>
  <si>
    <t>3250393456305</t>
  </si>
  <si>
    <t>PAIN BRGER BRIOCH X4 CHABRIOR 250 g</t>
  </si>
  <si>
    <t>337863</t>
  </si>
  <si>
    <t>BURGER GEANT BRIOCHE X4 JACQUET</t>
  </si>
  <si>
    <t>337862</t>
  </si>
  <si>
    <t>3250392270568</t>
  </si>
  <si>
    <t>BAGUETTE PRECUITE NETTO 250 g</t>
  </si>
  <si>
    <t>1.34</t>
  </si>
  <si>
    <t>337861</t>
  </si>
  <si>
    <t>3029330069959</t>
  </si>
  <si>
    <t>TARTINE P'TITDEJ NAT.SSA JACQUET 410g</t>
  </si>
  <si>
    <t>337860</t>
  </si>
  <si>
    <t>7891149210503</t>
  </si>
  <si>
    <t>BRL</t>
  </si>
  <si>
    <t>notafood</t>
  </si>
  <si>
    <t>Internacional Supermercado</t>
  </si>
  <si>
    <t>337858</t>
  </si>
  <si>
    <t>4017100334757</t>
  </si>
  <si>
    <t>KAFFEEGEBAECK</t>
  </si>
  <si>
    <t>Penny</t>
  </si>
  <si>
    <t>337859</t>
  </si>
  <si>
    <t>26408576</t>
  </si>
  <si>
    <t>SAHNEP. VANILLE</t>
  </si>
  <si>
    <t>337857</t>
  </si>
  <si>
    <t>26283074</t>
  </si>
  <si>
    <t>GRANDUETT SCHOKO</t>
  </si>
  <si>
    <t>337856</t>
  </si>
  <si>
    <t>26240701</t>
  </si>
  <si>
    <t>GRANDUETT D C</t>
  </si>
  <si>
    <t>337855</t>
  </si>
  <si>
    <t>26400907</t>
  </si>
  <si>
    <t>SAHNEPUDDING SCH</t>
  </si>
  <si>
    <t>337854</t>
  </si>
  <si>
    <t>26236650</t>
  </si>
  <si>
    <t>GRANDUETT VAN</t>
  </si>
  <si>
    <t>337853</t>
  </si>
  <si>
    <t>21537172</t>
  </si>
  <si>
    <t>BIO MILCH 3,8%</t>
  </si>
  <si>
    <t>337851</t>
  </si>
  <si>
    <t>21534478</t>
  </si>
  <si>
    <t>BIO MILCH 1,5%</t>
  </si>
  <si>
    <t>337852</t>
  </si>
  <si>
    <t>26264868</t>
  </si>
  <si>
    <t>ESL MILCH 3,5%</t>
  </si>
  <si>
    <t>337850</t>
  </si>
  <si>
    <t>8004905774389</t>
  </si>
  <si>
    <t>Midi Farcinoc.</t>
  </si>
  <si>
    <t>337849</t>
  </si>
  <si>
    <t>3770003961352</t>
  </si>
  <si>
    <t>Tofu Nature</t>
  </si>
  <si>
    <t>raphael0202</t>
  </si>
  <si>
    <t>Miyam</t>
  </si>
  <si>
    <t>337847</t>
  </si>
  <si>
    <t>Raisin noir (famille)</t>
  </si>
  <si>
    <t>en:black-grapes</t>
  </si>
  <si>
    <t>337848</t>
  </si>
  <si>
    <t>Tomate RONDE (famille)</t>
  </si>
  <si>
    <t>337846</t>
  </si>
  <si>
    <t>3259011142132</t>
  </si>
  <si>
    <t>TEMPEH 200G</t>
  </si>
  <si>
    <t>Naturalia</t>
  </si>
  <si>
    <t>337845</t>
  </si>
  <si>
    <t>3259011083312</t>
  </si>
  <si>
    <t>TOF SOYX NATU 400G</t>
  </si>
  <si>
    <t>337844</t>
  </si>
  <si>
    <t>3259010500018</t>
  </si>
  <si>
    <t>BIOSOY NATURE 1L</t>
  </si>
  <si>
    <t>337843</t>
  </si>
  <si>
    <t>4012359010056</t>
  </si>
  <si>
    <t>TOF FU AM SE 200G</t>
  </si>
  <si>
    <t>337842</t>
  </si>
  <si>
    <t>4070308176352</t>
  </si>
  <si>
    <t>jangop</t>
  </si>
  <si>
    <t>337841</t>
  </si>
  <si>
    <t>4260414151422</t>
  </si>
  <si>
    <t>337840</t>
  </si>
  <si>
    <t>4260335836354</t>
  </si>
  <si>
    <t>337839</t>
  </si>
  <si>
    <t>4255582819977</t>
  </si>
  <si>
    <t>337838</t>
  </si>
  <si>
    <t>4070308067506</t>
  </si>
  <si>
    <t>337837</t>
  </si>
  <si>
    <t>4337256926393</t>
  </si>
  <si>
    <t>337836</t>
  </si>
  <si>
    <t>4337256680103</t>
  </si>
  <si>
    <t>337835</t>
  </si>
  <si>
    <t>4071800000633</t>
  </si>
  <si>
    <t>337834</t>
  </si>
  <si>
    <t>3254550070243</t>
  </si>
  <si>
    <t>U Express</t>
  </si>
  <si>
    <t>337833</t>
  </si>
  <si>
    <t>4337256894210</t>
  </si>
  <si>
    <t>337832</t>
  </si>
  <si>
    <t>3250550014607</t>
  </si>
  <si>
    <t>lepetitleo</t>
  </si>
  <si>
    <t>Carrefour</t>
  </si>
  <si>
    <t>337831</t>
  </si>
  <si>
    <t>8480000033635</t>
  </si>
  <si>
    <t>337830</t>
  </si>
  <si>
    <t>3377180002528</t>
  </si>
  <si>
    <t>5.63</t>
  </si>
  <si>
    <t>337829</t>
  </si>
  <si>
    <t>3256220888028</t>
  </si>
  <si>
    <t>337828</t>
  </si>
  <si>
    <t>3560070785087</t>
  </si>
  <si>
    <t>337827</t>
  </si>
  <si>
    <t>3256226759155</t>
  </si>
  <si>
    <t>2.02</t>
  </si>
  <si>
    <t>337826</t>
  </si>
  <si>
    <t>4337256988674</t>
  </si>
  <si>
    <t>337824</t>
  </si>
  <si>
    <t>0078895300024</t>
  </si>
  <si>
    <t>LEE KUM KEE PANDA OYS 510G</t>
  </si>
  <si>
    <t>337825</t>
  </si>
  <si>
    <t>8885001231057</t>
  </si>
  <si>
    <t>FC SG FRESH EGGS 10+2S 660G</t>
  </si>
  <si>
    <t>3.7</t>
  </si>
  <si>
    <t>337823</t>
  </si>
  <si>
    <t>9556404127917</t>
  </si>
  <si>
    <t>PEPSI BLACK ZERO SUGAR 1.5L</t>
  </si>
  <si>
    <t>337822</t>
  </si>
  <si>
    <t>9555183000183</t>
  </si>
  <si>
    <t>OS CHILLI PASTE 500G</t>
  </si>
  <si>
    <t>337821</t>
  </si>
  <si>
    <t>8901537025127</t>
  </si>
  <si>
    <t>DAAWAT SP BASMATI 1KG</t>
  </si>
  <si>
    <t>4.8</t>
  </si>
  <si>
    <t>337820</t>
  </si>
  <si>
    <t>8888196178831</t>
  </si>
  <si>
    <t>LEMON TEA LS 1.5L</t>
  </si>
  <si>
    <t>337819</t>
  </si>
  <si>
    <t>8886458100965</t>
  </si>
  <si>
    <t>GREEN CHILLI 200G</t>
  </si>
  <si>
    <t>337818</t>
  </si>
  <si>
    <t>2100000196197</t>
  </si>
  <si>
    <t>7S MAC AND CHEESE 280G</t>
  </si>
  <si>
    <t>7-Eleven</t>
  </si>
  <si>
    <t>337817</t>
  </si>
  <si>
    <t>8858229093523</t>
  </si>
  <si>
    <t>INGU Serum 30ML</t>
  </si>
  <si>
    <t>1090.0</t>
  </si>
  <si>
    <t>THB</t>
  </si>
  <si>
    <t>Watsons</t>
  </si>
  <si>
    <t>337816</t>
  </si>
  <si>
    <t>8904083301813</t>
  </si>
  <si>
    <t>159.0</t>
  </si>
  <si>
    <t>trueteller</t>
  </si>
  <si>
    <t>DMart</t>
  </si>
  <si>
    <t>337815</t>
  </si>
  <si>
    <t>8906007280952</t>
  </si>
  <si>
    <t>209.0</t>
  </si>
  <si>
    <t>337814</t>
  </si>
  <si>
    <t>4070308026343</t>
  </si>
  <si>
    <t>337813</t>
  </si>
  <si>
    <t>4337256112260</t>
  </si>
  <si>
    <t>337812</t>
  </si>
  <si>
    <t>4023900535409</t>
  </si>
  <si>
    <t>337811</t>
  </si>
  <si>
    <t>4337256318327</t>
  </si>
  <si>
    <t>337810</t>
  </si>
  <si>
    <t>4280001939400</t>
  </si>
  <si>
    <t>337809</t>
  </si>
  <si>
    <t>4070308029344</t>
  </si>
  <si>
    <t>337808</t>
  </si>
  <si>
    <t>4070308129839</t>
  </si>
  <si>
    <t>337807</t>
  </si>
  <si>
    <t>4260380666609</t>
  </si>
  <si>
    <t>337806</t>
  </si>
  <si>
    <t>8887973000716</t>
  </si>
  <si>
    <t>MANDARIN ORANGE SA 500G</t>
  </si>
  <si>
    <t>337805</t>
  </si>
  <si>
    <t>9300657300012</t>
  </si>
  <si>
    <t>HEINZ TOMATO KETCHUP 300ML</t>
  </si>
  <si>
    <t>337804</t>
  </si>
  <si>
    <t>4068134162939</t>
  </si>
  <si>
    <t>Rossmann</t>
  </si>
  <si>
    <t>337803</t>
  </si>
  <si>
    <t>4305615678757</t>
  </si>
  <si>
    <t>337802</t>
  </si>
  <si>
    <t>4305615981956</t>
  </si>
  <si>
    <t>337801</t>
  </si>
  <si>
    <t>4068134066657</t>
  </si>
  <si>
    <t>337800</t>
  </si>
  <si>
    <t>4068134212689</t>
  </si>
  <si>
    <t>337799</t>
  </si>
  <si>
    <t>7290103449988</t>
  </si>
  <si>
    <t>337798</t>
  </si>
  <si>
    <t>7290103449957</t>
  </si>
  <si>
    <t>337797</t>
  </si>
  <si>
    <t>5906747308438</t>
  </si>
  <si>
    <t>tau2c</t>
  </si>
  <si>
    <t>Biedronka</t>
  </si>
  <si>
    <t>337796</t>
  </si>
  <si>
    <t>5997420104249</t>
  </si>
  <si>
    <t>1299.0</t>
  </si>
  <si>
    <t>HUF</t>
  </si>
  <si>
    <t>sapphicsophie</t>
  </si>
  <si>
    <t>Spar</t>
  </si>
  <si>
    <t>337795</t>
  </si>
  <si>
    <t>40466101</t>
  </si>
  <si>
    <t>2026-09-22</t>
  </si>
  <si>
    <t>337794</t>
  </si>
  <si>
    <t>2317038016262737004002</t>
  </si>
  <si>
    <t>4.0</t>
  </si>
  <si>
    <t>jayarrr</t>
  </si>
  <si>
    <t>Hiebers Frische Center</t>
  </si>
  <si>
    <t>337793</t>
  </si>
  <si>
    <t>6160000000012</t>
  </si>
  <si>
    <t>2000.0</t>
  </si>
  <si>
    <t>BIF</t>
  </si>
  <si>
    <t>mervinrulu</t>
  </si>
  <si>
    <t>Centre de santé Cibitoke</t>
  </si>
  <si>
    <t>337792</t>
  </si>
  <si>
    <t>337791</t>
  </si>
  <si>
    <t>JASMINRIS 2KG COOP</t>
  </si>
  <si>
    <t>337790</t>
  </si>
  <si>
    <t>0072659630006</t>
  </si>
  <si>
    <t>BC CHALLAH BREAD</t>
  </si>
  <si>
    <t>hiimdannyganz</t>
  </si>
  <si>
    <t>ShopRite</t>
  </si>
  <si>
    <t>2026-09-25</t>
  </si>
  <si>
    <t>337789</t>
  </si>
  <si>
    <t>0013300000090</t>
  </si>
  <si>
    <t>Pillsbury Funfetti Unicorn Vanilla Frosting, 15.6 oz</t>
  </si>
  <si>
    <t>337788</t>
  </si>
  <si>
    <t>0013300000106</t>
  </si>
  <si>
    <t>Pillsbury Funfetti Unicorn Cake Mix, 15.25 oz</t>
  </si>
  <si>
    <t>337786</t>
  </si>
  <si>
    <t>RASPBERRIES 6OZ</t>
  </si>
  <si>
    <t>en:raspberries</t>
  </si>
  <si>
    <t>17.58</t>
  </si>
  <si>
    <t>337785</t>
  </si>
  <si>
    <t>SCALLION 48S*</t>
  </si>
  <si>
    <t>en:scallions</t>
  </si>
  <si>
    <t>337787</t>
  </si>
  <si>
    <t>CUCUMBERS S/S 65</t>
  </si>
  <si>
    <t>en:cucumbers</t>
  </si>
  <si>
    <t>0.5</t>
  </si>
  <si>
    <t>337784</t>
  </si>
  <si>
    <t>0052159000813</t>
  </si>
  <si>
    <t>Stonyfield Organic Strawberry Reduced Fat Yogurt Tubes, 2 oz, 8 count</t>
  </si>
  <si>
    <t>337783</t>
  </si>
  <si>
    <t>0041190467228</t>
  </si>
  <si>
    <t>Bowl &amp; Basket 2% Reduced Fat Milk, half gallon</t>
  </si>
  <si>
    <t>337782</t>
  </si>
  <si>
    <t>0041190093045</t>
  </si>
  <si>
    <t>Bowl &amp; Basket Bran Flakes Whole Grain Wheat &amp; Bran Cereal, 18 oz</t>
  </si>
  <si>
    <t>337781</t>
  </si>
  <si>
    <t>0028400199988</t>
  </si>
  <si>
    <t>Lay's Potato Chips Cheddar &amp; Sour Cream Flavored 7 3/4 Oz</t>
  </si>
  <si>
    <t>337780</t>
  </si>
  <si>
    <t>337779</t>
  </si>
  <si>
    <t>0181945000062</t>
  </si>
  <si>
    <t>muddog</t>
  </si>
  <si>
    <t>CVS Pharmacy</t>
  </si>
  <si>
    <t>337778</t>
  </si>
  <si>
    <t>5201673001140</t>
  </si>
  <si>
    <t>337777</t>
  </si>
  <si>
    <t>5201054018781</t>
  </si>
  <si>
    <t>337776</t>
  </si>
  <si>
    <t>3288131540115</t>
  </si>
  <si>
    <t>337775</t>
  </si>
  <si>
    <t>5900541014601</t>
  </si>
  <si>
    <t>NAPOJ ZZ MINERALS+ 6X1,5L_K</t>
  </si>
  <si>
    <t>14.94</t>
  </si>
  <si>
    <t>337774</t>
  </si>
  <si>
    <t>5907631100787</t>
  </si>
  <si>
    <t>MLEKO SW. BOCHENSKIE 1l 2% SZKŁO</t>
  </si>
  <si>
    <t>337773</t>
  </si>
  <si>
    <t>8052575091572</t>
  </si>
  <si>
    <t>BIO MUS NATU 240g MORELA B/C</t>
  </si>
  <si>
    <t>19.39</t>
  </si>
  <si>
    <t>337772</t>
  </si>
  <si>
    <t>5902166750223</t>
  </si>
  <si>
    <t>PAPR.CZERW.HELCOM 260g N.HUMMUS B/L GREEK TRADE SP ZOO</t>
  </si>
  <si>
    <t>14.19</t>
  </si>
  <si>
    <t>337771</t>
  </si>
  <si>
    <t>5905784336091</t>
  </si>
  <si>
    <t>MC MUSZTARDA 200g STOLOWA Carrefour Classic</t>
  </si>
  <si>
    <t>337770</t>
  </si>
  <si>
    <t>5900437729022</t>
  </si>
  <si>
    <t>PISAKI DR.OETKER 4x17g PASTELOWE</t>
  </si>
  <si>
    <t>8.55</t>
  </si>
  <si>
    <t>337769</t>
  </si>
  <si>
    <t>5900352017242</t>
  </si>
  <si>
    <t>Lody kanapka oranżada Rainbow Jelly 180ml</t>
  </si>
  <si>
    <t>Dino</t>
  </si>
  <si>
    <t>337768</t>
  </si>
  <si>
    <t>5900352016603</t>
  </si>
  <si>
    <t>Lody kostka śmietankowa Grześki 180ml</t>
  </si>
  <si>
    <t>337767</t>
  </si>
  <si>
    <t>8593893902282</t>
  </si>
  <si>
    <t>Opavia Zlaté Club sušenky s máslovou příchutí 140g</t>
  </si>
  <si>
    <t>Albert</t>
  </si>
  <si>
    <t>337766</t>
  </si>
  <si>
    <t>8590421074329</t>
  </si>
  <si>
    <t>Perla kávové kapsle Palermo 10ks</t>
  </si>
  <si>
    <t>337765</t>
  </si>
  <si>
    <t>5906040064024</t>
  </si>
  <si>
    <t>Lody na patyku Monte Hazelnut Zott 100ml</t>
  </si>
  <si>
    <t>5.42</t>
  </si>
  <si>
    <t>337764</t>
  </si>
  <si>
    <t>5900352016610</t>
  </si>
  <si>
    <t>Lody rożek cytrynowy Grześki 110ml</t>
  </si>
  <si>
    <t>337763</t>
  </si>
  <si>
    <t>5903496038173</t>
  </si>
  <si>
    <t>Płaty śledziowe Bismarck Targ Rybny 700/375g</t>
  </si>
  <si>
    <t>337762</t>
  </si>
  <si>
    <t>5902860417408</t>
  </si>
  <si>
    <t>Napój gaz. mojito Schweppes 6x1,4l (P)</t>
  </si>
  <si>
    <t>42.3</t>
  </si>
  <si>
    <t>337761</t>
  </si>
  <si>
    <t>5902884496465</t>
  </si>
  <si>
    <t>Orzeszki arachidowe w czeko mlecznej Deliss 240g</t>
  </si>
  <si>
    <t>8.15</t>
  </si>
  <si>
    <t>337760</t>
  </si>
  <si>
    <t>8590014812505</t>
  </si>
  <si>
    <t>Hello sirup Ovocný multivitamín 0,7l</t>
  </si>
  <si>
    <t>68.9</t>
  </si>
  <si>
    <t>337759</t>
  </si>
  <si>
    <t>8595231223332</t>
  </si>
  <si>
    <t>Kofola Nulka 330ml</t>
  </si>
  <si>
    <t>337758</t>
  </si>
  <si>
    <t>8590421082379</t>
  </si>
  <si>
    <t>Albert Excellent čaj šťavnatý, mango a yuzu 55g</t>
  </si>
  <si>
    <t>337757</t>
  </si>
  <si>
    <t>8595229932420</t>
  </si>
  <si>
    <t>Emco Super srdíčka kakaové sušenky 140g</t>
  </si>
  <si>
    <t>337756</t>
  </si>
  <si>
    <t>8590421334850</t>
  </si>
  <si>
    <t>Albert plněné trubičky oříškové 200g</t>
  </si>
  <si>
    <t>337755</t>
  </si>
  <si>
    <t>8593803662152</t>
  </si>
  <si>
    <t>LIPAN.MAXI VAN.130G</t>
  </si>
  <si>
    <t>337754</t>
  </si>
  <si>
    <t>8593803662237</t>
  </si>
  <si>
    <t>LIPAN.DUO KA/VA.130G</t>
  </si>
  <si>
    <t>337753</t>
  </si>
  <si>
    <t>COOL MABORNAO.0%0,5L</t>
  </si>
  <si>
    <t>337751</t>
  </si>
  <si>
    <t>8594404026664</t>
  </si>
  <si>
    <t>BI.ACT.MA.CIT.0,5LPL</t>
  </si>
  <si>
    <t>337750</t>
  </si>
  <si>
    <t>7622202013188</t>
  </si>
  <si>
    <t>MILKA LISKOOŘ.85G</t>
  </si>
  <si>
    <t>337749</t>
  </si>
  <si>
    <t>8445291400641</t>
  </si>
  <si>
    <t>STUD. PEČ. ML. 90G</t>
  </si>
  <si>
    <t>337746</t>
  </si>
  <si>
    <t>8594071652630</t>
  </si>
  <si>
    <t>MARL.KLASI.DORT 800G</t>
  </si>
  <si>
    <t>299.0</t>
  </si>
  <si>
    <t>337747</t>
  </si>
  <si>
    <t>8711327480537</t>
  </si>
  <si>
    <t>MAGNUM D.BILLI.85ML</t>
  </si>
  <si>
    <t>337748</t>
  </si>
  <si>
    <t>8595616602974</t>
  </si>
  <si>
    <t>TAŠTIČKA S MER.N.85G</t>
  </si>
  <si>
    <t>337745</t>
  </si>
  <si>
    <t>8594071650018</t>
  </si>
  <si>
    <t>VID.MED.DORT 800G</t>
  </si>
  <si>
    <t>337744</t>
  </si>
  <si>
    <t>7622300291785</t>
  </si>
  <si>
    <t>337743</t>
  </si>
  <si>
    <t>9002490292447</t>
  </si>
  <si>
    <t>Red Bull Summer prichut sudachi a limetka 250ml</t>
  </si>
  <si>
    <t>337742</t>
  </si>
  <si>
    <t>5449000131805</t>
  </si>
  <si>
    <t>Coca-Cola Zero 330ml</t>
  </si>
  <si>
    <t>337741</t>
  </si>
  <si>
    <t>8594071650537</t>
  </si>
  <si>
    <t>Marlenka medový snack s kakaem 50g</t>
  </si>
  <si>
    <t>337740</t>
  </si>
  <si>
    <t>8595231209329</t>
  </si>
  <si>
    <t>Royal Crown Cola 0,33l</t>
  </si>
  <si>
    <t>337739</t>
  </si>
  <si>
    <t>5449000133328</t>
  </si>
  <si>
    <t>Coca-Cola Zero 1l</t>
  </si>
  <si>
    <t>337738</t>
  </si>
  <si>
    <t>8600197488784</t>
  </si>
  <si>
    <t>Yes Plants rostlinný dezert s kávou vegan 95g</t>
  </si>
  <si>
    <t>43.9</t>
  </si>
  <si>
    <t>337737</t>
  </si>
  <si>
    <t>8711000597897</t>
  </si>
  <si>
    <t>L'OR Espresso kapsle Capri 10ks</t>
  </si>
  <si>
    <t>129.9</t>
  </si>
  <si>
    <t>337736</t>
  </si>
  <si>
    <t>8594008049137</t>
  </si>
  <si>
    <t>Pepsi Cola 0,33l</t>
  </si>
  <si>
    <t>337735</t>
  </si>
  <si>
    <t>8594008049304</t>
  </si>
  <si>
    <t>Pepsi Zero Sugar 0,33l</t>
  </si>
  <si>
    <t>337734</t>
  </si>
  <si>
    <t>5449000223586</t>
  </si>
  <si>
    <t>Coca-Cola Cherry 1,5L</t>
  </si>
  <si>
    <t>337733</t>
  </si>
  <si>
    <t>8051369005320</t>
  </si>
  <si>
    <t>Oreo zmrzlina Sandwich 110 ml</t>
  </si>
  <si>
    <t>337732</t>
  </si>
  <si>
    <t>8594071650308</t>
  </si>
  <si>
    <t>Marlenka kuličky kakaové 235g</t>
  </si>
  <si>
    <t>154.9</t>
  </si>
  <si>
    <t>337731</t>
  </si>
  <si>
    <t>Marlenka medový dort s kakaem 800g</t>
  </si>
  <si>
    <t>337730</t>
  </si>
  <si>
    <t>8718907102063</t>
  </si>
  <si>
    <t>Perla kávové kapsle Lungo Originale 20ks</t>
  </si>
  <si>
    <t>149.9</t>
  </si>
  <si>
    <t>337729</t>
  </si>
  <si>
    <t>4006067061288</t>
  </si>
  <si>
    <t>Davidoff Espresso Intense instantní káva 100g</t>
  </si>
  <si>
    <t>259.0</t>
  </si>
  <si>
    <t>337728</t>
  </si>
  <si>
    <t>8595646210651</t>
  </si>
  <si>
    <t>Relax sirup Husty jablko a mango 0,7l</t>
  </si>
  <si>
    <t>337727</t>
  </si>
  <si>
    <t>9002490281465</t>
  </si>
  <si>
    <t>Red Bull Pink Sugarfree lesní ovoce 0,25l</t>
  </si>
  <si>
    <t>337726</t>
  </si>
  <si>
    <t>9002490200077</t>
  </si>
  <si>
    <t>Red Bull Energy drink 0,25l</t>
  </si>
  <si>
    <t>337725</t>
  </si>
  <si>
    <t>8595231217164</t>
  </si>
  <si>
    <t>Kofola Original 0,33l</t>
  </si>
  <si>
    <t>337724</t>
  </si>
  <si>
    <t>337723</t>
  </si>
  <si>
    <t>Coca-Cola 1l</t>
  </si>
  <si>
    <t>337722</t>
  </si>
  <si>
    <t>5000112529678</t>
  </si>
  <si>
    <t>Coca-Cola Vanilla 1,5l</t>
  </si>
  <si>
    <t>337721</t>
  </si>
  <si>
    <t>5449000169358</t>
  </si>
  <si>
    <t>Coca Cola Zero Zero 1,5l</t>
  </si>
  <si>
    <t>337720</t>
  </si>
  <si>
    <t>8714100870686</t>
  </si>
  <si>
    <t>Cornetto Classico kornout 125 ml</t>
  </si>
  <si>
    <t>337719</t>
  </si>
  <si>
    <t>337718</t>
  </si>
  <si>
    <t>8590421077986</t>
  </si>
  <si>
    <t>Perla medovník kávový 650g</t>
  </si>
  <si>
    <t>269.0</t>
  </si>
  <si>
    <t>337717</t>
  </si>
  <si>
    <t>Marlenka medový dort s vlašskými ořechy 800g</t>
  </si>
  <si>
    <t>337716</t>
  </si>
  <si>
    <t>7622210136251</t>
  </si>
  <si>
    <t>Opavia Zlaté Polomáčené mini hořké 145g</t>
  </si>
  <si>
    <t>337715</t>
  </si>
  <si>
    <t>7622210136244</t>
  </si>
  <si>
    <t>Opavia Zlate Polomacene mini mlecne 145g</t>
  </si>
  <si>
    <t>337714</t>
  </si>
  <si>
    <t>7622202240751</t>
  </si>
  <si>
    <t>Opavia Zlaté Ovesné sušenky s cereáliemi 188g</t>
  </si>
  <si>
    <t>337713</t>
  </si>
  <si>
    <t>7622202240966</t>
  </si>
  <si>
    <t>Opavia zlaté ovesné sušenky máčené v čokoládě 215g</t>
  </si>
  <si>
    <t>337712</t>
  </si>
  <si>
    <t>5906747319892</t>
  </si>
  <si>
    <t>Figaro Cokopiškoty s příchutí lesního ovoce 147g</t>
  </si>
  <si>
    <t>337711</t>
  </si>
  <si>
    <t>8590421046586</t>
  </si>
  <si>
    <t>Albert věnečky kakaové 150g</t>
  </si>
  <si>
    <t>337710</t>
  </si>
  <si>
    <t>8711000357613</t>
  </si>
  <si>
    <t>L'OR Espresso kapsle Colombia 10ks</t>
  </si>
  <si>
    <t>337709</t>
  </si>
  <si>
    <t>8711000457962</t>
  </si>
  <si>
    <t>Pickwick ovocný čaj malina 40g</t>
  </si>
  <si>
    <t>32.9</t>
  </si>
  <si>
    <t>337708</t>
  </si>
  <si>
    <t>8595229922254</t>
  </si>
  <si>
    <t>Emco Super sušenky kakao a kokos 60g</t>
  </si>
  <si>
    <t>337707</t>
  </si>
  <si>
    <t>8595229932437</t>
  </si>
  <si>
    <t>Emco Super srdíčka sušenky s kokosem 140g</t>
  </si>
  <si>
    <t>337706</t>
  </si>
  <si>
    <t>7613036312868</t>
  </si>
  <si>
    <t>Nescafé Gold Crema instantní káva 200g</t>
  </si>
  <si>
    <t>319.0</t>
  </si>
  <si>
    <t>337705</t>
  </si>
  <si>
    <t>4006067084188</t>
  </si>
  <si>
    <t>Davidoff Rich Aroma instantní káva 100g</t>
  </si>
  <si>
    <t>337704</t>
  </si>
  <si>
    <t>7622300603298</t>
  </si>
  <si>
    <t>Milka Choco Jaffa piškoty malinové 147g</t>
  </si>
  <si>
    <t>337703</t>
  </si>
  <si>
    <t>Lotus Biscoff sušenky s vanilkovou náplní 154g</t>
  </si>
  <si>
    <t>337702</t>
  </si>
  <si>
    <t>8590421069165</t>
  </si>
  <si>
    <t>Perla Bio čaj ovocno-bylinný 30g</t>
  </si>
  <si>
    <t>337701</t>
  </si>
  <si>
    <t>5949065038175</t>
  </si>
  <si>
    <t>Perla bylinný čaj s květem bezu a citronem 40g</t>
  </si>
  <si>
    <t>337698</t>
  </si>
  <si>
    <t>6926307598313</t>
  </si>
  <si>
    <t>P te de sé same mé langé</t>
  </si>
  <si>
    <t>Asi Mart</t>
  </si>
  <si>
    <t>337700</t>
  </si>
  <si>
    <t>6939216518402</t>
  </si>
  <si>
    <t>Flocon de piment 50g</t>
  </si>
  <si>
    <t>337699</t>
  </si>
  <si>
    <t>6972343075356</t>
  </si>
  <si>
    <t>Gongcai fermenté au chi</t>
  </si>
  <si>
    <t>337697</t>
  </si>
  <si>
    <t>6921180820025</t>
  </si>
  <si>
    <t>Sauce soja supé rieure</t>
  </si>
  <si>
    <t>337696</t>
  </si>
  <si>
    <t>3307907100084</t>
  </si>
  <si>
    <t>PAVE D AFFINOIS 200G</t>
  </si>
  <si>
    <t>2.57</t>
  </si>
  <si>
    <t>Intermarché</t>
  </si>
  <si>
    <t>337695</t>
  </si>
  <si>
    <t>3259011034000</t>
  </si>
  <si>
    <t>TOFU NATURE BIO X2 CEREAL BIO 250 g</t>
  </si>
  <si>
    <t>2.64</t>
  </si>
  <si>
    <t>337694</t>
  </si>
  <si>
    <t>3599741007043</t>
  </si>
  <si>
    <t>FINDUS BAT CROUT EPIN 284</t>
  </si>
  <si>
    <t>337693</t>
  </si>
  <si>
    <t>3083681177992</t>
  </si>
  <si>
    <t>BOND GAL AUBERGINE COURG 6 BONDUELLE 0.3 kg</t>
  </si>
  <si>
    <t>337692</t>
  </si>
  <si>
    <t>3523230009362</t>
  </si>
  <si>
    <t>FERMAGE MOULE AOP DOUX GD FERMAGE 0.25 kg</t>
  </si>
  <si>
    <t>337691</t>
  </si>
  <si>
    <t>3155253031251</t>
  </si>
  <si>
    <t>PRDT CF LG&amp;EP 25%MG POCHE PRESIDENT</t>
  </si>
  <si>
    <t>337690</t>
  </si>
  <si>
    <t>3230890018411</t>
  </si>
  <si>
    <t>STEAK DE BLE POIS VEG LE GAULOIS 200 g</t>
  </si>
  <si>
    <t>2.97</t>
  </si>
  <si>
    <t>337689</t>
  </si>
  <si>
    <t>3497917003847</t>
  </si>
  <si>
    <t>BRETS FALAFELS LIBAN 125G</t>
  </si>
  <si>
    <t>337688</t>
  </si>
  <si>
    <t>3256540000698</t>
  </si>
  <si>
    <t>PASQUIER 10 PAINS AU LAIT 0.35 kg</t>
  </si>
  <si>
    <t>337687</t>
  </si>
  <si>
    <t>CHAVROUX 150G</t>
  </si>
  <si>
    <t>2.71</t>
  </si>
  <si>
    <t>337686</t>
  </si>
  <si>
    <t>3412290070064</t>
  </si>
  <si>
    <t>M.LOIK NATURE PORTION 9X2 PAYSAN BRE 0.18 kg</t>
  </si>
  <si>
    <t>337685</t>
  </si>
  <si>
    <t>3480341000636</t>
  </si>
  <si>
    <t>E&amp;V CARREFRAIS 8X25G ELLE&amp;VIRE</t>
  </si>
  <si>
    <t>337684</t>
  </si>
  <si>
    <t>PANEE SOJA BLEX2 GARD.GOURM 207 g</t>
  </si>
  <si>
    <t>2.93</t>
  </si>
  <si>
    <t>337683</t>
  </si>
  <si>
    <t>3250392282448</t>
  </si>
  <si>
    <t>VITA PAUSE FRAISE 2X150G PATURAGES</t>
  </si>
  <si>
    <t>337682</t>
  </si>
  <si>
    <t>3760324300329</t>
  </si>
  <si>
    <t>CORDONS VEGETAUX X2 HAPPYVORE 180 g</t>
  </si>
  <si>
    <t>337681</t>
  </si>
  <si>
    <t>SUPREMES PANESVEGETAU HAPPYVORE 180 g</t>
  </si>
  <si>
    <t>337680</t>
  </si>
  <si>
    <t>3250390006831</t>
  </si>
  <si>
    <t>PAQUITO PJ TOMATE PET 4X2</t>
  </si>
  <si>
    <t>2.41</t>
  </si>
  <si>
    <t>337679</t>
  </si>
  <si>
    <t>3497917003854</t>
  </si>
  <si>
    <t>CHIPS ALIGOT BRET'S</t>
  </si>
  <si>
    <t>337678</t>
  </si>
  <si>
    <t>8433329991469</t>
  </si>
  <si>
    <t>El Corte Inglés</t>
  </si>
  <si>
    <t>337677</t>
  </si>
  <si>
    <t>3250392495404</t>
  </si>
  <si>
    <t>CHAB.DEMI BAGUET.BLE CPLT CHABRIOR 0.3 kg</t>
  </si>
  <si>
    <t>337676</t>
  </si>
  <si>
    <t>3599741006534</t>
  </si>
  <si>
    <t>FINDUS POIREAUX CREME 45 0.45 kg</t>
  </si>
  <si>
    <t>337675</t>
  </si>
  <si>
    <t>3599741006329</t>
  </si>
  <si>
    <t>FIND.EPINARD BRANCHE CREM FINDUS 0.48 kg</t>
  </si>
  <si>
    <t>2.87</t>
  </si>
  <si>
    <t>337674</t>
  </si>
  <si>
    <t>3760324308035</t>
  </si>
  <si>
    <t>P. NUGGETS VEGETAUX X20 3 HAPPYVORE 0.38 kg</t>
  </si>
  <si>
    <t>337673</t>
  </si>
  <si>
    <t>3760324308011</t>
  </si>
  <si>
    <t>P.STEAK VEGETAL GOURM. X4 HAPPYVORE 0.4 kg</t>
  </si>
  <si>
    <t>6.8</t>
  </si>
  <si>
    <t>337672</t>
  </si>
  <si>
    <t>3250392142032</t>
  </si>
  <si>
    <t>IDS EPOISSES 250G</t>
  </si>
  <si>
    <t>6.1</t>
  </si>
  <si>
    <t>337671</t>
  </si>
  <si>
    <t>3390952501500</t>
  </si>
  <si>
    <t>CREME DE MUNSTER 150G</t>
  </si>
  <si>
    <t>337670</t>
  </si>
  <si>
    <t>ST MORET 9PORT 180G</t>
  </si>
  <si>
    <t>337669</t>
  </si>
  <si>
    <t>3155253020958</t>
  </si>
  <si>
    <t>PSDT BEURRIER DOUX 60% 20 PRESIDENT 0.2 kg</t>
  </si>
  <si>
    <t>2.07</t>
  </si>
  <si>
    <t>337668</t>
  </si>
  <si>
    <t>3451790961274</t>
  </si>
  <si>
    <t>E&amp;V SAUCE CREME ANGLAISE ELLE&amp;VIRE</t>
  </si>
  <si>
    <t>337667</t>
  </si>
  <si>
    <t>3254550014704</t>
  </si>
  <si>
    <t>ISIGNY CR.FRAICHE AOP 40% 0.2 l</t>
  </si>
  <si>
    <t>337666</t>
  </si>
  <si>
    <t>BOULETTES AUX LEGUMES GARD.GOURM 200 g</t>
  </si>
  <si>
    <t>337665</t>
  </si>
  <si>
    <t>3175681108943</t>
  </si>
  <si>
    <t>TOFU FUME BOIS DE HETRE CEREAL BIO 200 g</t>
  </si>
  <si>
    <t>337664</t>
  </si>
  <si>
    <t>3667439000222</t>
  </si>
  <si>
    <t>ROTI VEGETAL GOURMAND HAPPYVORE 100 g</t>
  </si>
  <si>
    <t>337663</t>
  </si>
  <si>
    <t>3667439000277</t>
  </si>
  <si>
    <t>TENDERS VEGETAUX GOUR HAPPYVORE 180 g</t>
  </si>
  <si>
    <t>4.07</t>
  </si>
  <si>
    <t>337662</t>
  </si>
  <si>
    <t>3497917004165</t>
  </si>
  <si>
    <t>BRETS SAV FROM.DU JURA 6X</t>
  </si>
  <si>
    <t>337661</t>
  </si>
  <si>
    <t>BOULETTES VEGE HAPPYVORE 180 g</t>
  </si>
  <si>
    <t>337660</t>
  </si>
  <si>
    <t>8006530140638</t>
  </si>
  <si>
    <t>COUCHES BABY DRY GEANT T5X39 PAMPERS</t>
  </si>
  <si>
    <t>17.56</t>
  </si>
  <si>
    <t>337659</t>
  </si>
  <si>
    <t>8006530132039</t>
  </si>
  <si>
    <t>COUCHES PREMIUM PROTECT T2X PAMPERS</t>
  </si>
  <si>
    <t>17.74</t>
  </si>
  <si>
    <t>337658</t>
  </si>
  <si>
    <t>3497917000990</t>
  </si>
  <si>
    <t>CHIPS COTE DE BOEUF BRET'S 125 g</t>
  </si>
  <si>
    <t>337657</t>
  </si>
  <si>
    <t>CHIPS SAUCE CURRY BRET'S 125 g</t>
  </si>
  <si>
    <t>337656</t>
  </si>
  <si>
    <t>PASQUIER CROISSANTS X8 320g</t>
  </si>
  <si>
    <t>337655</t>
  </si>
  <si>
    <t>7613035468566</t>
  </si>
  <si>
    <t>EXTREM CONE MINI VAN CAR EXTREME 7 0.312 kg</t>
  </si>
  <si>
    <t>4.26</t>
  </si>
  <si>
    <t>337654</t>
  </si>
  <si>
    <t>3599741005407</t>
  </si>
  <si>
    <t>FIND.EPINARDS HACHES BIO FINDUS 0.45 kg</t>
  </si>
  <si>
    <t>337653</t>
  </si>
  <si>
    <t>3599741006350</t>
  </si>
  <si>
    <t>FIND.EPINARD HACHE CREME9 10 FINDUS 0.9 kg</t>
  </si>
  <si>
    <t>337652</t>
  </si>
  <si>
    <t>3250390136903</t>
  </si>
  <si>
    <t>ELOI EPINARD HACHE CREM ST ELOI 1 kg</t>
  </si>
  <si>
    <t>337651</t>
  </si>
  <si>
    <t>3083681177961</t>
  </si>
  <si>
    <t>BOND GAL COURGET EMMENTAL BONDUELLE</t>
  </si>
  <si>
    <t>337650</t>
  </si>
  <si>
    <t>3.26</t>
  </si>
  <si>
    <t>337649</t>
  </si>
  <si>
    <t>3760324308097</t>
  </si>
  <si>
    <t>P.CHIPOS VEGETALES X8 40 HAPPYVORE 0.4 kg</t>
  </si>
  <si>
    <t>6.55</t>
  </si>
  <si>
    <t>337648</t>
  </si>
  <si>
    <t>3667439000079</t>
  </si>
  <si>
    <t>TENDERS VEGETAUX HAPPYVORE 180 g</t>
  </si>
  <si>
    <t>4.03</t>
  </si>
  <si>
    <t>337647</t>
  </si>
  <si>
    <t>3250391289837</t>
  </si>
  <si>
    <t>PATURAGES PTITCHEVRE FRAI 6 PATURAGES 0.2 kg</t>
  </si>
  <si>
    <t>337646</t>
  </si>
  <si>
    <t>3272320013450</t>
  </si>
  <si>
    <t>MILLERET ROUCOULONS NOIX 0.125 kg</t>
  </si>
  <si>
    <t>2.47</t>
  </si>
  <si>
    <t>337645</t>
  </si>
  <si>
    <t>3307905386060</t>
  </si>
  <si>
    <t>PAVE D'AFFINOIS EXTRA GRM P AFFINOIS 0.2 kg</t>
  </si>
  <si>
    <t>337644</t>
  </si>
  <si>
    <t>3047670027071</t>
  </si>
  <si>
    <t>ALLIANCE PAILLEBOURGOGNE PAILLE</t>
  </si>
  <si>
    <t>3.03</t>
  </si>
  <si>
    <t>337643</t>
  </si>
  <si>
    <t>3228023980063</t>
  </si>
  <si>
    <t>OT CREME CAMEMBERT 150G PRESIDENT</t>
  </si>
  <si>
    <t>3.21</t>
  </si>
  <si>
    <t>337642</t>
  </si>
  <si>
    <t>3155253042349</t>
  </si>
  <si>
    <t>PSDT BEURRIER PEPIT CHOCO PRESIDENT 0.2 kg</t>
  </si>
  <si>
    <t>337641</t>
  </si>
  <si>
    <t>3250391292066</t>
  </si>
  <si>
    <t>PAT BEURRE MOULE SDM 250G</t>
  </si>
  <si>
    <t>337640</t>
  </si>
  <si>
    <t>3155253020965</t>
  </si>
  <si>
    <t>PSDT BEURRIER 1/2 SEL 60% PRESIDENT 0.2 kg</t>
  </si>
  <si>
    <t>337639</t>
  </si>
  <si>
    <t>3354599571005</t>
  </si>
  <si>
    <t>GD FERMAGE BEURRE DOUX PQ 0.25 kg</t>
  </si>
  <si>
    <t>2.72</t>
  </si>
  <si>
    <t>337638</t>
  </si>
  <si>
    <t>3155253031374</t>
  </si>
  <si>
    <t>BRIDE LICE CR FR E PA I PO C 0.3 l</t>
  </si>
  <si>
    <t>337637</t>
  </si>
  <si>
    <t>3451790961038</t>
  </si>
  <si>
    <t>E&amp;V SAUCE BECHAMEL 33CL ELLE&amp;VIRE</t>
  </si>
  <si>
    <t>337636</t>
  </si>
  <si>
    <t>3254550014711</t>
  </si>
  <si>
    <t>ISIGNY C.F. AOP PT VERRE 0.4 l</t>
  </si>
  <si>
    <t>337635</t>
  </si>
  <si>
    <t>3033490613983</t>
  </si>
  <si>
    <t>JOCKEY STRACCIATELLA 4X12</t>
  </si>
  <si>
    <t>337634</t>
  </si>
  <si>
    <t>3250392434823</t>
  </si>
  <si>
    <t>FALAFEL VEGETARIEN RANOU VEGE 200 g</t>
  </si>
  <si>
    <t>337633</t>
  </si>
  <si>
    <t>CARRE GOURMAND TOMATE MOZZA GARD.GOURM 160g</t>
  </si>
  <si>
    <t>337632</t>
  </si>
  <si>
    <t>3175681309005</t>
  </si>
  <si>
    <t>TOFU KOREAN BBQ BIO CEREAL BIO 290 g</t>
  </si>
  <si>
    <t>3.66</t>
  </si>
  <si>
    <t>337631</t>
  </si>
  <si>
    <t>3250392434885</t>
  </si>
  <si>
    <t>NUGGETS AU SOJA ET BLE RANOU VEGE 200 g</t>
  </si>
  <si>
    <t>337630</t>
  </si>
  <si>
    <t>3266980038915</t>
  </si>
  <si>
    <t>CROQUE FROMAGEVEG LE GAULOIS 200 g</t>
  </si>
  <si>
    <t>3.06</t>
  </si>
  <si>
    <t>337629</t>
  </si>
  <si>
    <t>AVE SOJA POIVRE PERSIL ARD.GOURM</t>
  </si>
  <si>
    <t>337628</t>
  </si>
  <si>
    <t>AIGUILLETTES VEGE ET GO HAPPYVORE 150 g</t>
  </si>
  <si>
    <t>337627</t>
  </si>
  <si>
    <t>MERGUEZ VEGE &amp; GOURMA HAPPYVORE 200 g</t>
  </si>
  <si>
    <t>337626</t>
  </si>
  <si>
    <t>NUGGETS VEGE ET GOURM HAPPYVORE 210 g</t>
  </si>
  <si>
    <t>3.91</t>
  </si>
  <si>
    <t>337625</t>
  </si>
  <si>
    <t>3760324300312</t>
  </si>
  <si>
    <t>CROQ FOND FROM/EP X2 HAPPYVORE 180 g</t>
  </si>
  <si>
    <t>337624</t>
  </si>
  <si>
    <t>BRETS SAVEUR MIEL MOUTARD 0.125 kg</t>
  </si>
  <si>
    <t>337623</t>
  </si>
  <si>
    <t>3250393446146</t>
  </si>
  <si>
    <t>PAQUITO BIO PJ PRUNEAU 1L</t>
  </si>
  <si>
    <t>337622</t>
  </si>
  <si>
    <t>3250391436750</t>
  </si>
  <si>
    <t>PUR JUS DE CAROTTE PET PAQUITO</t>
  </si>
  <si>
    <t>337621</t>
  </si>
  <si>
    <t>8006530143400</t>
  </si>
  <si>
    <t>COUCHES BBDRY BIG PACK T4 X72 PAMPERS</t>
  </si>
  <si>
    <t>25.39</t>
  </si>
  <si>
    <t>337620</t>
  </si>
  <si>
    <t>3250391899258</t>
  </si>
  <si>
    <t>337619</t>
  </si>
  <si>
    <t>3250391134663</t>
  </si>
  <si>
    <t>LAPIN MOUTARDEBARQ MICRO ON RANOU 300 g</t>
  </si>
  <si>
    <t>337618</t>
  </si>
  <si>
    <t>CHIPS CHEDDAR JALAPE BRET'S</t>
  </si>
  <si>
    <t>337617</t>
  </si>
  <si>
    <t>CHIPS BEURRE PERSILLE BRET'S 125 g</t>
  </si>
  <si>
    <t>337616</t>
  </si>
  <si>
    <t>3497917004226</t>
  </si>
  <si>
    <t>CHIPS SAV TAJINE POULET BRET'S 125 g</t>
  </si>
  <si>
    <t>337615</t>
  </si>
  <si>
    <t>337614</t>
  </si>
  <si>
    <t>337613</t>
  </si>
  <si>
    <t>BRETS CHIPS FROMAGE JURA 0.125 kg</t>
  </si>
  <si>
    <t>337612</t>
  </si>
  <si>
    <t>3250393446214</t>
  </si>
  <si>
    <t>PAQUITO BIO PJ CAROTTE 1L</t>
  </si>
  <si>
    <t>337611</t>
  </si>
  <si>
    <t>3250393446177</t>
  </si>
  <si>
    <t>PAQUITO BIO PJ MULTIFRT 1 PAQUITO</t>
  </si>
  <si>
    <t>337610</t>
  </si>
  <si>
    <t>3123349017670</t>
  </si>
  <si>
    <t>JOKER JUS MATIN+ MANDA 90</t>
  </si>
  <si>
    <t>337609</t>
  </si>
  <si>
    <t>3250390003656</t>
  </si>
  <si>
    <t>JUS DE TOMATE PET PAQUITO</t>
  </si>
  <si>
    <t>Exchange rates to USD (illustrative placeholders, update before use)</t>
  </si>
  <si>
    <t>Rate = USD per 1 unit of the currency. Yellow cells are inputs.</t>
  </si>
  <si>
    <t>Currency</t>
  </si>
  <si>
    <t>USD per 1 unit</t>
  </si>
  <si>
    <t>price_local</t>
  </si>
  <si>
    <t>store</t>
  </si>
  <si>
    <t>contributor</t>
  </si>
  <si>
    <t>month</t>
  </si>
  <si>
    <t>fx_to_usd</t>
  </si>
  <si>
    <t>price_usd</t>
  </si>
  <si>
    <t>flag_unnamed_product</t>
  </si>
  <si>
    <t>Uncategorised</t>
  </si>
  <si>
    <t>Unnamed product</t>
  </si>
  <si>
    <t>Deleted account (vanished)</t>
  </si>
  <si>
    <t>Data quality issues and actions</t>
  </si>
  <si>
    <t>#</t>
  </si>
  <si>
    <t>Column</t>
  </si>
  <si>
    <t>Issue</t>
  </si>
  <si>
    <t>Rows affected (live)</t>
  </si>
  <si>
    <t>Share of rows</t>
  </si>
  <si>
    <t>Action taken</t>
  </si>
  <si>
    <t>Column is entirely blank</t>
  </si>
  <si>
    <t>Dropped from analysis. Kept in Raw for reference.</t>
  </si>
  <si>
    <t>Column is entirely blank, although the README lists it as populated</t>
  </si>
  <si>
    <t>Dropped. Currency used as the location proxy instead (the city column holds store names, see #8).</t>
  </si>
  <si>
    <t>Every row is FALSE, so discounts cannot be analysed</t>
  </si>
  <si>
    <t>Noted. Discount analysis is not possible with this file.</t>
  </si>
  <si>
    <t>Mostly blank (about 93%)</t>
  </si>
  <si>
    <t>Blanks labelled 'Uncategorised'. Category analysis limited to the labelled minority.</t>
  </si>
  <si>
    <t>Blank product names</t>
  </si>
  <si>
    <t>Labelled 'Unnamed product' and flagged in Clean column M. Kept in price totals.</t>
  </si>
  <si>
    <t>Blank barcodes</t>
  </si>
  <si>
    <t>Left blank. Not needed for these analyses.</t>
  </si>
  <si>
    <t>Mislabelled: holds Open Food Facts contributor usernames, not stores (e.g. poslovitch, 502 rows)</t>
  </si>
  <si>
    <t>Source columns mislabelled: store_name holds contributor IDs, city holds store names. Remapped to the Clean 'contributor' column and excluded from store analysis.</t>
  </si>
  <si>
    <t>Mislabelled: holds store names, not cities (e.g. Dumbo Market, E. Leclerc). The file has no real city data</t>
  </si>
  <si>
    <t>Remapped to the Clean 'store' column. Analysis section 2 now ranks these real stores. Currency is the only location proxy.</t>
  </si>
  <si>
    <t>Mixed currencies (20 codes). Local prices are not comparable</t>
  </si>
  <si>
    <t>Converted to USD using the Assumptions sheet. Count shows rows outside EUR and USD.</t>
  </si>
  <si>
    <t>Very low-value currencies with large nominal numbers (BIF, KZT)</t>
  </si>
  <si>
    <t>Converted to USD. Review before trusting cross-currency averages.</t>
  </si>
  <si>
    <t>All dates valid, 7 Feb to 3 Oct 2026</t>
  </si>
  <si>
    <t>No action needed. Confirmed in Analysis.</t>
  </si>
  <si>
    <t>No duplicate IDs or duplicate rows</t>
  </si>
  <si>
    <t>Checked during profiling. No action needed.</t>
  </si>
  <si>
    <t>'vanished' is a deleted contributor account, not an unknown store</t>
  </si>
  <si>
    <t>Labelled 'Deleted account (vanished)' in the contributor column. The store on these rows (Small) is intact.</t>
  </si>
  <si>
    <t>Accented store names (Intermarché, Kiwi Bøhmergaten, Đurić Market) show as broken characters if the CSV is double-clicked, because Excel assumes ANSI instead of UTF-8</t>
  </si>
  <si>
    <t>Source file is valid UTF-8. Imported with UTF-8 encoding (Data &gt; From Text/CSV, File origin 65001); every text value checked against the CSV, no corrupted characters.</t>
  </si>
  <si>
    <t>Analysis (all figures are live formulas on the Clean sheet, prices in USD)</t>
  </si>
  <si>
    <t>1. Records and average price by currency</t>
  </si>
  <si>
    <t>Share of records</t>
  </si>
  <si>
    <t>Avg price (local)</t>
  </si>
  <si>
    <t>Avg price (USD)</t>
  </si>
  <si>
    <t>2. Top 12 stores by record count</t>
  </si>
  <si>
    <t>Store</t>
  </si>
  <si>
    <t>Records with unnamed product</t>
  </si>
  <si>
    <t>3. Monthly trend (USD, all currencies)</t>
  </si>
  <si>
    <t>Month</t>
  </si>
  <si>
    <t>Avg price (USD), items under $10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</si>
</sst>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00000"/>
    <numFmt numFmtId="165" formatCode="yyyy\-mm\-dd"/>
    <numFmt numFmtId="166" formatCode="mmm\ yyyy"/>
    <numFmt numFmtId="167" formatCode="\$#,##0.00"/>
    <numFmt numFmtId="168" formatCode="0.0%"/>
  </numFmts>
  <fonts count="9" x14ac:knownFonts="1">
    <font>
      <sz val="11"/>
      <color theme="1"/>
      <name val="Calibri"/>
      <family val="2"/>
      <scheme val="minor"/>
    </font>
    <font>
      <b/>
      <sz val="16"/>
      <color rgb="FF1F3864"/>
      <name val="Calibri"/>
    </font>
    <font>
      <b/>
      <sz val="11"/>
      <name val="Calibri"/>
    </font>
    <font>
      <sz val="11"/>
      <name val="Calibri"/>
    </font>
    <font>
      <b/>
      <sz val="11"/>
      <color rgb="FFFFFFFF"/>
      <name val="Calibri"/>
    </font>
    <font>
      <b/>
      <sz val="11"/>
      <color rgb="FF1F3864"/>
      <name val="Calibri"/>
    </font>
    <font>
      <i/>
      <sz val="9"/>
      <color rgb="FF7F7F7F"/>
      <name val="Calibri"/>
    </font>
    <font>
      <b/>
      <sz val="11"/>
      <color rgb="FF1F3864"/>
      <name val="Calibri"/>
    </font>
    <font>
      <b/>
      <sz val="18"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2CC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/>
    <xf numFmtId="0" fontId="0" fillId="3" borderId="1" xfId="0" applyFill="1" applyBorder="1"/>
    <xf numFmtId="0" fontId="7" fillId="0" borderId="0" xfId="0" applyFont="1"/>
    <xf numFmtId="0" fontId="6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164" fontId="0" fillId="3" borderId="0" xfId="0" applyNumberFormat="1" applyFill="1"/>
    <xf numFmtId="165" fontId="0" fillId="0" borderId="0" xfId="0" applyNumberFormat="1"/>
    <xf numFmtId="166" fontId="0" fillId="0" borderId="0" xfId="0" applyNumberFormat="1"/>
    <xf numFmtId="164" fontId="0" fillId="0" borderId="0" xfId="0" applyNumberFormat="1"/>
    <xf numFmtId="167" fontId="0" fillId="0" borderId="0" xfId="0" applyNumberFormat="1"/>
    <xf numFmtId="168" fontId="0" fillId="0" borderId="0" xfId="0" applyNumberFormat="1"/>
    <xf numFmtId="4" fontId="0" fillId="0" borderId="0" xfId="0" applyNumberFormat="1"/>
    <xf numFmtId="167" fontId="8" fillId="4" borderId="0" xfId="0" applyNumberFormat="1" applyFont="1" applyFill="1" applyAlignment="1">
      <alignment horizontal="left"/>
    </xf>
    <xf numFmtId="0" fontId="0" fillId="0" borderId="0" xfId="0"/>
    <xf numFmtId="3" fontId="8" fillId="4" borderId="0" xfId="0" applyNumberFormat="1" applyFont="1" applyFill="1" applyAlignment="1">
      <alignment horizontal="left"/>
    </xf>
  </cellXfs>
  <cellStyles count="1">
    <cellStyle name="Normal" xfId="0" builtinId="0"/>
  </cellStyles>
  <dxfs count="1">
    <dxf>
      <fill>
        <patternFill patternType="solid">
          <fgColor rgb="FFF8CBA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IN"/>
              <a:t>Average price by month (USD)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Analysis!$C$42</c:f>
              <c:strCache>
                <c:ptCount val="1"/>
                <c:pt idx="0">
                  <c:v>Avg price (USD)</c:v>
                </c:pt>
              </c:strCache>
            </c:strRef>
          </c:tx>
          <c:spPr>
            <a:solidFill>
              <a:srgbClr val="1F3864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Analysis!$A$43:$A$50</c:f>
              <c:numCache>
                <c:formatCode>mmm\ yyyy</c:formatCode>
                <c:ptCount val="8"/>
                <c:pt idx="0">
                  <c:v>46054</c:v>
                </c:pt>
                <c:pt idx="1">
                  <c:v>46082</c:v>
                </c:pt>
                <c:pt idx="2">
                  <c:v>46113</c:v>
                </c:pt>
                <c:pt idx="3">
                  <c:v>46143</c:v>
                </c:pt>
                <c:pt idx="4">
                  <c:v>46174</c:v>
                </c:pt>
                <c:pt idx="5">
                  <c:v>46204</c:v>
                </c:pt>
                <c:pt idx="6">
                  <c:v>46266</c:v>
                </c:pt>
                <c:pt idx="7">
                  <c:v>46296</c:v>
                </c:pt>
              </c:numCache>
            </c:numRef>
          </c:cat>
          <c:val>
            <c:numRef>
              <c:f>Analysis!$C$43:$C$50</c:f>
              <c:numCache>
                <c:formatCode>\$#,##0.00</c:formatCode>
                <c:ptCount val="8"/>
                <c:pt idx="0">
                  <c:v>5.2766666666666664</c:v>
                </c:pt>
                <c:pt idx="1">
                  <c:v>1.278179190751445</c:v>
                </c:pt>
                <c:pt idx="2">
                  <c:v>3.3342967244701351</c:v>
                </c:pt>
                <c:pt idx="3">
                  <c:v>2.6313058328954289</c:v>
                </c:pt>
                <c:pt idx="4">
                  <c:v>1.9426094137076799</c:v>
                </c:pt>
                <c:pt idx="5">
                  <c:v>5.7745664739884397</c:v>
                </c:pt>
                <c:pt idx="6">
                  <c:v>6.7786815796794997</c:v>
                </c:pt>
                <c:pt idx="7">
                  <c:v>3.897715437831911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B660-4429-BB79-78DF839E57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l"/>
        <c:majorGridlines>
          <c:spPr>
            <a:ln>
              <a:solidFill>
                <a:srgbClr val="D9D9D9"/>
              </a:solidFill>
              <a:prstDash val="solid"/>
            </a:ln>
          </c:spPr>
        </c:majorGridlines>
        <c:numFmt formatCode="\$#,##0.0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 sz="1200"/>
            </a:pPr>
            <a:r>
              <a:rPr lang="en-IN"/>
              <a:t>Records by currency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Analysis!$B$4</c:f>
              <c:strCache>
                <c:ptCount val="1"/>
                <c:pt idx="0">
                  <c:v>Records</c:v>
                </c:pt>
              </c:strCache>
            </c:strRef>
          </c:tx>
          <c:spPr>
            <a:solidFill>
              <a:srgbClr val="2E75B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  <a:prstDash val="solid"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Analysis!$A$5:$A$24</c:f>
              <c:strCache>
                <c:ptCount val="20"/>
                <c:pt idx="0">
                  <c:v>EUR</c:v>
                </c:pt>
                <c:pt idx="1">
                  <c:v>USD</c:v>
                </c:pt>
                <c:pt idx="2">
                  <c:v>NOK</c:v>
                </c:pt>
                <c:pt idx="3">
                  <c:v>BAM</c:v>
                </c:pt>
                <c:pt idx="4">
                  <c:v>SEK</c:v>
                </c:pt>
                <c:pt idx="5">
                  <c:v>CZK</c:v>
                </c:pt>
                <c:pt idx="6">
                  <c:v>KZT</c:v>
                </c:pt>
                <c:pt idx="7">
                  <c:v>PLN</c:v>
                </c:pt>
                <c:pt idx="8">
                  <c:v>SGD</c:v>
                </c:pt>
                <c:pt idx="9">
                  <c:v>ILS</c:v>
                </c:pt>
                <c:pt idx="10">
                  <c:v>RUB</c:v>
                </c:pt>
                <c:pt idx="11">
                  <c:v>INR</c:v>
                </c:pt>
                <c:pt idx="12">
                  <c:v>MAD</c:v>
                </c:pt>
                <c:pt idx="13">
                  <c:v>GBP</c:v>
                </c:pt>
                <c:pt idx="14">
                  <c:v>BIF</c:v>
                </c:pt>
                <c:pt idx="15">
                  <c:v>CLP</c:v>
                </c:pt>
                <c:pt idx="16">
                  <c:v>RSD</c:v>
                </c:pt>
                <c:pt idx="17">
                  <c:v>BRL</c:v>
                </c:pt>
                <c:pt idx="18">
                  <c:v>THB</c:v>
                </c:pt>
                <c:pt idx="19">
                  <c:v>HUF</c:v>
                </c:pt>
              </c:strCache>
            </c:strRef>
          </c:cat>
          <c:val>
            <c:numRef>
              <c:f>Analysis!$B$5:$B$24</c:f>
              <c:numCache>
                <c:formatCode>General</c:formatCode>
                <c:ptCount val="20"/>
                <c:pt idx="0">
                  <c:v>994</c:v>
                </c:pt>
                <c:pt idx="1">
                  <c:v>407</c:v>
                </c:pt>
                <c:pt idx="2">
                  <c:v>190</c:v>
                </c:pt>
                <c:pt idx="3">
                  <c:v>122</c:v>
                </c:pt>
                <c:pt idx="4">
                  <c:v>118</c:v>
                </c:pt>
                <c:pt idx="5">
                  <c:v>73</c:v>
                </c:pt>
                <c:pt idx="6">
                  <c:v>35</c:v>
                </c:pt>
                <c:pt idx="7">
                  <c:v>21</c:v>
                </c:pt>
                <c:pt idx="8">
                  <c:v>16</c:v>
                </c:pt>
                <c:pt idx="9">
                  <c:v>5</c:v>
                </c:pt>
                <c:pt idx="10">
                  <c:v>4</c:v>
                </c:pt>
                <c:pt idx="11">
                  <c:v>3</c:v>
                </c:pt>
                <c:pt idx="12">
                  <c:v>3</c:v>
                </c:pt>
                <c:pt idx="13">
                  <c:v>2</c:v>
                </c:pt>
                <c:pt idx="14">
                  <c:v>2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67-4DA5-BF3A-DEA006E11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tickLblSkip val="1"/>
        <c:noMultiLvlLbl val="1"/>
      </c:catAx>
      <c:valAx>
        <c:axId val="1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"/>
        <c:crosses val="max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14</xdr:row>
      <xdr:rowOff>0</xdr:rowOff>
    </xdr:from>
    <xdr:ext cx="61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7</xdr:col>
      <xdr:colOff>0</xdr:colOff>
      <xdr:row>14</xdr:row>
      <xdr:rowOff>0</xdr:rowOff>
    </xdr:from>
    <xdr:ext cx="54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Raw" displayName="tblRaw" ref="A1:L2001">
  <autoFilter ref="A1:L2001" xr:uid="{00000000-0009-0000-0100-000001000000}"/>
  <tableColumns count="12">
    <tableColumn id="1" xr3:uid="{00000000-0010-0000-0000-000001000000}" name="price_record_id"/>
    <tableColumn id="2" xr3:uid="{00000000-0010-0000-0000-000002000000}" name="product_code"/>
    <tableColumn id="3" xr3:uid="{00000000-0010-0000-0000-000003000000}" name="product_name"/>
    <tableColumn id="4" xr3:uid="{00000000-0010-0000-0000-000004000000}" name="brand"/>
    <tableColumn id="5" xr3:uid="{00000000-0010-0000-0000-000005000000}" name="category"/>
    <tableColumn id="6" xr3:uid="{00000000-0010-0000-0000-000006000000}" name="price"/>
    <tableColumn id="7" xr3:uid="{00000000-0010-0000-0000-000007000000}" name="currency"/>
    <tableColumn id="8" xr3:uid="{00000000-0010-0000-0000-000008000000}" name="price_is_discounted"/>
    <tableColumn id="9" xr3:uid="{00000000-0010-0000-0000-000009000000}" name="store_name"/>
    <tableColumn id="10" xr3:uid="{00000000-0010-0000-0000-00000A000000}" name="city"/>
    <tableColumn id="11" xr3:uid="{00000000-0010-0000-0000-00000B000000}" name="country_code"/>
    <tableColumn id="12" xr3:uid="{00000000-0010-0000-0000-00000C000000}" name="date_recorded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Prices" displayName="tblPrices" ref="A1:M2001">
  <autoFilter ref="A1:M2001" xr:uid="{00000000-0009-0000-0100-000002000000}"/>
  <tableColumns count="13">
    <tableColumn id="1" xr3:uid="{00000000-0010-0000-0100-000001000000}" name="price_record_id"/>
    <tableColumn id="2" xr3:uid="{00000000-0010-0000-0100-000002000000}" name="product_code"/>
    <tableColumn id="3" xr3:uid="{00000000-0010-0000-0100-000003000000}" name="product_name"/>
    <tableColumn id="4" xr3:uid="{00000000-0010-0000-0100-000004000000}" name="category"/>
    <tableColumn id="5" xr3:uid="{00000000-0010-0000-0100-000005000000}" name="price_local"/>
    <tableColumn id="6" xr3:uid="{00000000-0010-0000-0100-000006000000}" name="currency"/>
    <tableColumn id="7" xr3:uid="{00000000-0010-0000-0100-000007000000}" name="store"/>
    <tableColumn id="8" xr3:uid="{00000000-0010-0000-0100-000008000000}" name="contributor"/>
    <tableColumn id="9" xr3:uid="{00000000-0010-0000-0100-000009000000}" name="date_recorded"/>
    <tableColumn id="10" xr3:uid="{00000000-0010-0000-0100-00000A000000}" name="month"/>
    <tableColumn id="11" xr3:uid="{00000000-0010-0000-0100-00000B000000}" name="fx_to_usd"/>
    <tableColumn id="12" xr3:uid="{00000000-0010-0000-0100-00000C000000}" name="price_usd"/>
    <tableColumn id="13" xr3:uid="{00000000-0010-0000-0100-00000D000000}" name="flag_unnamed_produc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workbookViewId="0"/>
  </sheetViews>
  <sheetFormatPr defaultRowHeight="15" x14ac:dyDescent="0.25"/>
  <cols>
    <col min="1" max="1" width="18" customWidth="1"/>
    <col min="2" max="2" width="110" customWidth="1"/>
  </cols>
  <sheetData>
    <row r="1" spans="1:2" ht="21" customHeight="1" x14ac:dyDescent="0.35">
      <c r="A1" s="1" t="s">
        <v>0</v>
      </c>
    </row>
    <row r="3" spans="1:2" ht="30" customHeight="1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4"/>
      <c r="B7" s="3"/>
    </row>
    <row r="8" spans="1:2" x14ac:dyDescent="0.25">
      <c r="A8" s="2" t="s">
        <v>9</v>
      </c>
      <c r="B8" s="3"/>
    </row>
    <row r="9" spans="1:2" x14ac:dyDescent="0.25">
      <c r="A9" s="2" t="s">
        <v>10</v>
      </c>
      <c r="B9" s="3" t="s">
        <v>11</v>
      </c>
    </row>
    <row r="10" spans="1:2" x14ac:dyDescent="0.25">
      <c r="A10" s="2" t="s">
        <v>12</v>
      </c>
      <c r="B10" s="3" t="s">
        <v>13</v>
      </c>
    </row>
    <row r="11" spans="1:2" ht="30" x14ac:dyDescent="0.25">
      <c r="A11" s="2" t="s">
        <v>14</v>
      </c>
      <c r="B11" s="3" t="s">
        <v>15</v>
      </c>
    </row>
    <row r="12" spans="1:2" x14ac:dyDescent="0.25">
      <c r="A12" s="2" t="s">
        <v>16</v>
      </c>
      <c r="B12" s="3" t="s">
        <v>17</v>
      </c>
    </row>
    <row r="13" spans="1:2" x14ac:dyDescent="0.25">
      <c r="A13" s="2" t="s">
        <v>18</v>
      </c>
      <c r="B13" s="3" t="s">
        <v>19</v>
      </c>
    </row>
    <row r="14" spans="1:2" x14ac:dyDescent="0.25">
      <c r="A14" s="2" t="s">
        <v>20</v>
      </c>
      <c r="B14" s="3" t="s">
        <v>21</v>
      </c>
    </row>
    <row r="15" spans="1:2" x14ac:dyDescent="0.25">
      <c r="A15" s="4"/>
      <c r="B15" s="3"/>
    </row>
    <row r="16" spans="1:2" ht="30" customHeight="1" x14ac:dyDescent="0.25">
      <c r="A16" s="2" t="s">
        <v>22</v>
      </c>
      <c r="B16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3"/>
  <sheetViews>
    <sheetView showGridLines="0" tabSelected="1" workbookViewId="0"/>
  </sheetViews>
  <sheetFormatPr defaultRowHeight="15" x14ac:dyDescent="0.25"/>
  <cols>
    <col min="1" max="2" width="22" customWidth="1"/>
    <col min="3" max="3" width="4" customWidth="1"/>
    <col min="4" max="4" width="22" customWidth="1"/>
    <col min="5" max="5" width="4" customWidth="1"/>
    <col min="6" max="6" width="22" customWidth="1"/>
    <col min="7" max="7" width="4" customWidth="1"/>
    <col min="8" max="8" width="16" customWidth="1"/>
  </cols>
  <sheetData>
    <row r="1" spans="1:6" ht="21" customHeight="1" x14ac:dyDescent="0.35">
      <c r="A1" s="1" t="s">
        <v>24</v>
      </c>
    </row>
    <row r="3" spans="1:6" x14ac:dyDescent="0.25">
      <c r="A3" s="2" t="s">
        <v>25</v>
      </c>
      <c r="B3" s="5" t="s">
        <v>26</v>
      </c>
    </row>
    <row r="5" spans="1:6" x14ac:dyDescent="0.25">
      <c r="A5" s="6" t="s">
        <v>27</v>
      </c>
      <c r="C5" s="6" t="s">
        <v>28</v>
      </c>
      <c r="E5" s="6" t="s">
        <v>29</v>
      </c>
    </row>
    <row r="6" spans="1:6" ht="23.25" customHeight="1" x14ac:dyDescent="0.35">
      <c r="A6" s="19">
        <f>IF($B$3="All",COUNTA(c_currency),COUNTIFS(c_currency,$B$3))</f>
        <v>2000</v>
      </c>
      <c r="B6" s="18"/>
      <c r="C6" s="17">
        <f>IF($B$3="All",AVERAGE(c_usd),AVERAGEIFS(c_usd,c_currency,$B$3))</f>
        <v>4.8155912183054754</v>
      </c>
      <c r="D6" s="18"/>
      <c r="E6" s="17">
        <f>IF($B$3="All",MIN(c_usd),_xlfn.MINIFS(c_usd,c_currency,$B$3))</f>
        <v>0.16763005780346821</v>
      </c>
      <c r="F6" s="18"/>
    </row>
    <row r="8" spans="1:6" x14ac:dyDescent="0.25">
      <c r="A8" s="6" t="s">
        <v>30</v>
      </c>
      <c r="C8" s="6" t="s">
        <v>31</v>
      </c>
      <c r="E8" s="6" t="s">
        <v>32</v>
      </c>
    </row>
    <row r="9" spans="1:6" ht="23.25" customHeight="1" x14ac:dyDescent="0.35">
      <c r="A9" s="17">
        <f>IF($B$3="All",MAX(c_usd),_xlfn.MAXIFS(c_usd,c_currency,$B$3))</f>
        <v>43.99</v>
      </c>
      <c r="B9" s="18"/>
      <c r="C9" s="19">
        <f>IF($B$3="All",COUNTIF(c_name_flag,"Yes"),COUNTIFS(c_name_flag,"Yes",c_currency,$B$3))</f>
        <v>461</v>
      </c>
      <c r="D9" s="18"/>
      <c r="E9" s="19">
        <f>IF($B$3="All",COUNTIF(c_category,"Uncategorised"),COUNTIFS(c_category,"Uncategorised",c_currency,$B$3))</f>
        <v>1866</v>
      </c>
      <c r="F9" s="18"/>
    </row>
    <row r="13" spans="1:6" x14ac:dyDescent="0.25">
      <c r="A13" s="7" t="s">
        <v>33</v>
      </c>
    </row>
  </sheetData>
  <mergeCells count="6">
    <mergeCell ref="E6:F6"/>
    <mergeCell ref="C6:D6"/>
    <mergeCell ref="C9:D9"/>
    <mergeCell ref="A9:B9"/>
    <mergeCell ref="E9:F9"/>
    <mergeCell ref="A6:B6"/>
  </mergeCells>
  <dataValidations count="1">
    <dataValidation type="list" error="Choose a currency from the list" sqref="B3" xr:uid="{00000000-0002-0000-0100-000000000000}">
      <formula1>"All,EUR,USD,NOK,BAM,SEK,CZK,KZT,PLN,SGD,ILS,RUB,INR,MAD,GBP,BIF,CLP,RSD,BRL,THB,HUF"</formula1>
    </dataValidation>
  </dataValidation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00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2" width="18" customWidth="1"/>
  </cols>
  <sheetData>
    <row r="1" spans="1:12" ht="30" customHeight="1" x14ac:dyDescent="0.25">
      <c r="A1" s="8" t="s">
        <v>34</v>
      </c>
      <c r="B1" s="8" t="s">
        <v>35</v>
      </c>
      <c r="C1" s="8" t="s">
        <v>36</v>
      </c>
      <c r="D1" s="8" t="s">
        <v>37</v>
      </c>
      <c r="E1" s="8" t="s">
        <v>38</v>
      </c>
      <c r="F1" s="8" t="s">
        <v>39</v>
      </c>
      <c r="G1" s="8" t="s">
        <v>40</v>
      </c>
      <c r="H1" s="8" t="s">
        <v>41</v>
      </c>
      <c r="I1" s="8" t="s">
        <v>42</v>
      </c>
      <c r="J1" s="8" t="s">
        <v>43</v>
      </c>
      <c r="K1" s="8" t="s">
        <v>44</v>
      </c>
      <c r="L1" s="8" t="s">
        <v>45</v>
      </c>
    </row>
    <row r="2" spans="1:12" x14ac:dyDescent="0.25">
      <c r="A2" t="s">
        <v>46</v>
      </c>
      <c r="C2" t="s">
        <v>47</v>
      </c>
      <c r="E2" t="s">
        <v>48</v>
      </c>
      <c r="F2" t="s">
        <v>49</v>
      </c>
      <c r="G2" t="s">
        <v>50</v>
      </c>
      <c r="H2" t="s">
        <v>51</v>
      </c>
      <c r="I2" t="s">
        <v>52</v>
      </c>
      <c r="J2" t="s">
        <v>53</v>
      </c>
      <c r="L2" t="s">
        <v>54</v>
      </c>
    </row>
    <row r="3" spans="1:12" x14ac:dyDescent="0.25">
      <c r="A3" t="s">
        <v>55</v>
      </c>
      <c r="B3" t="s">
        <v>56</v>
      </c>
      <c r="C3" t="s">
        <v>57</v>
      </c>
      <c r="F3" t="s">
        <v>58</v>
      </c>
      <c r="G3" t="s">
        <v>50</v>
      </c>
      <c r="H3" t="s">
        <v>51</v>
      </c>
      <c r="I3" t="s">
        <v>52</v>
      </c>
      <c r="J3" t="s">
        <v>53</v>
      </c>
      <c r="L3" t="s">
        <v>54</v>
      </c>
    </row>
    <row r="4" spans="1:12" x14ac:dyDescent="0.25">
      <c r="A4" t="s">
        <v>59</v>
      </c>
      <c r="C4" t="s">
        <v>60</v>
      </c>
      <c r="E4" t="s">
        <v>61</v>
      </c>
      <c r="F4" t="s">
        <v>62</v>
      </c>
      <c r="G4" t="s">
        <v>50</v>
      </c>
      <c r="H4" t="s">
        <v>51</v>
      </c>
      <c r="I4" t="s">
        <v>52</v>
      </c>
      <c r="J4" t="s">
        <v>53</v>
      </c>
      <c r="L4" t="s">
        <v>54</v>
      </c>
    </row>
    <row r="5" spans="1:12" x14ac:dyDescent="0.25">
      <c r="A5" t="s">
        <v>63</v>
      </c>
      <c r="B5" t="s">
        <v>64</v>
      </c>
      <c r="C5" t="s">
        <v>65</v>
      </c>
      <c r="F5" t="s">
        <v>66</v>
      </c>
      <c r="G5" t="s">
        <v>50</v>
      </c>
      <c r="H5" t="s">
        <v>51</v>
      </c>
      <c r="I5" t="s">
        <v>52</v>
      </c>
      <c r="J5" t="s">
        <v>53</v>
      </c>
      <c r="L5" t="s">
        <v>54</v>
      </c>
    </row>
    <row r="6" spans="1:12" x14ac:dyDescent="0.25">
      <c r="A6" t="s">
        <v>67</v>
      </c>
      <c r="B6" t="s">
        <v>68</v>
      </c>
      <c r="C6" t="s">
        <v>57</v>
      </c>
      <c r="F6" t="s">
        <v>58</v>
      </c>
      <c r="G6" t="s">
        <v>50</v>
      </c>
      <c r="H6" t="s">
        <v>51</v>
      </c>
      <c r="I6" t="s">
        <v>52</v>
      </c>
      <c r="J6" t="s">
        <v>53</v>
      </c>
      <c r="L6" t="s">
        <v>54</v>
      </c>
    </row>
    <row r="7" spans="1:12" x14ac:dyDescent="0.25">
      <c r="A7" t="s">
        <v>69</v>
      </c>
      <c r="B7" t="s">
        <v>70</v>
      </c>
      <c r="F7" t="s">
        <v>66</v>
      </c>
      <c r="G7" t="s">
        <v>50</v>
      </c>
      <c r="H7" t="s">
        <v>51</v>
      </c>
      <c r="I7" t="s">
        <v>52</v>
      </c>
      <c r="J7" t="s">
        <v>53</v>
      </c>
      <c r="L7" t="s">
        <v>54</v>
      </c>
    </row>
    <row r="8" spans="1:12" x14ac:dyDescent="0.25">
      <c r="A8" t="s">
        <v>71</v>
      </c>
      <c r="B8" t="s">
        <v>72</v>
      </c>
      <c r="C8" t="s">
        <v>73</v>
      </c>
      <c r="F8" t="s">
        <v>74</v>
      </c>
      <c r="G8" t="s">
        <v>50</v>
      </c>
      <c r="H8" t="s">
        <v>51</v>
      </c>
      <c r="I8" t="s">
        <v>52</v>
      </c>
      <c r="J8" t="s">
        <v>53</v>
      </c>
      <c r="L8" t="s">
        <v>54</v>
      </c>
    </row>
    <row r="9" spans="1:12" x14ac:dyDescent="0.25">
      <c r="A9" t="s">
        <v>75</v>
      </c>
      <c r="B9" t="s">
        <v>76</v>
      </c>
      <c r="C9" t="s">
        <v>77</v>
      </c>
      <c r="F9" t="s">
        <v>78</v>
      </c>
      <c r="G9" t="s">
        <v>50</v>
      </c>
      <c r="H9" t="s">
        <v>51</v>
      </c>
      <c r="I9" t="s">
        <v>52</v>
      </c>
      <c r="J9" t="s">
        <v>53</v>
      </c>
      <c r="L9" t="s">
        <v>54</v>
      </c>
    </row>
    <row r="10" spans="1:12" x14ac:dyDescent="0.25">
      <c r="A10" t="s">
        <v>79</v>
      </c>
      <c r="B10" t="s">
        <v>80</v>
      </c>
      <c r="C10" t="s">
        <v>81</v>
      </c>
      <c r="F10" t="s">
        <v>82</v>
      </c>
      <c r="G10" t="s">
        <v>50</v>
      </c>
      <c r="H10" t="s">
        <v>51</v>
      </c>
      <c r="I10" t="s">
        <v>52</v>
      </c>
      <c r="J10" t="s">
        <v>53</v>
      </c>
      <c r="L10" t="s">
        <v>54</v>
      </c>
    </row>
    <row r="11" spans="1:12" x14ac:dyDescent="0.25">
      <c r="A11" t="s">
        <v>83</v>
      </c>
      <c r="B11" t="s">
        <v>84</v>
      </c>
      <c r="C11" t="s">
        <v>85</v>
      </c>
      <c r="F11" t="s">
        <v>86</v>
      </c>
      <c r="G11" t="s">
        <v>50</v>
      </c>
      <c r="H11" t="s">
        <v>51</v>
      </c>
      <c r="I11" t="s">
        <v>52</v>
      </c>
      <c r="J11" t="s">
        <v>53</v>
      </c>
      <c r="L11" t="s">
        <v>54</v>
      </c>
    </row>
    <row r="12" spans="1:12" x14ac:dyDescent="0.25">
      <c r="A12" t="s">
        <v>87</v>
      </c>
      <c r="C12" t="s">
        <v>88</v>
      </c>
      <c r="E12" t="s">
        <v>89</v>
      </c>
      <c r="F12" t="s">
        <v>90</v>
      </c>
      <c r="G12" t="s">
        <v>50</v>
      </c>
      <c r="H12" t="s">
        <v>51</v>
      </c>
      <c r="I12" t="s">
        <v>52</v>
      </c>
      <c r="J12" t="s">
        <v>53</v>
      </c>
      <c r="L12" t="s">
        <v>54</v>
      </c>
    </row>
    <row r="13" spans="1:12" x14ac:dyDescent="0.25">
      <c r="A13" t="s">
        <v>91</v>
      </c>
      <c r="B13" t="s">
        <v>92</v>
      </c>
      <c r="C13" t="s">
        <v>93</v>
      </c>
      <c r="F13" t="s">
        <v>94</v>
      </c>
      <c r="G13" t="s">
        <v>50</v>
      </c>
      <c r="H13" t="s">
        <v>51</v>
      </c>
      <c r="I13" t="s">
        <v>52</v>
      </c>
      <c r="J13" t="s">
        <v>53</v>
      </c>
      <c r="L13" t="s">
        <v>54</v>
      </c>
    </row>
    <row r="14" spans="1:12" x14ac:dyDescent="0.25">
      <c r="A14" t="s">
        <v>95</v>
      </c>
      <c r="B14" t="s">
        <v>96</v>
      </c>
      <c r="C14" t="s">
        <v>93</v>
      </c>
      <c r="F14" t="s">
        <v>94</v>
      </c>
      <c r="G14" t="s">
        <v>50</v>
      </c>
      <c r="H14" t="s">
        <v>51</v>
      </c>
      <c r="I14" t="s">
        <v>52</v>
      </c>
      <c r="J14" t="s">
        <v>53</v>
      </c>
      <c r="L14" t="s">
        <v>54</v>
      </c>
    </row>
    <row r="15" spans="1:12" x14ac:dyDescent="0.25">
      <c r="A15" t="s">
        <v>97</v>
      </c>
      <c r="B15" t="s">
        <v>98</v>
      </c>
      <c r="C15" t="s">
        <v>99</v>
      </c>
      <c r="F15" t="s">
        <v>100</v>
      </c>
      <c r="G15" t="s">
        <v>50</v>
      </c>
      <c r="H15" t="s">
        <v>51</v>
      </c>
      <c r="I15" t="s">
        <v>52</v>
      </c>
      <c r="J15" t="s">
        <v>53</v>
      </c>
      <c r="L15" t="s">
        <v>54</v>
      </c>
    </row>
    <row r="16" spans="1:12" x14ac:dyDescent="0.25">
      <c r="A16" t="s">
        <v>101</v>
      </c>
      <c r="B16" t="s">
        <v>102</v>
      </c>
      <c r="C16" t="s">
        <v>103</v>
      </c>
      <c r="F16" t="s">
        <v>90</v>
      </c>
      <c r="G16" t="s">
        <v>50</v>
      </c>
      <c r="H16" t="s">
        <v>51</v>
      </c>
      <c r="I16" t="s">
        <v>52</v>
      </c>
      <c r="J16" t="s">
        <v>53</v>
      </c>
      <c r="L16" t="s">
        <v>54</v>
      </c>
    </row>
    <row r="17" spans="1:12" x14ac:dyDescent="0.25">
      <c r="A17" t="s">
        <v>104</v>
      </c>
      <c r="B17" t="s">
        <v>105</v>
      </c>
      <c r="C17" t="s">
        <v>106</v>
      </c>
      <c r="F17" t="s">
        <v>107</v>
      </c>
      <c r="G17" t="s">
        <v>50</v>
      </c>
      <c r="H17" t="s">
        <v>51</v>
      </c>
      <c r="I17" t="s">
        <v>52</v>
      </c>
      <c r="J17" t="s">
        <v>53</v>
      </c>
      <c r="L17" t="s">
        <v>54</v>
      </c>
    </row>
    <row r="18" spans="1:12" x14ac:dyDescent="0.25">
      <c r="A18" t="s">
        <v>108</v>
      </c>
      <c r="C18" t="s">
        <v>109</v>
      </c>
      <c r="E18" t="s">
        <v>110</v>
      </c>
      <c r="F18" t="s">
        <v>111</v>
      </c>
      <c r="G18" t="s">
        <v>50</v>
      </c>
      <c r="H18" t="s">
        <v>51</v>
      </c>
      <c r="I18" t="s">
        <v>52</v>
      </c>
      <c r="J18" t="s">
        <v>53</v>
      </c>
      <c r="L18" t="s">
        <v>54</v>
      </c>
    </row>
    <row r="19" spans="1:12" x14ac:dyDescent="0.25">
      <c r="A19" t="s">
        <v>112</v>
      </c>
      <c r="B19" t="s">
        <v>113</v>
      </c>
      <c r="C19" t="s">
        <v>114</v>
      </c>
      <c r="F19" t="s">
        <v>115</v>
      </c>
      <c r="G19" t="s">
        <v>50</v>
      </c>
      <c r="H19" t="s">
        <v>51</v>
      </c>
      <c r="I19" t="s">
        <v>52</v>
      </c>
      <c r="J19" t="s">
        <v>53</v>
      </c>
      <c r="L19" t="s">
        <v>54</v>
      </c>
    </row>
    <row r="20" spans="1:12" x14ac:dyDescent="0.25">
      <c r="A20" t="s">
        <v>116</v>
      </c>
      <c r="C20" t="s">
        <v>117</v>
      </c>
      <c r="E20" t="s">
        <v>118</v>
      </c>
      <c r="F20" t="s">
        <v>119</v>
      </c>
      <c r="G20" t="s">
        <v>50</v>
      </c>
      <c r="H20" t="s">
        <v>51</v>
      </c>
      <c r="I20" t="s">
        <v>52</v>
      </c>
      <c r="J20" t="s">
        <v>53</v>
      </c>
      <c r="L20" t="s">
        <v>54</v>
      </c>
    </row>
    <row r="21" spans="1:12" x14ac:dyDescent="0.25">
      <c r="A21" t="s">
        <v>120</v>
      </c>
      <c r="B21" t="s">
        <v>121</v>
      </c>
      <c r="F21" t="s">
        <v>122</v>
      </c>
      <c r="G21" t="s">
        <v>123</v>
      </c>
      <c r="H21" t="s">
        <v>51</v>
      </c>
      <c r="I21" t="s">
        <v>124</v>
      </c>
      <c r="J21" t="s">
        <v>125</v>
      </c>
      <c r="L21" t="s">
        <v>126</v>
      </c>
    </row>
    <row r="22" spans="1:12" x14ac:dyDescent="0.25">
      <c r="A22" t="s">
        <v>127</v>
      </c>
      <c r="B22" t="s">
        <v>128</v>
      </c>
      <c r="F22" t="s">
        <v>122</v>
      </c>
      <c r="G22" t="s">
        <v>123</v>
      </c>
      <c r="H22" t="s">
        <v>51</v>
      </c>
      <c r="I22" t="s">
        <v>124</v>
      </c>
      <c r="J22" t="s">
        <v>125</v>
      </c>
      <c r="L22" t="s">
        <v>126</v>
      </c>
    </row>
    <row r="23" spans="1:12" x14ac:dyDescent="0.25">
      <c r="A23" t="s">
        <v>129</v>
      </c>
      <c r="B23" t="s">
        <v>130</v>
      </c>
      <c r="F23" t="s">
        <v>131</v>
      </c>
      <c r="G23" t="s">
        <v>123</v>
      </c>
      <c r="H23" t="s">
        <v>51</v>
      </c>
      <c r="I23" t="s">
        <v>124</v>
      </c>
      <c r="J23" t="s">
        <v>125</v>
      </c>
      <c r="L23" t="s">
        <v>126</v>
      </c>
    </row>
    <row r="24" spans="1:12" x14ac:dyDescent="0.25">
      <c r="A24" t="s">
        <v>132</v>
      </c>
      <c r="B24" t="s">
        <v>133</v>
      </c>
      <c r="C24" t="s">
        <v>134</v>
      </c>
      <c r="F24" t="s">
        <v>135</v>
      </c>
      <c r="G24" t="s">
        <v>50</v>
      </c>
      <c r="H24" t="s">
        <v>51</v>
      </c>
      <c r="I24" t="s">
        <v>136</v>
      </c>
      <c r="J24" t="s">
        <v>137</v>
      </c>
      <c r="L24" t="s">
        <v>54</v>
      </c>
    </row>
    <row r="25" spans="1:12" x14ac:dyDescent="0.25">
      <c r="A25" t="s">
        <v>138</v>
      </c>
      <c r="B25" t="s">
        <v>139</v>
      </c>
      <c r="C25" t="s">
        <v>140</v>
      </c>
      <c r="F25" t="s">
        <v>78</v>
      </c>
      <c r="G25" t="s">
        <v>50</v>
      </c>
      <c r="H25" t="s">
        <v>51</v>
      </c>
      <c r="I25" t="s">
        <v>136</v>
      </c>
      <c r="J25" t="s">
        <v>137</v>
      </c>
      <c r="L25" t="s">
        <v>54</v>
      </c>
    </row>
    <row r="26" spans="1:12" x14ac:dyDescent="0.25">
      <c r="A26" t="s">
        <v>141</v>
      </c>
      <c r="B26" t="s">
        <v>142</v>
      </c>
      <c r="C26" t="s">
        <v>143</v>
      </c>
      <c r="F26" t="s">
        <v>144</v>
      </c>
      <c r="G26" t="s">
        <v>50</v>
      </c>
      <c r="H26" t="s">
        <v>51</v>
      </c>
      <c r="I26" t="s">
        <v>136</v>
      </c>
      <c r="J26" t="s">
        <v>137</v>
      </c>
      <c r="L26" t="s">
        <v>54</v>
      </c>
    </row>
    <row r="27" spans="1:12" x14ac:dyDescent="0.25">
      <c r="A27" t="s">
        <v>145</v>
      </c>
      <c r="B27" t="s">
        <v>146</v>
      </c>
      <c r="C27" t="s">
        <v>147</v>
      </c>
      <c r="F27" t="s">
        <v>148</v>
      </c>
      <c r="G27" t="s">
        <v>50</v>
      </c>
      <c r="H27" t="s">
        <v>51</v>
      </c>
      <c r="I27" t="s">
        <v>136</v>
      </c>
      <c r="J27" t="s">
        <v>137</v>
      </c>
      <c r="L27" t="s">
        <v>54</v>
      </c>
    </row>
    <row r="28" spans="1:12" x14ac:dyDescent="0.25">
      <c r="A28" t="s">
        <v>149</v>
      </c>
      <c r="B28" t="s">
        <v>150</v>
      </c>
      <c r="C28" t="s">
        <v>151</v>
      </c>
      <c r="F28" t="s">
        <v>152</v>
      </c>
      <c r="G28" t="s">
        <v>50</v>
      </c>
      <c r="H28" t="s">
        <v>51</v>
      </c>
      <c r="I28" t="s">
        <v>136</v>
      </c>
      <c r="J28" t="s">
        <v>137</v>
      </c>
      <c r="L28" t="s">
        <v>54</v>
      </c>
    </row>
    <row r="29" spans="1:12" x14ac:dyDescent="0.25">
      <c r="A29" t="s">
        <v>153</v>
      </c>
      <c r="B29" t="s">
        <v>154</v>
      </c>
      <c r="C29" t="s">
        <v>155</v>
      </c>
      <c r="F29" t="s">
        <v>156</v>
      </c>
      <c r="G29" t="s">
        <v>50</v>
      </c>
      <c r="H29" t="s">
        <v>51</v>
      </c>
      <c r="I29" t="s">
        <v>136</v>
      </c>
      <c r="J29" t="s">
        <v>137</v>
      </c>
      <c r="L29" t="s">
        <v>54</v>
      </c>
    </row>
    <row r="30" spans="1:12" x14ac:dyDescent="0.25">
      <c r="A30" t="s">
        <v>157</v>
      </c>
      <c r="B30" t="s">
        <v>158</v>
      </c>
      <c r="C30" t="s">
        <v>159</v>
      </c>
      <c r="F30" t="s">
        <v>160</v>
      </c>
      <c r="G30" t="s">
        <v>50</v>
      </c>
      <c r="H30" t="s">
        <v>51</v>
      </c>
      <c r="I30" t="s">
        <v>136</v>
      </c>
      <c r="J30" t="s">
        <v>137</v>
      </c>
      <c r="L30" t="s">
        <v>54</v>
      </c>
    </row>
    <row r="31" spans="1:12" x14ac:dyDescent="0.25">
      <c r="A31" t="s">
        <v>161</v>
      </c>
      <c r="B31" t="s">
        <v>162</v>
      </c>
      <c r="C31" t="s">
        <v>163</v>
      </c>
      <c r="F31" t="s">
        <v>164</v>
      </c>
      <c r="G31" t="s">
        <v>50</v>
      </c>
      <c r="H31" t="s">
        <v>51</v>
      </c>
      <c r="I31" t="s">
        <v>136</v>
      </c>
      <c r="J31" t="s">
        <v>137</v>
      </c>
      <c r="L31" t="s">
        <v>54</v>
      </c>
    </row>
    <row r="32" spans="1:12" x14ac:dyDescent="0.25">
      <c r="A32" t="s">
        <v>165</v>
      </c>
      <c r="B32" t="s">
        <v>166</v>
      </c>
      <c r="C32" t="s">
        <v>167</v>
      </c>
      <c r="F32" t="s">
        <v>168</v>
      </c>
      <c r="G32" t="s">
        <v>50</v>
      </c>
      <c r="H32" t="s">
        <v>51</v>
      </c>
      <c r="I32" t="s">
        <v>136</v>
      </c>
      <c r="J32" t="s">
        <v>137</v>
      </c>
      <c r="L32" t="s">
        <v>54</v>
      </c>
    </row>
    <row r="33" spans="1:12" x14ac:dyDescent="0.25">
      <c r="A33" t="s">
        <v>169</v>
      </c>
      <c r="B33" t="s">
        <v>170</v>
      </c>
      <c r="C33" t="s">
        <v>171</v>
      </c>
      <c r="F33" t="s">
        <v>172</v>
      </c>
      <c r="G33" t="s">
        <v>50</v>
      </c>
      <c r="H33" t="s">
        <v>51</v>
      </c>
      <c r="I33" t="s">
        <v>136</v>
      </c>
      <c r="J33" t="s">
        <v>137</v>
      </c>
      <c r="L33" t="s">
        <v>54</v>
      </c>
    </row>
    <row r="34" spans="1:12" x14ac:dyDescent="0.25">
      <c r="A34" t="s">
        <v>173</v>
      </c>
      <c r="B34" t="s">
        <v>174</v>
      </c>
      <c r="C34" t="s">
        <v>175</v>
      </c>
      <c r="F34" t="s">
        <v>176</v>
      </c>
      <c r="G34" t="s">
        <v>50</v>
      </c>
      <c r="H34" t="s">
        <v>51</v>
      </c>
      <c r="I34" t="s">
        <v>136</v>
      </c>
      <c r="J34" t="s">
        <v>137</v>
      </c>
      <c r="L34" t="s">
        <v>54</v>
      </c>
    </row>
    <row r="35" spans="1:12" x14ac:dyDescent="0.25">
      <c r="A35" t="s">
        <v>177</v>
      </c>
      <c r="B35" t="s">
        <v>178</v>
      </c>
      <c r="C35" t="s">
        <v>179</v>
      </c>
      <c r="F35" t="s">
        <v>180</v>
      </c>
      <c r="G35" t="s">
        <v>50</v>
      </c>
      <c r="H35" t="s">
        <v>51</v>
      </c>
      <c r="I35" t="s">
        <v>136</v>
      </c>
      <c r="J35" t="s">
        <v>137</v>
      </c>
      <c r="L35" t="s">
        <v>54</v>
      </c>
    </row>
    <row r="36" spans="1:12" x14ac:dyDescent="0.25">
      <c r="A36" t="s">
        <v>181</v>
      </c>
      <c r="B36" t="s">
        <v>182</v>
      </c>
      <c r="C36" t="s">
        <v>183</v>
      </c>
      <c r="F36" t="s">
        <v>184</v>
      </c>
      <c r="G36" t="s">
        <v>50</v>
      </c>
      <c r="H36" t="s">
        <v>51</v>
      </c>
      <c r="I36" t="s">
        <v>136</v>
      </c>
      <c r="J36" t="s">
        <v>137</v>
      </c>
      <c r="L36" t="s">
        <v>54</v>
      </c>
    </row>
    <row r="37" spans="1:12" x14ac:dyDescent="0.25">
      <c r="A37" t="s">
        <v>185</v>
      </c>
      <c r="B37" t="s">
        <v>186</v>
      </c>
      <c r="C37" t="s">
        <v>187</v>
      </c>
      <c r="F37" t="s">
        <v>188</v>
      </c>
      <c r="G37" t="s">
        <v>50</v>
      </c>
      <c r="H37" t="s">
        <v>51</v>
      </c>
      <c r="I37" t="s">
        <v>136</v>
      </c>
      <c r="J37" t="s">
        <v>137</v>
      </c>
      <c r="L37" t="s">
        <v>54</v>
      </c>
    </row>
    <row r="38" spans="1:12" x14ac:dyDescent="0.25">
      <c r="A38" t="s">
        <v>189</v>
      </c>
      <c r="B38" t="s">
        <v>190</v>
      </c>
      <c r="C38" t="s">
        <v>191</v>
      </c>
      <c r="F38" t="s">
        <v>192</v>
      </c>
      <c r="G38" t="s">
        <v>50</v>
      </c>
      <c r="H38" t="s">
        <v>51</v>
      </c>
      <c r="I38" t="s">
        <v>136</v>
      </c>
      <c r="J38" t="s">
        <v>137</v>
      </c>
      <c r="L38" t="s">
        <v>54</v>
      </c>
    </row>
    <row r="39" spans="1:12" x14ac:dyDescent="0.25">
      <c r="A39" t="s">
        <v>193</v>
      </c>
      <c r="B39" t="s">
        <v>194</v>
      </c>
      <c r="C39" t="s">
        <v>195</v>
      </c>
      <c r="F39" t="s">
        <v>160</v>
      </c>
      <c r="G39" t="s">
        <v>50</v>
      </c>
      <c r="H39" t="s">
        <v>51</v>
      </c>
      <c r="I39" t="s">
        <v>136</v>
      </c>
      <c r="J39" t="s">
        <v>137</v>
      </c>
      <c r="L39" t="s">
        <v>54</v>
      </c>
    </row>
    <row r="40" spans="1:12" x14ac:dyDescent="0.25">
      <c r="A40" t="s">
        <v>196</v>
      </c>
      <c r="B40" t="s">
        <v>197</v>
      </c>
      <c r="C40" t="s">
        <v>198</v>
      </c>
      <c r="F40" t="s">
        <v>199</v>
      </c>
      <c r="G40" t="s">
        <v>50</v>
      </c>
      <c r="H40" t="s">
        <v>51</v>
      </c>
      <c r="I40" t="s">
        <v>136</v>
      </c>
      <c r="J40" t="s">
        <v>137</v>
      </c>
      <c r="L40" t="s">
        <v>54</v>
      </c>
    </row>
    <row r="41" spans="1:12" x14ac:dyDescent="0.25">
      <c r="A41" t="s">
        <v>200</v>
      </c>
      <c r="B41" t="s">
        <v>201</v>
      </c>
      <c r="C41" t="s">
        <v>202</v>
      </c>
      <c r="F41" t="s">
        <v>203</v>
      </c>
      <c r="G41" t="s">
        <v>50</v>
      </c>
      <c r="H41" t="s">
        <v>51</v>
      </c>
      <c r="I41" t="s">
        <v>136</v>
      </c>
      <c r="J41" t="s">
        <v>137</v>
      </c>
      <c r="L41" t="s">
        <v>54</v>
      </c>
    </row>
    <row r="42" spans="1:12" x14ac:dyDescent="0.25">
      <c r="A42" t="s">
        <v>204</v>
      </c>
      <c r="B42" t="s">
        <v>205</v>
      </c>
      <c r="C42" t="s">
        <v>206</v>
      </c>
      <c r="F42" t="s">
        <v>207</v>
      </c>
      <c r="G42" t="s">
        <v>50</v>
      </c>
      <c r="H42" t="s">
        <v>51</v>
      </c>
      <c r="I42" t="s">
        <v>136</v>
      </c>
      <c r="J42" t="s">
        <v>137</v>
      </c>
      <c r="L42" t="s">
        <v>54</v>
      </c>
    </row>
    <row r="43" spans="1:12" x14ac:dyDescent="0.25">
      <c r="A43" t="s">
        <v>208</v>
      </c>
      <c r="B43" t="s">
        <v>209</v>
      </c>
      <c r="C43" t="s">
        <v>210</v>
      </c>
      <c r="F43" t="s">
        <v>211</v>
      </c>
      <c r="G43" t="s">
        <v>50</v>
      </c>
      <c r="H43" t="s">
        <v>51</v>
      </c>
      <c r="I43" t="s">
        <v>136</v>
      </c>
      <c r="J43" t="s">
        <v>137</v>
      </c>
      <c r="L43" t="s">
        <v>54</v>
      </c>
    </row>
    <row r="44" spans="1:12" x14ac:dyDescent="0.25">
      <c r="A44" t="s">
        <v>212</v>
      </c>
      <c r="B44" t="s">
        <v>213</v>
      </c>
      <c r="C44" t="s">
        <v>214</v>
      </c>
      <c r="F44" t="s">
        <v>215</v>
      </c>
      <c r="G44" t="s">
        <v>50</v>
      </c>
      <c r="H44" t="s">
        <v>51</v>
      </c>
      <c r="I44" t="s">
        <v>136</v>
      </c>
      <c r="J44" t="s">
        <v>137</v>
      </c>
      <c r="L44" t="s">
        <v>54</v>
      </c>
    </row>
    <row r="45" spans="1:12" x14ac:dyDescent="0.25">
      <c r="A45" t="s">
        <v>216</v>
      </c>
      <c r="B45" t="s">
        <v>217</v>
      </c>
      <c r="C45" t="s">
        <v>218</v>
      </c>
      <c r="F45" t="s">
        <v>115</v>
      </c>
      <c r="G45" t="s">
        <v>50</v>
      </c>
      <c r="H45" t="s">
        <v>51</v>
      </c>
      <c r="I45" t="s">
        <v>136</v>
      </c>
      <c r="J45" t="s">
        <v>137</v>
      </c>
      <c r="L45" t="s">
        <v>54</v>
      </c>
    </row>
    <row r="46" spans="1:12" x14ac:dyDescent="0.25">
      <c r="A46" t="s">
        <v>219</v>
      </c>
      <c r="B46" t="s">
        <v>220</v>
      </c>
      <c r="C46" t="s">
        <v>221</v>
      </c>
      <c r="F46" t="s">
        <v>222</v>
      </c>
      <c r="G46" t="s">
        <v>50</v>
      </c>
      <c r="H46" t="s">
        <v>51</v>
      </c>
      <c r="I46" t="s">
        <v>136</v>
      </c>
      <c r="J46" t="s">
        <v>137</v>
      </c>
      <c r="L46" t="s">
        <v>54</v>
      </c>
    </row>
    <row r="47" spans="1:12" x14ac:dyDescent="0.25">
      <c r="A47" t="s">
        <v>223</v>
      </c>
      <c r="B47" t="s">
        <v>224</v>
      </c>
      <c r="C47" t="s">
        <v>225</v>
      </c>
      <c r="F47" t="s">
        <v>226</v>
      </c>
      <c r="G47" t="s">
        <v>50</v>
      </c>
      <c r="H47" t="s">
        <v>51</v>
      </c>
      <c r="I47" t="s">
        <v>136</v>
      </c>
      <c r="J47" t="s">
        <v>137</v>
      </c>
      <c r="L47" t="s">
        <v>54</v>
      </c>
    </row>
    <row r="48" spans="1:12" x14ac:dyDescent="0.25">
      <c r="A48" t="s">
        <v>227</v>
      </c>
      <c r="B48" t="s">
        <v>228</v>
      </c>
      <c r="C48" t="s">
        <v>229</v>
      </c>
      <c r="F48" t="s">
        <v>230</v>
      </c>
      <c r="G48" t="s">
        <v>50</v>
      </c>
      <c r="H48" t="s">
        <v>51</v>
      </c>
      <c r="I48" t="s">
        <v>136</v>
      </c>
      <c r="J48" t="s">
        <v>137</v>
      </c>
      <c r="L48" t="s">
        <v>54</v>
      </c>
    </row>
    <row r="49" spans="1:12" x14ac:dyDescent="0.25">
      <c r="A49" t="s">
        <v>231</v>
      </c>
      <c r="B49" t="s">
        <v>232</v>
      </c>
      <c r="C49" t="s">
        <v>233</v>
      </c>
      <c r="F49" t="s">
        <v>234</v>
      </c>
      <c r="G49" t="s">
        <v>50</v>
      </c>
      <c r="H49" t="s">
        <v>51</v>
      </c>
      <c r="I49" t="s">
        <v>136</v>
      </c>
      <c r="J49" t="s">
        <v>137</v>
      </c>
      <c r="L49" t="s">
        <v>54</v>
      </c>
    </row>
    <row r="50" spans="1:12" x14ac:dyDescent="0.25">
      <c r="A50" t="s">
        <v>235</v>
      </c>
      <c r="B50" t="s">
        <v>236</v>
      </c>
      <c r="C50" t="s">
        <v>237</v>
      </c>
      <c r="F50" t="s">
        <v>238</v>
      </c>
      <c r="G50" t="s">
        <v>50</v>
      </c>
      <c r="H50" t="s">
        <v>51</v>
      </c>
      <c r="I50" t="s">
        <v>136</v>
      </c>
      <c r="J50" t="s">
        <v>137</v>
      </c>
      <c r="L50" t="s">
        <v>54</v>
      </c>
    </row>
    <row r="51" spans="1:12" x14ac:dyDescent="0.25">
      <c r="A51" t="s">
        <v>239</v>
      </c>
      <c r="B51" t="s">
        <v>240</v>
      </c>
      <c r="C51" t="s">
        <v>241</v>
      </c>
      <c r="F51" t="s">
        <v>242</v>
      </c>
      <c r="G51" t="s">
        <v>50</v>
      </c>
      <c r="H51" t="s">
        <v>51</v>
      </c>
      <c r="I51" t="s">
        <v>136</v>
      </c>
      <c r="J51" t="s">
        <v>137</v>
      </c>
      <c r="L51" t="s">
        <v>54</v>
      </c>
    </row>
    <row r="52" spans="1:12" x14ac:dyDescent="0.25">
      <c r="A52" t="s">
        <v>243</v>
      </c>
      <c r="B52" t="s">
        <v>244</v>
      </c>
      <c r="C52" t="s">
        <v>245</v>
      </c>
      <c r="F52" t="s">
        <v>246</v>
      </c>
      <c r="G52" t="s">
        <v>50</v>
      </c>
      <c r="H52" t="s">
        <v>51</v>
      </c>
      <c r="I52" t="s">
        <v>136</v>
      </c>
      <c r="J52" t="s">
        <v>137</v>
      </c>
      <c r="L52" t="s">
        <v>54</v>
      </c>
    </row>
    <row r="53" spans="1:12" x14ac:dyDescent="0.25">
      <c r="A53" t="s">
        <v>247</v>
      </c>
      <c r="B53" t="s">
        <v>248</v>
      </c>
      <c r="C53" t="s">
        <v>249</v>
      </c>
      <c r="F53" t="s">
        <v>74</v>
      </c>
      <c r="G53" t="s">
        <v>50</v>
      </c>
      <c r="H53" t="s">
        <v>51</v>
      </c>
      <c r="I53" t="s">
        <v>136</v>
      </c>
      <c r="J53" t="s">
        <v>137</v>
      </c>
      <c r="L53" t="s">
        <v>54</v>
      </c>
    </row>
    <row r="54" spans="1:12" x14ac:dyDescent="0.25">
      <c r="A54" t="s">
        <v>250</v>
      </c>
      <c r="B54" t="s">
        <v>251</v>
      </c>
      <c r="C54" t="s">
        <v>252</v>
      </c>
      <c r="F54" t="s">
        <v>253</v>
      </c>
      <c r="G54" t="s">
        <v>50</v>
      </c>
      <c r="H54" t="s">
        <v>51</v>
      </c>
      <c r="I54" t="s">
        <v>136</v>
      </c>
      <c r="J54" t="s">
        <v>137</v>
      </c>
      <c r="L54" t="s">
        <v>54</v>
      </c>
    </row>
    <row r="55" spans="1:12" x14ac:dyDescent="0.25">
      <c r="A55" t="s">
        <v>254</v>
      </c>
      <c r="B55" t="s">
        <v>255</v>
      </c>
      <c r="C55" t="s">
        <v>256</v>
      </c>
      <c r="F55" t="s">
        <v>257</v>
      </c>
      <c r="G55" t="s">
        <v>50</v>
      </c>
      <c r="H55" t="s">
        <v>51</v>
      </c>
      <c r="I55" t="s">
        <v>136</v>
      </c>
      <c r="J55" t="s">
        <v>137</v>
      </c>
      <c r="L55" t="s">
        <v>54</v>
      </c>
    </row>
    <row r="56" spans="1:12" x14ac:dyDescent="0.25">
      <c r="A56" t="s">
        <v>258</v>
      </c>
      <c r="B56" t="s">
        <v>259</v>
      </c>
      <c r="C56" t="s">
        <v>260</v>
      </c>
      <c r="F56" t="s">
        <v>261</v>
      </c>
      <c r="G56" t="s">
        <v>50</v>
      </c>
      <c r="H56" t="s">
        <v>51</v>
      </c>
      <c r="I56" t="s">
        <v>136</v>
      </c>
      <c r="J56" t="s">
        <v>137</v>
      </c>
      <c r="L56" t="s">
        <v>54</v>
      </c>
    </row>
    <row r="57" spans="1:12" x14ac:dyDescent="0.25">
      <c r="A57" t="s">
        <v>262</v>
      </c>
      <c r="B57" t="s">
        <v>263</v>
      </c>
      <c r="C57" t="s">
        <v>264</v>
      </c>
      <c r="F57" t="s">
        <v>265</v>
      </c>
      <c r="G57" t="s">
        <v>50</v>
      </c>
      <c r="H57" t="s">
        <v>51</v>
      </c>
      <c r="I57" t="s">
        <v>136</v>
      </c>
      <c r="J57" t="s">
        <v>137</v>
      </c>
      <c r="L57" t="s">
        <v>54</v>
      </c>
    </row>
    <row r="58" spans="1:12" x14ac:dyDescent="0.25">
      <c r="A58" t="s">
        <v>266</v>
      </c>
      <c r="B58" t="s">
        <v>267</v>
      </c>
      <c r="C58" t="s">
        <v>268</v>
      </c>
      <c r="F58" t="s">
        <v>269</v>
      </c>
      <c r="G58" t="s">
        <v>50</v>
      </c>
      <c r="H58" t="s">
        <v>51</v>
      </c>
      <c r="I58" t="s">
        <v>136</v>
      </c>
      <c r="J58" t="s">
        <v>137</v>
      </c>
      <c r="L58" t="s">
        <v>54</v>
      </c>
    </row>
    <row r="59" spans="1:12" x14ac:dyDescent="0.25">
      <c r="A59" t="s">
        <v>270</v>
      </c>
      <c r="B59" t="s">
        <v>271</v>
      </c>
      <c r="C59" t="s">
        <v>272</v>
      </c>
      <c r="F59" t="s">
        <v>273</v>
      </c>
      <c r="G59" t="s">
        <v>50</v>
      </c>
      <c r="H59" t="s">
        <v>51</v>
      </c>
      <c r="I59" t="s">
        <v>136</v>
      </c>
      <c r="J59" t="s">
        <v>137</v>
      </c>
      <c r="L59" t="s">
        <v>54</v>
      </c>
    </row>
    <row r="60" spans="1:12" x14ac:dyDescent="0.25">
      <c r="A60" t="s">
        <v>274</v>
      </c>
      <c r="B60" t="s">
        <v>275</v>
      </c>
      <c r="C60" t="s">
        <v>276</v>
      </c>
      <c r="F60" t="s">
        <v>277</v>
      </c>
      <c r="G60" t="s">
        <v>50</v>
      </c>
      <c r="H60" t="s">
        <v>51</v>
      </c>
      <c r="I60" t="s">
        <v>136</v>
      </c>
      <c r="J60" t="s">
        <v>137</v>
      </c>
      <c r="L60" t="s">
        <v>54</v>
      </c>
    </row>
    <row r="61" spans="1:12" x14ac:dyDescent="0.25">
      <c r="A61" t="s">
        <v>278</v>
      </c>
      <c r="B61" t="s">
        <v>279</v>
      </c>
      <c r="C61" t="s">
        <v>280</v>
      </c>
      <c r="F61" t="s">
        <v>281</v>
      </c>
      <c r="G61" t="s">
        <v>50</v>
      </c>
      <c r="H61" t="s">
        <v>51</v>
      </c>
      <c r="I61" t="s">
        <v>136</v>
      </c>
      <c r="J61" t="s">
        <v>137</v>
      </c>
      <c r="L61" t="s">
        <v>54</v>
      </c>
    </row>
    <row r="62" spans="1:12" x14ac:dyDescent="0.25">
      <c r="A62" t="s">
        <v>282</v>
      </c>
      <c r="B62" t="s">
        <v>283</v>
      </c>
      <c r="C62" t="s">
        <v>284</v>
      </c>
      <c r="F62" t="s">
        <v>285</v>
      </c>
      <c r="G62" t="s">
        <v>50</v>
      </c>
      <c r="H62" t="s">
        <v>51</v>
      </c>
      <c r="I62" t="s">
        <v>136</v>
      </c>
      <c r="J62" t="s">
        <v>137</v>
      </c>
      <c r="L62" t="s">
        <v>54</v>
      </c>
    </row>
    <row r="63" spans="1:12" x14ac:dyDescent="0.25">
      <c r="A63" t="s">
        <v>286</v>
      </c>
      <c r="B63" t="s">
        <v>287</v>
      </c>
      <c r="C63" t="s">
        <v>288</v>
      </c>
      <c r="F63" t="s">
        <v>211</v>
      </c>
      <c r="G63" t="s">
        <v>50</v>
      </c>
      <c r="H63" t="s">
        <v>51</v>
      </c>
      <c r="I63" t="s">
        <v>136</v>
      </c>
      <c r="J63" t="s">
        <v>137</v>
      </c>
      <c r="L63" t="s">
        <v>54</v>
      </c>
    </row>
    <row r="64" spans="1:12" x14ac:dyDescent="0.25">
      <c r="A64" t="s">
        <v>289</v>
      </c>
      <c r="B64" t="s">
        <v>290</v>
      </c>
      <c r="C64" t="s">
        <v>291</v>
      </c>
      <c r="F64" t="s">
        <v>292</v>
      </c>
      <c r="G64" t="s">
        <v>50</v>
      </c>
      <c r="H64" t="s">
        <v>51</v>
      </c>
      <c r="I64" t="s">
        <v>136</v>
      </c>
      <c r="J64" t="s">
        <v>137</v>
      </c>
      <c r="L64" t="s">
        <v>54</v>
      </c>
    </row>
    <row r="65" spans="1:12" x14ac:dyDescent="0.25">
      <c r="A65" t="s">
        <v>293</v>
      </c>
      <c r="B65" t="s">
        <v>294</v>
      </c>
      <c r="C65" t="s">
        <v>295</v>
      </c>
      <c r="F65" t="s">
        <v>222</v>
      </c>
      <c r="G65" t="s">
        <v>50</v>
      </c>
      <c r="H65" t="s">
        <v>51</v>
      </c>
      <c r="I65" t="s">
        <v>136</v>
      </c>
      <c r="J65" t="s">
        <v>137</v>
      </c>
      <c r="L65" t="s">
        <v>54</v>
      </c>
    </row>
    <row r="66" spans="1:12" x14ac:dyDescent="0.25">
      <c r="A66" t="s">
        <v>296</v>
      </c>
      <c r="B66" t="s">
        <v>297</v>
      </c>
      <c r="C66" t="s">
        <v>298</v>
      </c>
      <c r="F66" t="s">
        <v>299</v>
      </c>
      <c r="G66" t="s">
        <v>50</v>
      </c>
      <c r="H66" t="s">
        <v>51</v>
      </c>
      <c r="I66" t="s">
        <v>136</v>
      </c>
      <c r="J66" t="s">
        <v>137</v>
      </c>
      <c r="L66" t="s">
        <v>54</v>
      </c>
    </row>
    <row r="67" spans="1:12" x14ac:dyDescent="0.25">
      <c r="A67" t="s">
        <v>300</v>
      </c>
      <c r="B67" t="s">
        <v>301</v>
      </c>
      <c r="C67" t="s">
        <v>302</v>
      </c>
      <c r="F67" t="s">
        <v>303</v>
      </c>
      <c r="G67" t="s">
        <v>50</v>
      </c>
      <c r="H67" t="s">
        <v>51</v>
      </c>
      <c r="I67" t="s">
        <v>136</v>
      </c>
      <c r="J67" t="s">
        <v>137</v>
      </c>
      <c r="L67" t="s">
        <v>54</v>
      </c>
    </row>
    <row r="68" spans="1:12" x14ac:dyDescent="0.25">
      <c r="A68" t="s">
        <v>304</v>
      </c>
      <c r="B68" t="s">
        <v>305</v>
      </c>
      <c r="C68" t="s">
        <v>306</v>
      </c>
      <c r="F68" t="s">
        <v>62</v>
      </c>
      <c r="G68" t="s">
        <v>50</v>
      </c>
      <c r="H68" t="s">
        <v>51</v>
      </c>
      <c r="I68" t="s">
        <v>136</v>
      </c>
      <c r="J68" t="s">
        <v>137</v>
      </c>
      <c r="L68" t="s">
        <v>54</v>
      </c>
    </row>
    <row r="69" spans="1:12" x14ac:dyDescent="0.25">
      <c r="A69" t="s">
        <v>307</v>
      </c>
      <c r="B69" t="s">
        <v>308</v>
      </c>
      <c r="C69" t="s">
        <v>309</v>
      </c>
      <c r="F69" t="s">
        <v>310</v>
      </c>
      <c r="G69" t="s">
        <v>50</v>
      </c>
      <c r="H69" t="s">
        <v>51</v>
      </c>
      <c r="I69" t="s">
        <v>136</v>
      </c>
      <c r="J69" t="s">
        <v>137</v>
      </c>
      <c r="L69" t="s">
        <v>54</v>
      </c>
    </row>
    <row r="70" spans="1:12" x14ac:dyDescent="0.25">
      <c r="A70" t="s">
        <v>311</v>
      </c>
      <c r="B70" t="s">
        <v>312</v>
      </c>
      <c r="C70" t="s">
        <v>313</v>
      </c>
      <c r="F70" t="s">
        <v>314</v>
      </c>
      <c r="G70" t="s">
        <v>50</v>
      </c>
      <c r="H70" t="s">
        <v>51</v>
      </c>
      <c r="I70" t="s">
        <v>136</v>
      </c>
      <c r="J70" t="s">
        <v>137</v>
      </c>
      <c r="L70" t="s">
        <v>54</v>
      </c>
    </row>
    <row r="71" spans="1:12" x14ac:dyDescent="0.25">
      <c r="A71" t="s">
        <v>315</v>
      </c>
      <c r="B71" t="s">
        <v>316</v>
      </c>
      <c r="C71" t="s">
        <v>317</v>
      </c>
      <c r="F71" t="s">
        <v>318</v>
      </c>
      <c r="G71" t="s">
        <v>50</v>
      </c>
      <c r="H71" t="s">
        <v>51</v>
      </c>
      <c r="I71" t="s">
        <v>136</v>
      </c>
      <c r="J71" t="s">
        <v>137</v>
      </c>
      <c r="L71" t="s">
        <v>54</v>
      </c>
    </row>
    <row r="72" spans="1:12" x14ac:dyDescent="0.25">
      <c r="A72" t="s">
        <v>319</v>
      </c>
      <c r="B72" t="s">
        <v>320</v>
      </c>
      <c r="C72" t="s">
        <v>321</v>
      </c>
      <c r="F72" t="s">
        <v>322</v>
      </c>
      <c r="G72" t="s">
        <v>50</v>
      </c>
      <c r="H72" t="s">
        <v>51</v>
      </c>
      <c r="I72" t="s">
        <v>136</v>
      </c>
      <c r="J72" t="s">
        <v>137</v>
      </c>
      <c r="L72" t="s">
        <v>54</v>
      </c>
    </row>
    <row r="73" spans="1:12" x14ac:dyDescent="0.25">
      <c r="A73" t="s">
        <v>323</v>
      </c>
      <c r="B73" t="s">
        <v>324</v>
      </c>
      <c r="C73" t="s">
        <v>325</v>
      </c>
      <c r="F73" t="s">
        <v>326</v>
      </c>
      <c r="G73" t="s">
        <v>50</v>
      </c>
      <c r="H73" t="s">
        <v>51</v>
      </c>
      <c r="I73" t="s">
        <v>136</v>
      </c>
      <c r="J73" t="s">
        <v>137</v>
      </c>
      <c r="L73" t="s">
        <v>54</v>
      </c>
    </row>
    <row r="74" spans="1:12" x14ac:dyDescent="0.25">
      <c r="A74" t="s">
        <v>327</v>
      </c>
      <c r="B74" t="s">
        <v>328</v>
      </c>
      <c r="C74" t="s">
        <v>329</v>
      </c>
      <c r="F74" t="s">
        <v>330</v>
      </c>
      <c r="G74" t="s">
        <v>50</v>
      </c>
      <c r="H74" t="s">
        <v>51</v>
      </c>
      <c r="I74" t="s">
        <v>136</v>
      </c>
      <c r="J74" t="s">
        <v>137</v>
      </c>
      <c r="L74" t="s">
        <v>54</v>
      </c>
    </row>
    <row r="75" spans="1:12" x14ac:dyDescent="0.25">
      <c r="A75" t="s">
        <v>331</v>
      </c>
      <c r="B75" t="s">
        <v>332</v>
      </c>
      <c r="C75" t="s">
        <v>333</v>
      </c>
      <c r="F75" t="s">
        <v>334</v>
      </c>
      <c r="G75" t="s">
        <v>50</v>
      </c>
      <c r="H75" t="s">
        <v>51</v>
      </c>
      <c r="I75" t="s">
        <v>136</v>
      </c>
      <c r="J75" t="s">
        <v>137</v>
      </c>
      <c r="L75" t="s">
        <v>54</v>
      </c>
    </row>
    <row r="76" spans="1:12" x14ac:dyDescent="0.25">
      <c r="A76" t="s">
        <v>335</v>
      </c>
      <c r="B76" t="s">
        <v>336</v>
      </c>
      <c r="C76" t="s">
        <v>337</v>
      </c>
      <c r="F76" t="s">
        <v>338</v>
      </c>
      <c r="G76" t="s">
        <v>50</v>
      </c>
      <c r="H76" t="s">
        <v>51</v>
      </c>
      <c r="I76" t="s">
        <v>136</v>
      </c>
      <c r="J76" t="s">
        <v>137</v>
      </c>
      <c r="L76" t="s">
        <v>54</v>
      </c>
    </row>
    <row r="77" spans="1:12" x14ac:dyDescent="0.25">
      <c r="A77" t="s">
        <v>339</v>
      </c>
      <c r="B77" t="s">
        <v>340</v>
      </c>
      <c r="C77" t="s">
        <v>341</v>
      </c>
      <c r="F77" t="s">
        <v>342</v>
      </c>
      <c r="G77" t="s">
        <v>50</v>
      </c>
      <c r="H77" t="s">
        <v>51</v>
      </c>
      <c r="I77" t="s">
        <v>136</v>
      </c>
      <c r="J77" t="s">
        <v>137</v>
      </c>
      <c r="L77" t="s">
        <v>54</v>
      </c>
    </row>
    <row r="78" spans="1:12" x14ac:dyDescent="0.25">
      <c r="A78" t="s">
        <v>343</v>
      </c>
      <c r="B78" t="s">
        <v>344</v>
      </c>
      <c r="C78" t="s">
        <v>345</v>
      </c>
      <c r="F78" t="s">
        <v>346</v>
      </c>
      <c r="G78" t="s">
        <v>50</v>
      </c>
      <c r="H78" t="s">
        <v>51</v>
      </c>
      <c r="I78" t="s">
        <v>136</v>
      </c>
      <c r="J78" t="s">
        <v>137</v>
      </c>
      <c r="L78" t="s">
        <v>54</v>
      </c>
    </row>
    <row r="79" spans="1:12" x14ac:dyDescent="0.25">
      <c r="A79" t="s">
        <v>347</v>
      </c>
      <c r="B79" t="s">
        <v>348</v>
      </c>
      <c r="C79" t="s">
        <v>349</v>
      </c>
      <c r="F79" t="s">
        <v>350</v>
      </c>
      <c r="G79" t="s">
        <v>50</v>
      </c>
      <c r="H79" t="s">
        <v>51</v>
      </c>
      <c r="I79" t="s">
        <v>136</v>
      </c>
      <c r="J79" t="s">
        <v>137</v>
      </c>
      <c r="L79" t="s">
        <v>54</v>
      </c>
    </row>
    <row r="80" spans="1:12" x14ac:dyDescent="0.25">
      <c r="A80" t="s">
        <v>351</v>
      </c>
      <c r="B80" t="s">
        <v>352</v>
      </c>
      <c r="C80" t="s">
        <v>353</v>
      </c>
      <c r="F80" t="s">
        <v>354</v>
      </c>
      <c r="G80" t="s">
        <v>50</v>
      </c>
      <c r="H80" t="s">
        <v>51</v>
      </c>
      <c r="I80" t="s">
        <v>136</v>
      </c>
      <c r="J80" t="s">
        <v>137</v>
      </c>
      <c r="L80" t="s">
        <v>54</v>
      </c>
    </row>
    <row r="81" spans="1:12" x14ac:dyDescent="0.25">
      <c r="A81" t="s">
        <v>355</v>
      </c>
      <c r="B81" t="s">
        <v>356</v>
      </c>
      <c r="C81" t="s">
        <v>357</v>
      </c>
      <c r="F81" t="s">
        <v>358</v>
      </c>
      <c r="G81" t="s">
        <v>50</v>
      </c>
      <c r="H81" t="s">
        <v>51</v>
      </c>
      <c r="I81" t="s">
        <v>136</v>
      </c>
      <c r="J81" t="s">
        <v>137</v>
      </c>
      <c r="L81" t="s">
        <v>54</v>
      </c>
    </row>
    <row r="82" spans="1:12" x14ac:dyDescent="0.25">
      <c r="A82" t="s">
        <v>359</v>
      </c>
      <c r="B82" t="s">
        <v>360</v>
      </c>
      <c r="C82" t="s">
        <v>361</v>
      </c>
      <c r="F82" t="s">
        <v>115</v>
      </c>
      <c r="G82" t="s">
        <v>50</v>
      </c>
      <c r="H82" t="s">
        <v>51</v>
      </c>
      <c r="I82" t="s">
        <v>136</v>
      </c>
      <c r="J82" t="s">
        <v>137</v>
      </c>
      <c r="L82" t="s">
        <v>54</v>
      </c>
    </row>
    <row r="83" spans="1:12" x14ac:dyDescent="0.25">
      <c r="A83" t="s">
        <v>362</v>
      </c>
      <c r="B83" t="s">
        <v>363</v>
      </c>
      <c r="C83" t="s">
        <v>364</v>
      </c>
      <c r="F83" t="s">
        <v>365</v>
      </c>
      <c r="G83" t="s">
        <v>50</v>
      </c>
      <c r="H83" t="s">
        <v>51</v>
      </c>
      <c r="I83" t="s">
        <v>136</v>
      </c>
      <c r="J83" t="s">
        <v>137</v>
      </c>
      <c r="L83" t="s">
        <v>54</v>
      </c>
    </row>
    <row r="84" spans="1:12" x14ac:dyDescent="0.25">
      <c r="A84" t="s">
        <v>366</v>
      </c>
      <c r="B84" t="s">
        <v>367</v>
      </c>
      <c r="C84" t="s">
        <v>368</v>
      </c>
      <c r="F84" t="s">
        <v>238</v>
      </c>
      <c r="G84" t="s">
        <v>50</v>
      </c>
      <c r="H84" t="s">
        <v>51</v>
      </c>
      <c r="I84" t="s">
        <v>136</v>
      </c>
      <c r="J84" t="s">
        <v>137</v>
      </c>
      <c r="L84" t="s">
        <v>54</v>
      </c>
    </row>
    <row r="85" spans="1:12" x14ac:dyDescent="0.25">
      <c r="A85" t="s">
        <v>369</v>
      </c>
      <c r="B85" t="s">
        <v>370</v>
      </c>
      <c r="C85" t="s">
        <v>371</v>
      </c>
      <c r="F85" t="s">
        <v>253</v>
      </c>
      <c r="G85" t="s">
        <v>50</v>
      </c>
      <c r="H85" t="s">
        <v>51</v>
      </c>
      <c r="I85" t="s">
        <v>136</v>
      </c>
      <c r="J85" t="s">
        <v>137</v>
      </c>
      <c r="L85" t="s">
        <v>54</v>
      </c>
    </row>
    <row r="86" spans="1:12" x14ac:dyDescent="0.25">
      <c r="A86" t="s">
        <v>372</v>
      </c>
      <c r="B86" t="s">
        <v>373</v>
      </c>
      <c r="C86" t="s">
        <v>374</v>
      </c>
      <c r="F86" t="s">
        <v>375</v>
      </c>
      <c r="G86" t="s">
        <v>50</v>
      </c>
      <c r="H86" t="s">
        <v>51</v>
      </c>
      <c r="I86" t="s">
        <v>136</v>
      </c>
      <c r="J86" t="s">
        <v>137</v>
      </c>
      <c r="L86" t="s">
        <v>54</v>
      </c>
    </row>
    <row r="87" spans="1:12" x14ac:dyDescent="0.25">
      <c r="A87" t="s">
        <v>376</v>
      </c>
      <c r="B87" t="s">
        <v>377</v>
      </c>
      <c r="C87" t="s">
        <v>378</v>
      </c>
      <c r="F87" t="s">
        <v>379</v>
      </c>
      <c r="G87" t="s">
        <v>50</v>
      </c>
      <c r="H87" t="s">
        <v>51</v>
      </c>
      <c r="I87" t="s">
        <v>136</v>
      </c>
      <c r="J87" t="s">
        <v>137</v>
      </c>
      <c r="L87" t="s">
        <v>54</v>
      </c>
    </row>
    <row r="88" spans="1:12" x14ac:dyDescent="0.25">
      <c r="A88" t="s">
        <v>380</v>
      </c>
      <c r="B88" t="s">
        <v>381</v>
      </c>
      <c r="C88" t="s">
        <v>382</v>
      </c>
      <c r="F88" t="s">
        <v>135</v>
      </c>
      <c r="G88" t="s">
        <v>50</v>
      </c>
      <c r="H88" t="s">
        <v>51</v>
      </c>
      <c r="I88" t="s">
        <v>136</v>
      </c>
      <c r="J88" t="s">
        <v>137</v>
      </c>
      <c r="L88" t="s">
        <v>54</v>
      </c>
    </row>
    <row r="89" spans="1:12" x14ac:dyDescent="0.25">
      <c r="A89" t="s">
        <v>383</v>
      </c>
      <c r="B89" t="s">
        <v>384</v>
      </c>
      <c r="C89" t="s">
        <v>385</v>
      </c>
      <c r="F89" t="s">
        <v>386</v>
      </c>
      <c r="G89" t="s">
        <v>50</v>
      </c>
      <c r="H89" t="s">
        <v>51</v>
      </c>
      <c r="I89" t="s">
        <v>136</v>
      </c>
      <c r="J89" t="s">
        <v>137</v>
      </c>
      <c r="L89" t="s">
        <v>54</v>
      </c>
    </row>
    <row r="90" spans="1:12" x14ac:dyDescent="0.25">
      <c r="A90" t="s">
        <v>387</v>
      </c>
      <c r="B90" t="s">
        <v>388</v>
      </c>
      <c r="C90" t="s">
        <v>389</v>
      </c>
      <c r="F90" t="s">
        <v>390</v>
      </c>
      <c r="G90" t="s">
        <v>50</v>
      </c>
      <c r="H90" t="s">
        <v>51</v>
      </c>
      <c r="I90" t="s">
        <v>136</v>
      </c>
      <c r="J90" t="s">
        <v>137</v>
      </c>
      <c r="L90" t="s">
        <v>54</v>
      </c>
    </row>
    <row r="91" spans="1:12" x14ac:dyDescent="0.25">
      <c r="A91" t="s">
        <v>391</v>
      </c>
      <c r="B91" t="s">
        <v>392</v>
      </c>
      <c r="C91" t="s">
        <v>393</v>
      </c>
      <c r="F91" t="s">
        <v>394</v>
      </c>
      <c r="G91" t="s">
        <v>50</v>
      </c>
      <c r="H91" t="s">
        <v>51</v>
      </c>
      <c r="I91" t="s">
        <v>136</v>
      </c>
      <c r="J91" t="s">
        <v>137</v>
      </c>
      <c r="L91" t="s">
        <v>54</v>
      </c>
    </row>
    <row r="92" spans="1:12" x14ac:dyDescent="0.25">
      <c r="A92" t="s">
        <v>395</v>
      </c>
      <c r="B92" t="s">
        <v>396</v>
      </c>
      <c r="C92" t="s">
        <v>397</v>
      </c>
      <c r="F92" t="s">
        <v>398</v>
      </c>
      <c r="G92" t="s">
        <v>50</v>
      </c>
      <c r="H92" t="s">
        <v>51</v>
      </c>
      <c r="I92" t="s">
        <v>136</v>
      </c>
      <c r="J92" t="s">
        <v>137</v>
      </c>
      <c r="L92" t="s">
        <v>54</v>
      </c>
    </row>
    <row r="93" spans="1:12" x14ac:dyDescent="0.25">
      <c r="A93" t="s">
        <v>399</v>
      </c>
      <c r="B93" t="s">
        <v>400</v>
      </c>
      <c r="C93" t="s">
        <v>401</v>
      </c>
      <c r="F93" t="s">
        <v>160</v>
      </c>
      <c r="G93" t="s">
        <v>50</v>
      </c>
      <c r="H93" t="s">
        <v>51</v>
      </c>
      <c r="I93" t="s">
        <v>136</v>
      </c>
      <c r="J93" t="s">
        <v>137</v>
      </c>
      <c r="L93" t="s">
        <v>54</v>
      </c>
    </row>
    <row r="94" spans="1:12" x14ac:dyDescent="0.25">
      <c r="A94" t="s">
        <v>402</v>
      </c>
      <c r="B94" t="s">
        <v>403</v>
      </c>
      <c r="C94" t="s">
        <v>404</v>
      </c>
      <c r="F94" t="s">
        <v>405</v>
      </c>
      <c r="G94" t="s">
        <v>50</v>
      </c>
      <c r="H94" t="s">
        <v>51</v>
      </c>
      <c r="I94" t="s">
        <v>136</v>
      </c>
      <c r="J94" t="s">
        <v>137</v>
      </c>
      <c r="L94" t="s">
        <v>54</v>
      </c>
    </row>
    <row r="95" spans="1:12" x14ac:dyDescent="0.25">
      <c r="A95" t="s">
        <v>406</v>
      </c>
      <c r="B95" t="s">
        <v>407</v>
      </c>
      <c r="C95" t="s">
        <v>408</v>
      </c>
      <c r="F95" t="s">
        <v>409</v>
      </c>
      <c r="G95" t="s">
        <v>50</v>
      </c>
      <c r="H95" t="s">
        <v>51</v>
      </c>
      <c r="I95" t="s">
        <v>136</v>
      </c>
      <c r="J95" t="s">
        <v>137</v>
      </c>
      <c r="L95" t="s">
        <v>54</v>
      </c>
    </row>
    <row r="96" spans="1:12" x14ac:dyDescent="0.25">
      <c r="A96" t="s">
        <v>410</v>
      </c>
      <c r="B96" t="s">
        <v>411</v>
      </c>
      <c r="C96" t="s">
        <v>412</v>
      </c>
      <c r="F96" t="s">
        <v>413</v>
      </c>
      <c r="G96" t="s">
        <v>50</v>
      </c>
      <c r="H96" t="s">
        <v>51</v>
      </c>
      <c r="I96" t="s">
        <v>136</v>
      </c>
      <c r="J96" t="s">
        <v>137</v>
      </c>
      <c r="L96" t="s">
        <v>54</v>
      </c>
    </row>
    <row r="97" spans="1:12" x14ac:dyDescent="0.25">
      <c r="A97" t="s">
        <v>414</v>
      </c>
      <c r="B97" t="s">
        <v>415</v>
      </c>
      <c r="C97" t="s">
        <v>416</v>
      </c>
      <c r="F97" t="s">
        <v>417</v>
      </c>
      <c r="G97" t="s">
        <v>50</v>
      </c>
      <c r="H97" t="s">
        <v>51</v>
      </c>
      <c r="I97" t="s">
        <v>136</v>
      </c>
      <c r="J97" t="s">
        <v>137</v>
      </c>
      <c r="L97" t="s">
        <v>54</v>
      </c>
    </row>
    <row r="98" spans="1:12" x14ac:dyDescent="0.25">
      <c r="A98" t="s">
        <v>418</v>
      </c>
      <c r="B98" t="s">
        <v>419</v>
      </c>
      <c r="C98" t="s">
        <v>420</v>
      </c>
      <c r="F98" t="s">
        <v>74</v>
      </c>
      <c r="G98" t="s">
        <v>50</v>
      </c>
      <c r="H98" t="s">
        <v>51</v>
      </c>
      <c r="I98" t="s">
        <v>136</v>
      </c>
      <c r="J98" t="s">
        <v>137</v>
      </c>
      <c r="L98" t="s">
        <v>54</v>
      </c>
    </row>
    <row r="99" spans="1:12" x14ac:dyDescent="0.25">
      <c r="A99" t="s">
        <v>421</v>
      </c>
      <c r="B99" t="s">
        <v>422</v>
      </c>
      <c r="C99" t="s">
        <v>423</v>
      </c>
      <c r="F99" t="s">
        <v>172</v>
      </c>
      <c r="G99" t="s">
        <v>50</v>
      </c>
      <c r="H99" t="s">
        <v>51</v>
      </c>
      <c r="I99" t="s">
        <v>136</v>
      </c>
      <c r="J99" t="s">
        <v>137</v>
      </c>
      <c r="L99" t="s">
        <v>54</v>
      </c>
    </row>
    <row r="100" spans="1:12" x14ac:dyDescent="0.25">
      <c r="A100" t="s">
        <v>424</v>
      </c>
      <c r="B100" t="s">
        <v>425</v>
      </c>
      <c r="C100" t="s">
        <v>426</v>
      </c>
      <c r="F100" t="s">
        <v>427</v>
      </c>
      <c r="G100" t="s">
        <v>50</v>
      </c>
      <c r="H100" t="s">
        <v>51</v>
      </c>
      <c r="I100" t="s">
        <v>136</v>
      </c>
      <c r="J100" t="s">
        <v>137</v>
      </c>
      <c r="L100" t="s">
        <v>54</v>
      </c>
    </row>
    <row r="101" spans="1:12" x14ac:dyDescent="0.25">
      <c r="A101" t="s">
        <v>428</v>
      </c>
      <c r="B101" t="s">
        <v>429</v>
      </c>
      <c r="C101" t="s">
        <v>430</v>
      </c>
      <c r="F101" t="s">
        <v>431</v>
      </c>
      <c r="G101" t="s">
        <v>50</v>
      </c>
      <c r="H101" t="s">
        <v>51</v>
      </c>
      <c r="I101" t="s">
        <v>136</v>
      </c>
      <c r="J101" t="s">
        <v>137</v>
      </c>
      <c r="L101" t="s">
        <v>54</v>
      </c>
    </row>
    <row r="102" spans="1:12" x14ac:dyDescent="0.25">
      <c r="A102" t="s">
        <v>432</v>
      </c>
      <c r="B102" t="s">
        <v>433</v>
      </c>
      <c r="C102" t="s">
        <v>434</v>
      </c>
      <c r="F102" t="s">
        <v>107</v>
      </c>
      <c r="G102" t="s">
        <v>50</v>
      </c>
      <c r="H102" t="s">
        <v>51</v>
      </c>
      <c r="I102" t="s">
        <v>136</v>
      </c>
      <c r="J102" t="s">
        <v>137</v>
      </c>
      <c r="L102" t="s">
        <v>54</v>
      </c>
    </row>
    <row r="103" spans="1:12" x14ac:dyDescent="0.25">
      <c r="A103" t="s">
        <v>435</v>
      </c>
      <c r="B103" t="s">
        <v>436</v>
      </c>
      <c r="C103" t="s">
        <v>437</v>
      </c>
      <c r="F103" t="s">
        <v>438</v>
      </c>
      <c r="G103" t="s">
        <v>50</v>
      </c>
      <c r="H103" t="s">
        <v>51</v>
      </c>
      <c r="I103" t="s">
        <v>136</v>
      </c>
      <c r="J103" t="s">
        <v>137</v>
      </c>
      <c r="L103" t="s">
        <v>54</v>
      </c>
    </row>
    <row r="104" spans="1:12" x14ac:dyDescent="0.25">
      <c r="A104" t="s">
        <v>439</v>
      </c>
      <c r="B104" t="s">
        <v>440</v>
      </c>
      <c r="C104" t="s">
        <v>441</v>
      </c>
      <c r="F104" t="s">
        <v>409</v>
      </c>
      <c r="G104" t="s">
        <v>50</v>
      </c>
      <c r="H104" t="s">
        <v>51</v>
      </c>
      <c r="I104" t="s">
        <v>136</v>
      </c>
      <c r="J104" t="s">
        <v>137</v>
      </c>
      <c r="L104" t="s">
        <v>54</v>
      </c>
    </row>
    <row r="105" spans="1:12" x14ac:dyDescent="0.25">
      <c r="A105" t="s">
        <v>442</v>
      </c>
      <c r="B105" t="s">
        <v>443</v>
      </c>
      <c r="C105" t="s">
        <v>444</v>
      </c>
      <c r="F105" t="s">
        <v>445</v>
      </c>
      <c r="G105" t="s">
        <v>50</v>
      </c>
      <c r="H105" t="s">
        <v>51</v>
      </c>
      <c r="I105" t="s">
        <v>136</v>
      </c>
      <c r="J105" t="s">
        <v>137</v>
      </c>
      <c r="L105" t="s">
        <v>54</v>
      </c>
    </row>
    <row r="106" spans="1:12" x14ac:dyDescent="0.25">
      <c r="A106" t="s">
        <v>446</v>
      </c>
      <c r="B106" t="s">
        <v>447</v>
      </c>
      <c r="C106" t="s">
        <v>448</v>
      </c>
      <c r="F106" t="s">
        <v>449</v>
      </c>
      <c r="G106" t="s">
        <v>50</v>
      </c>
      <c r="H106" t="s">
        <v>51</v>
      </c>
      <c r="I106" t="s">
        <v>136</v>
      </c>
      <c r="J106" t="s">
        <v>137</v>
      </c>
      <c r="L106" t="s">
        <v>54</v>
      </c>
    </row>
    <row r="107" spans="1:12" x14ac:dyDescent="0.25">
      <c r="A107" t="s">
        <v>450</v>
      </c>
      <c r="B107" t="s">
        <v>451</v>
      </c>
      <c r="C107" t="s">
        <v>452</v>
      </c>
      <c r="F107" t="s">
        <v>453</v>
      </c>
      <c r="G107" t="s">
        <v>50</v>
      </c>
      <c r="H107" t="s">
        <v>51</v>
      </c>
      <c r="I107" t="s">
        <v>136</v>
      </c>
      <c r="J107" t="s">
        <v>137</v>
      </c>
      <c r="L107" t="s">
        <v>54</v>
      </c>
    </row>
    <row r="108" spans="1:12" x14ac:dyDescent="0.25">
      <c r="A108" t="s">
        <v>454</v>
      </c>
      <c r="B108" t="s">
        <v>455</v>
      </c>
      <c r="C108" t="s">
        <v>456</v>
      </c>
      <c r="F108" t="s">
        <v>457</v>
      </c>
      <c r="G108" t="s">
        <v>50</v>
      </c>
      <c r="H108" t="s">
        <v>51</v>
      </c>
      <c r="I108" t="s">
        <v>136</v>
      </c>
      <c r="J108" t="s">
        <v>137</v>
      </c>
      <c r="L108" t="s">
        <v>54</v>
      </c>
    </row>
    <row r="109" spans="1:12" x14ac:dyDescent="0.25">
      <c r="A109" t="s">
        <v>458</v>
      </c>
      <c r="B109" t="s">
        <v>459</v>
      </c>
      <c r="C109" t="s">
        <v>460</v>
      </c>
      <c r="F109" t="s">
        <v>461</v>
      </c>
      <c r="G109" t="s">
        <v>50</v>
      </c>
      <c r="H109" t="s">
        <v>51</v>
      </c>
      <c r="I109" t="s">
        <v>136</v>
      </c>
      <c r="J109" t="s">
        <v>137</v>
      </c>
      <c r="L109" t="s">
        <v>54</v>
      </c>
    </row>
    <row r="110" spans="1:12" x14ac:dyDescent="0.25">
      <c r="A110" t="s">
        <v>462</v>
      </c>
      <c r="B110" t="s">
        <v>463</v>
      </c>
      <c r="C110" t="s">
        <v>464</v>
      </c>
      <c r="F110" t="s">
        <v>78</v>
      </c>
      <c r="G110" t="s">
        <v>50</v>
      </c>
      <c r="H110" t="s">
        <v>51</v>
      </c>
      <c r="I110" t="s">
        <v>136</v>
      </c>
      <c r="J110" t="s">
        <v>137</v>
      </c>
      <c r="L110" t="s">
        <v>54</v>
      </c>
    </row>
    <row r="111" spans="1:12" x14ac:dyDescent="0.25">
      <c r="A111" t="s">
        <v>465</v>
      </c>
      <c r="B111" t="s">
        <v>466</v>
      </c>
      <c r="C111" t="s">
        <v>467</v>
      </c>
      <c r="F111" t="s">
        <v>468</v>
      </c>
      <c r="G111" t="s">
        <v>50</v>
      </c>
      <c r="H111" t="s">
        <v>51</v>
      </c>
      <c r="I111" t="s">
        <v>136</v>
      </c>
      <c r="J111" t="s">
        <v>137</v>
      </c>
      <c r="L111" t="s">
        <v>54</v>
      </c>
    </row>
    <row r="112" spans="1:12" x14ac:dyDescent="0.25">
      <c r="A112" t="s">
        <v>469</v>
      </c>
      <c r="B112" t="s">
        <v>470</v>
      </c>
      <c r="C112" t="s">
        <v>471</v>
      </c>
      <c r="F112" t="s">
        <v>303</v>
      </c>
      <c r="G112" t="s">
        <v>50</v>
      </c>
      <c r="H112" t="s">
        <v>51</v>
      </c>
      <c r="I112" t="s">
        <v>136</v>
      </c>
      <c r="J112" t="s">
        <v>137</v>
      </c>
      <c r="L112" t="s">
        <v>54</v>
      </c>
    </row>
    <row r="113" spans="1:12" x14ac:dyDescent="0.25">
      <c r="A113" t="s">
        <v>472</v>
      </c>
      <c r="B113" t="s">
        <v>473</v>
      </c>
      <c r="C113" t="s">
        <v>474</v>
      </c>
      <c r="F113" t="s">
        <v>475</v>
      </c>
      <c r="G113" t="s">
        <v>50</v>
      </c>
      <c r="H113" t="s">
        <v>51</v>
      </c>
      <c r="I113" t="s">
        <v>136</v>
      </c>
      <c r="J113" t="s">
        <v>137</v>
      </c>
      <c r="L113" t="s">
        <v>54</v>
      </c>
    </row>
    <row r="114" spans="1:12" x14ac:dyDescent="0.25">
      <c r="A114" t="s">
        <v>476</v>
      </c>
      <c r="B114" t="s">
        <v>477</v>
      </c>
      <c r="C114" t="s">
        <v>478</v>
      </c>
      <c r="F114" t="s">
        <v>184</v>
      </c>
      <c r="G114" t="s">
        <v>50</v>
      </c>
      <c r="H114" t="s">
        <v>51</v>
      </c>
      <c r="I114" t="s">
        <v>136</v>
      </c>
      <c r="J114" t="s">
        <v>137</v>
      </c>
      <c r="L114" t="s">
        <v>54</v>
      </c>
    </row>
    <row r="115" spans="1:12" x14ac:dyDescent="0.25">
      <c r="A115" t="s">
        <v>479</v>
      </c>
      <c r="B115" t="s">
        <v>480</v>
      </c>
      <c r="C115" t="s">
        <v>481</v>
      </c>
      <c r="F115" t="s">
        <v>269</v>
      </c>
      <c r="G115" t="s">
        <v>50</v>
      </c>
      <c r="H115" t="s">
        <v>51</v>
      </c>
      <c r="I115" t="s">
        <v>136</v>
      </c>
      <c r="J115" t="s">
        <v>137</v>
      </c>
      <c r="L115" t="s">
        <v>54</v>
      </c>
    </row>
    <row r="116" spans="1:12" x14ac:dyDescent="0.25">
      <c r="A116" t="s">
        <v>482</v>
      </c>
      <c r="B116" t="s">
        <v>483</v>
      </c>
      <c r="C116" t="s">
        <v>484</v>
      </c>
      <c r="F116" t="s">
        <v>485</v>
      </c>
      <c r="G116" t="s">
        <v>50</v>
      </c>
      <c r="H116" t="s">
        <v>51</v>
      </c>
      <c r="I116" t="s">
        <v>136</v>
      </c>
      <c r="J116" t="s">
        <v>137</v>
      </c>
      <c r="L116" t="s">
        <v>54</v>
      </c>
    </row>
    <row r="117" spans="1:12" x14ac:dyDescent="0.25">
      <c r="A117" t="s">
        <v>486</v>
      </c>
      <c r="B117" t="s">
        <v>487</v>
      </c>
      <c r="C117" t="s">
        <v>488</v>
      </c>
      <c r="F117" t="s">
        <v>489</v>
      </c>
      <c r="G117" t="s">
        <v>50</v>
      </c>
      <c r="H117" t="s">
        <v>51</v>
      </c>
      <c r="I117" t="s">
        <v>136</v>
      </c>
      <c r="J117" t="s">
        <v>137</v>
      </c>
      <c r="L117" t="s">
        <v>54</v>
      </c>
    </row>
    <row r="118" spans="1:12" x14ac:dyDescent="0.25">
      <c r="A118" t="s">
        <v>490</v>
      </c>
      <c r="B118" t="s">
        <v>491</v>
      </c>
      <c r="C118" t="s">
        <v>492</v>
      </c>
      <c r="F118" t="s">
        <v>413</v>
      </c>
      <c r="G118" t="s">
        <v>50</v>
      </c>
      <c r="H118" t="s">
        <v>51</v>
      </c>
      <c r="I118" t="s">
        <v>136</v>
      </c>
      <c r="J118" t="s">
        <v>137</v>
      </c>
      <c r="L118" t="s">
        <v>54</v>
      </c>
    </row>
    <row r="119" spans="1:12" x14ac:dyDescent="0.25">
      <c r="A119" t="s">
        <v>493</v>
      </c>
      <c r="B119" t="s">
        <v>494</v>
      </c>
      <c r="C119" t="s">
        <v>495</v>
      </c>
      <c r="F119" t="s">
        <v>496</v>
      </c>
      <c r="G119" t="s">
        <v>50</v>
      </c>
      <c r="H119" t="s">
        <v>51</v>
      </c>
      <c r="I119" t="s">
        <v>136</v>
      </c>
      <c r="J119" t="s">
        <v>137</v>
      </c>
      <c r="L119" t="s">
        <v>54</v>
      </c>
    </row>
    <row r="120" spans="1:12" x14ac:dyDescent="0.25">
      <c r="A120" t="s">
        <v>497</v>
      </c>
      <c r="B120" t="s">
        <v>498</v>
      </c>
      <c r="C120" t="s">
        <v>499</v>
      </c>
      <c r="F120" t="s">
        <v>78</v>
      </c>
      <c r="G120" t="s">
        <v>50</v>
      </c>
      <c r="H120" t="s">
        <v>51</v>
      </c>
      <c r="I120" t="s">
        <v>136</v>
      </c>
      <c r="J120" t="s">
        <v>137</v>
      </c>
      <c r="L120" t="s">
        <v>54</v>
      </c>
    </row>
    <row r="121" spans="1:12" x14ac:dyDescent="0.25">
      <c r="A121" t="s">
        <v>500</v>
      </c>
      <c r="B121" t="s">
        <v>501</v>
      </c>
      <c r="C121" t="s">
        <v>502</v>
      </c>
      <c r="F121" t="s">
        <v>503</v>
      </c>
      <c r="G121" t="s">
        <v>50</v>
      </c>
      <c r="H121" t="s">
        <v>51</v>
      </c>
      <c r="I121" t="s">
        <v>136</v>
      </c>
      <c r="J121" t="s">
        <v>137</v>
      </c>
      <c r="L121" t="s">
        <v>54</v>
      </c>
    </row>
    <row r="122" spans="1:12" x14ac:dyDescent="0.25">
      <c r="A122" t="s">
        <v>504</v>
      </c>
      <c r="B122" t="s">
        <v>505</v>
      </c>
      <c r="C122" t="s">
        <v>506</v>
      </c>
      <c r="F122" t="s">
        <v>507</v>
      </c>
      <c r="G122" t="s">
        <v>50</v>
      </c>
      <c r="H122" t="s">
        <v>51</v>
      </c>
      <c r="I122" t="s">
        <v>136</v>
      </c>
      <c r="J122" t="s">
        <v>137</v>
      </c>
      <c r="L122" t="s">
        <v>54</v>
      </c>
    </row>
    <row r="123" spans="1:12" x14ac:dyDescent="0.25">
      <c r="A123" t="s">
        <v>508</v>
      </c>
      <c r="B123" t="s">
        <v>509</v>
      </c>
      <c r="C123" t="s">
        <v>510</v>
      </c>
      <c r="F123" t="s">
        <v>511</v>
      </c>
      <c r="G123" t="s">
        <v>50</v>
      </c>
      <c r="H123" t="s">
        <v>51</v>
      </c>
      <c r="I123" t="s">
        <v>136</v>
      </c>
      <c r="J123" t="s">
        <v>137</v>
      </c>
      <c r="L123" t="s">
        <v>54</v>
      </c>
    </row>
    <row r="124" spans="1:12" x14ac:dyDescent="0.25">
      <c r="A124" t="s">
        <v>512</v>
      </c>
      <c r="B124" t="s">
        <v>513</v>
      </c>
      <c r="C124" t="s">
        <v>514</v>
      </c>
      <c r="F124" t="s">
        <v>515</v>
      </c>
      <c r="G124" t="s">
        <v>50</v>
      </c>
      <c r="H124" t="s">
        <v>51</v>
      </c>
      <c r="I124" t="s">
        <v>136</v>
      </c>
      <c r="J124" t="s">
        <v>137</v>
      </c>
      <c r="L124" t="s">
        <v>54</v>
      </c>
    </row>
    <row r="125" spans="1:12" x14ac:dyDescent="0.25">
      <c r="A125" t="s">
        <v>516</v>
      </c>
      <c r="B125" t="s">
        <v>517</v>
      </c>
      <c r="C125" t="s">
        <v>518</v>
      </c>
      <c r="F125" t="s">
        <v>519</v>
      </c>
      <c r="G125" t="s">
        <v>50</v>
      </c>
      <c r="H125" t="s">
        <v>51</v>
      </c>
      <c r="I125" t="s">
        <v>136</v>
      </c>
      <c r="J125" t="s">
        <v>137</v>
      </c>
      <c r="L125" t="s">
        <v>54</v>
      </c>
    </row>
    <row r="126" spans="1:12" x14ac:dyDescent="0.25">
      <c r="A126" t="s">
        <v>520</v>
      </c>
      <c r="B126" t="s">
        <v>521</v>
      </c>
      <c r="C126" t="s">
        <v>522</v>
      </c>
      <c r="F126" t="s">
        <v>468</v>
      </c>
      <c r="G126" t="s">
        <v>50</v>
      </c>
      <c r="H126" t="s">
        <v>51</v>
      </c>
      <c r="I126" t="s">
        <v>136</v>
      </c>
      <c r="J126" t="s">
        <v>137</v>
      </c>
      <c r="L126" t="s">
        <v>54</v>
      </c>
    </row>
    <row r="127" spans="1:12" x14ac:dyDescent="0.25">
      <c r="A127" t="s">
        <v>523</v>
      </c>
      <c r="B127" t="s">
        <v>524</v>
      </c>
      <c r="C127" t="s">
        <v>525</v>
      </c>
      <c r="F127" t="s">
        <v>526</v>
      </c>
      <c r="G127" t="s">
        <v>50</v>
      </c>
      <c r="H127" t="s">
        <v>51</v>
      </c>
      <c r="I127" t="s">
        <v>136</v>
      </c>
      <c r="J127" t="s">
        <v>137</v>
      </c>
      <c r="L127" t="s">
        <v>54</v>
      </c>
    </row>
    <row r="128" spans="1:12" x14ac:dyDescent="0.25">
      <c r="A128" t="s">
        <v>527</v>
      </c>
      <c r="B128" t="s">
        <v>528</v>
      </c>
      <c r="C128" t="s">
        <v>529</v>
      </c>
      <c r="F128" t="s">
        <v>115</v>
      </c>
      <c r="G128" t="s">
        <v>50</v>
      </c>
      <c r="H128" t="s">
        <v>51</v>
      </c>
      <c r="I128" t="s">
        <v>136</v>
      </c>
      <c r="J128" t="s">
        <v>137</v>
      </c>
      <c r="L128" t="s">
        <v>54</v>
      </c>
    </row>
    <row r="129" spans="1:12" x14ac:dyDescent="0.25">
      <c r="A129" t="s">
        <v>530</v>
      </c>
      <c r="B129" t="s">
        <v>531</v>
      </c>
      <c r="C129" t="s">
        <v>532</v>
      </c>
      <c r="F129" t="s">
        <v>533</v>
      </c>
      <c r="G129" t="s">
        <v>50</v>
      </c>
      <c r="H129" t="s">
        <v>51</v>
      </c>
      <c r="I129" t="s">
        <v>136</v>
      </c>
      <c r="J129" t="s">
        <v>137</v>
      </c>
      <c r="L129" t="s">
        <v>54</v>
      </c>
    </row>
    <row r="130" spans="1:12" x14ac:dyDescent="0.25">
      <c r="A130" t="s">
        <v>534</v>
      </c>
      <c r="B130" t="s">
        <v>535</v>
      </c>
      <c r="F130" t="s">
        <v>536</v>
      </c>
      <c r="G130" t="s">
        <v>123</v>
      </c>
      <c r="H130" t="s">
        <v>51</v>
      </c>
      <c r="I130" t="s">
        <v>124</v>
      </c>
      <c r="J130" t="s">
        <v>125</v>
      </c>
      <c r="L130" t="s">
        <v>126</v>
      </c>
    </row>
    <row r="131" spans="1:12" x14ac:dyDescent="0.25">
      <c r="A131" t="s">
        <v>537</v>
      </c>
      <c r="B131" t="s">
        <v>538</v>
      </c>
      <c r="C131" t="s">
        <v>539</v>
      </c>
      <c r="F131" t="s">
        <v>461</v>
      </c>
      <c r="G131" t="s">
        <v>50</v>
      </c>
      <c r="H131" t="s">
        <v>51</v>
      </c>
      <c r="I131" t="s">
        <v>136</v>
      </c>
      <c r="J131" t="s">
        <v>137</v>
      </c>
      <c r="L131" t="s">
        <v>54</v>
      </c>
    </row>
    <row r="132" spans="1:12" x14ac:dyDescent="0.25">
      <c r="A132" t="s">
        <v>540</v>
      </c>
      <c r="B132" t="s">
        <v>541</v>
      </c>
      <c r="C132" t="s">
        <v>542</v>
      </c>
      <c r="F132" t="s">
        <v>543</v>
      </c>
      <c r="G132" t="s">
        <v>50</v>
      </c>
      <c r="H132" t="s">
        <v>51</v>
      </c>
      <c r="I132" t="s">
        <v>136</v>
      </c>
      <c r="J132" t="s">
        <v>137</v>
      </c>
      <c r="L132" t="s">
        <v>54</v>
      </c>
    </row>
    <row r="133" spans="1:12" x14ac:dyDescent="0.25">
      <c r="A133" t="s">
        <v>544</v>
      </c>
      <c r="B133" t="s">
        <v>545</v>
      </c>
      <c r="C133" t="s">
        <v>546</v>
      </c>
      <c r="F133" t="s">
        <v>547</v>
      </c>
      <c r="G133" t="s">
        <v>50</v>
      </c>
      <c r="H133" t="s">
        <v>51</v>
      </c>
      <c r="I133" t="s">
        <v>136</v>
      </c>
      <c r="J133" t="s">
        <v>137</v>
      </c>
      <c r="L133" t="s">
        <v>54</v>
      </c>
    </row>
    <row r="134" spans="1:12" x14ac:dyDescent="0.25">
      <c r="A134" t="s">
        <v>548</v>
      </c>
      <c r="B134" t="s">
        <v>549</v>
      </c>
      <c r="C134" t="s">
        <v>550</v>
      </c>
      <c r="F134" t="s">
        <v>551</v>
      </c>
      <c r="G134" t="s">
        <v>50</v>
      </c>
      <c r="H134" t="s">
        <v>51</v>
      </c>
      <c r="I134" t="s">
        <v>136</v>
      </c>
      <c r="J134" t="s">
        <v>137</v>
      </c>
      <c r="L134" t="s">
        <v>54</v>
      </c>
    </row>
    <row r="135" spans="1:12" x14ac:dyDescent="0.25">
      <c r="A135" t="s">
        <v>552</v>
      </c>
      <c r="B135" t="s">
        <v>553</v>
      </c>
      <c r="C135" t="s">
        <v>554</v>
      </c>
      <c r="F135" t="s">
        <v>184</v>
      </c>
      <c r="G135" t="s">
        <v>50</v>
      </c>
      <c r="H135" t="s">
        <v>51</v>
      </c>
      <c r="I135" t="s">
        <v>136</v>
      </c>
      <c r="J135" t="s">
        <v>137</v>
      </c>
      <c r="L135" t="s">
        <v>54</v>
      </c>
    </row>
    <row r="136" spans="1:12" x14ac:dyDescent="0.25">
      <c r="A136" t="s">
        <v>555</v>
      </c>
      <c r="B136" t="s">
        <v>556</v>
      </c>
      <c r="C136" t="s">
        <v>557</v>
      </c>
      <c r="F136" t="s">
        <v>558</v>
      </c>
      <c r="G136" t="s">
        <v>50</v>
      </c>
      <c r="H136" t="s">
        <v>51</v>
      </c>
      <c r="I136" t="s">
        <v>136</v>
      </c>
      <c r="J136" t="s">
        <v>137</v>
      </c>
      <c r="L136" t="s">
        <v>54</v>
      </c>
    </row>
    <row r="137" spans="1:12" x14ac:dyDescent="0.25">
      <c r="A137" t="s">
        <v>559</v>
      </c>
      <c r="B137" t="s">
        <v>560</v>
      </c>
      <c r="C137" t="s">
        <v>561</v>
      </c>
      <c r="F137" t="s">
        <v>496</v>
      </c>
      <c r="G137" t="s">
        <v>50</v>
      </c>
      <c r="H137" t="s">
        <v>51</v>
      </c>
      <c r="I137" t="s">
        <v>136</v>
      </c>
      <c r="J137" t="s">
        <v>137</v>
      </c>
      <c r="L137" t="s">
        <v>54</v>
      </c>
    </row>
    <row r="138" spans="1:12" x14ac:dyDescent="0.25">
      <c r="A138" t="s">
        <v>562</v>
      </c>
      <c r="B138" t="s">
        <v>563</v>
      </c>
      <c r="C138" t="s">
        <v>564</v>
      </c>
      <c r="F138" t="s">
        <v>565</v>
      </c>
      <c r="G138" t="s">
        <v>50</v>
      </c>
      <c r="H138" t="s">
        <v>51</v>
      </c>
      <c r="I138" t="s">
        <v>136</v>
      </c>
      <c r="J138" t="s">
        <v>137</v>
      </c>
      <c r="L138" t="s">
        <v>54</v>
      </c>
    </row>
    <row r="139" spans="1:12" x14ac:dyDescent="0.25">
      <c r="A139" t="s">
        <v>566</v>
      </c>
      <c r="B139" t="s">
        <v>567</v>
      </c>
      <c r="C139" t="s">
        <v>568</v>
      </c>
      <c r="F139" t="s">
        <v>322</v>
      </c>
      <c r="G139" t="s">
        <v>50</v>
      </c>
      <c r="H139" t="s">
        <v>51</v>
      </c>
      <c r="I139" t="s">
        <v>136</v>
      </c>
      <c r="J139" t="s">
        <v>137</v>
      </c>
      <c r="L139" t="s">
        <v>54</v>
      </c>
    </row>
    <row r="140" spans="1:12" x14ac:dyDescent="0.25">
      <c r="A140" t="s">
        <v>569</v>
      </c>
      <c r="B140" t="s">
        <v>570</v>
      </c>
      <c r="C140" t="s">
        <v>571</v>
      </c>
      <c r="F140" t="s">
        <v>310</v>
      </c>
      <c r="G140" t="s">
        <v>50</v>
      </c>
      <c r="H140" t="s">
        <v>51</v>
      </c>
      <c r="I140" t="s">
        <v>136</v>
      </c>
      <c r="J140" t="s">
        <v>137</v>
      </c>
      <c r="L140" t="s">
        <v>54</v>
      </c>
    </row>
    <row r="141" spans="1:12" x14ac:dyDescent="0.25">
      <c r="A141" t="s">
        <v>572</v>
      </c>
      <c r="B141" t="s">
        <v>573</v>
      </c>
      <c r="C141" t="s">
        <v>574</v>
      </c>
      <c r="F141" t="s">
        <v>575</v>
      </c>
      <c r="G141" t="s">
        <v>50</v>
      </c>
      <c r="H141" t="s">
        <v>51</v>
      </c>
      <c r="I141" t="s">
        <v>136</v>
      </c>
      <c r="J141" t="s">
        <v>137</v>
      </c>
      <c r="L141" t="s">
        <v>54</v>
      </c>
    </row>
    <row r="142" spans="1:12" x14ac:dyDescent="0.25">
      <c r="A142" t="s">
        <v>576</v>
      </c>
      <c r="B142" t="s">
        <v>577</v>
      </c>
      <c r="C142" t="s">
        <v>578</v>
      </c>
      <c r="F142" t="s">
        <v>299</v>
      </c>
      <c r="G142" t="s">
        <v>50</v>
      </c>
      <c r="H142" t="s">
        <v>51</v>
      </c>
      <c r="I142" t="s">
        <v>136</v>
      </c>
      <c r="J142" t="s">
        <v>137</v>
      </c>
      <c r="L142" t="s">
        <v>54</v>
      </c>
    </row>
    <row r="143" spans="1:12" x14ac:dyDescent="0.25">
      <c r="A143" t="s">
        <v>579</v>
      </c>
      <c r="B143" t="s">
        <v>580</v>
      </c>
      <c r="C143" t="s">
        <v>581</v>
      </c>
      <c r="F143" t="s">
        <v>582</v>
      </c>
      <c r="G143" t="s">
        <v>50</v>
      </c>
      <c r="H143" t="s">
        <v>51</v>
      </c>
      <c r="I143" t="s">
        <v>136</v>
      </c>
      <c r="J143" t="s">
        <v>137</v>
      </c>
      <c r="L143" t="s">
        <v>54</v>
      </c>
    </row>
    <row r="144" spans="1:12" x14ac:dyDescent="0.25">
      <c r="A144" t="s">
        <v>583</v>
      </c>
      <c r="B144" t="s">
        <v>584</v>
      </c>
      <c r="C144" t="s">
        <v>585</v>
      </c>
      <c r="F144" t="s">
        <v>78</v>
      </c>
      <c r="G144" t="s">
        <v>50</v>
      </c>
      <c r="H144" t="s">
        <v>51</v>
      </c>
      <c r="I144" t="s">
        <v>136</v>
      </c>
      <c r="J144" t="s">
        <v>137</v>
      </c>
      <c r="L144" t="s">
        <v>54</v>
      </c>
    </row>
    <row r="145" spans="1:12" x14ac:dyDescent="0.25">
      <c r="A145" t="s">
        <v>586</v>
      </c>
      <c r="B145" t="s">
        <v>587</v>
      </c>
      <c r="C145" t="s">
        <v>588</v>
      </c>
      <c r="F145" t="s">
        <v>453</v>
      </c>
      <c r="G145" t="s">
        <v>50</v>
      </c>
      <c r="H145" t="s">
        <v>51</v>
      </c>
      <c r="I145" t="s">
        <v>136</v>
      </c>
      <c r="J145" t="s">
        <v>137</v>
      </c>
      <c r="L145" t="s">
        <v>54</v>
      </c>
    </row>
    <row r="146" spans="1:12" x14ac:dyDescent="0.25">
      <c r="A146" t="s">
        <v>589</v>
      </c>
      <c r="B146" t="s">
        <v>590</v>
      </c>
      <c r="C146" t="s">
        <v>591</v>
      </c>
      <c r="F146" t="s">
        <v>592</v>
      </c>
      <c r="G146" t="s">
        <v>50</v>
      </c>
      <c r="H146" t="s">
        <v>51</v>
      </c>
      <c r="I146" t="s">
        <v>136</v>
      </c>
      <c r="J146" t="s">
        <v>137</v>
      </c>
      <c r="L146" t="s">
        <v>54</v>
      </c>
    </row>
    <row r="147" spans="1:12" x14ac:dyDescent="0.25">
      <c r="A147" t="s">
        <v>593</v>
      </c>
      <c r="B147" t="s">
        <v>594</v>
      </c>
      <c r="C147" t="s">
        <v>595</v>
      </c>
      <c r="F147" t="s">
        <v>405</v>
      </c>
      <c r="G147" t="s">
        <v>50</v>
      </c>
      <c r="H147" t="s">
        <v>51</v>
      </c>
      <c r="I147" t="s">
        <v>136</v>
      </c>
      <c r="J147" t="s">
        <v>137</v>
      </c>
      <c r="L147" t="s">
        <v>54</v>
      </c>
    </row>
    <row r="148" spans="1:12" x14ac:dyDescent="0.25">
      <c r="A148" t="s">
        <v>596</v>
      </c>
      <c r="B148" t="s">
        <v>597</v>
      </c>
      <c r="C148" t="s">
        <v>598</v>
      </c>
      <c r="F148" t="s">
        <v>599</v>
      </c>
      <c r="G148" t="s">
        <v>50</v>
      </c>
      <c r="H148" t="s">
        <v>51</v>
      </c>
      <c r="I148" t="s">
        <v>136</v>
      </c>
      <c r="J148" t="s">
        <v>137</v>
      </c>
      <c r="L148" t="s">
        <v>54</v>
      </c>
    </row>
    <row r="149" spans="1:12" x14ac:dyDescent="0.25">
      <c r="A149" t="s">
        <v>600</v>
      </c>
      <c r="B149" t="s">
        <v>601</v>
      </c>
      <c r="C149" t="s">
        <v>602</v>
      </c>
      <c r="F149" t="s">
        <v>603</v>
      </c>
      <c r="G149" t="s">
        <v>50</v>
      </c>
      <c r="H149" t="s">
        <v>51</v>
      </c>
      <c r="I149" t="s">
        <v>136</v>
      </c>
      <c r="J149" t="s">
        <v>137</v>
      </c>
      <c r="L149" t="s">
        <v>54</v>
      </c>
    </row>
    <row r="150" spans="1:12" x14ac:dyDescent="0.25">
      <c r="A150" t="s">
        <v>604</v>
      </c>
      <c r="B150" t="s">
        <v>605</v>
      </c>
      <c r="C150" t="s">
        <v>606</v>
      </c>
      <c r="F150" t="s">
        <v>438</v>
      </c>
      <c r="G150" t="s">
        <v>50</v>
      </c>
      <c r="H150" t="s">
        <v>51</v>
      </c>
      <c r="I150" t="s">
        <v>136</v>
      </c>
      <c r="J150" t="s">
        <v>137</v>
      </c>
      <c r="L150" t="s">
        <v>54</v>
      </c>
    </row>
    <row r="151" spans="1:12" x14ac:dyDescent="0.25">
      <c r="A151" t="s">
        <v>607</v>
      </c>
      <c r="B151" t="s">
        <v>608</v>
      </c>
      <c r="C151" t="s">
        <v>609</v>
      </c>
      <c r="F151" t="s">
        <v>285</v>
      </c>
      <c r="G151" t="s">
        <v>50</v>
      </c>
      <c r="H151" t="s">
        <v>51</v>
      </c>
      <c r="I151" t="s">
        <v>136</v>
      </c>
      <c r="J151" t="s">
        <v>137</v>
      </c>
      <c r="L151" t="s">
        <v>54</v>
      </c>
    </row>
    <row r="152" spans="1:12" x14ac:dyDescent="0.25">
      <c r="A152" t="s">
        <v>610</v>
      </c>
      <c r="B152" t="s">
        <v>611</v>
      </c>
      <c r="C152" t="s">
        <v>612</v>
      </c>
      <c r="F152" t="s">
        <v>613</v>
      </c>
      <c r="G152" t="s">
        <v>50</v>
      </c>
      <c r="H152" t="s">
        <v>51</v>
      </c>
      <c r="I152" t="s">
        <v>136</v>
      </c>
      <c r="J152" t="s">
        <v>137</v>
      </c>
      <c r="L152" t="s">
        <v>54</v>
      </c>
    </row>
    <row r="153" spans="1:12" x14ac:dyDescent="0.25">
      <c r="A153" t="s">
        <v>614</v>
      </c>
      <c r="B153" t="s">
        <v>615</v>
      </c>
      <c r="C153" t="s">
        <v>616</v>
      </c>
      <c r="F153" t="s">
        <v>617</v>
      </c>
      <c r="G153" t="s">
        <v>50</v>
      </c>
      <c r="H153" t="s">
        <v>51</v>
      </c>
      <c r="I153" t="s">
        <v>136</v>
      </c>
      <c r="J153" t="s">
        <v>137</v>
      </c>
      <c r="L153" t="s">
        <v>54</v>
      </c>
    </row>
    <row r="154" spans="1:12" x14ac:dyDescent="0.25">
      <c r="A154" t="s">
        <v>618</v>
      </c>
      <c r="B154" t="s">
        <v>619</v>
      </c>
      <c r="C154" t="s">
        <v>620</v>
      </c>
      <c r="F154" t="s">
        <v>261</v>
      </c>
      <c r="G154" t="s">
        <v>50</v>
      </c>
      <c r="H154" t="s">
        <v>51</v>
      </c>
      <c r="I154" t="s">
        <v>136</v>
      </c>
      <c r="J154" t="s">
        <v>137</v>
      </c>
      <c r="L154" t="s">
        <v>54</v>
      </c>
    </row>
    <row r="155" spans="1:12" x14ac:dyDescent="0.25">
      <c r="A155" t="s">
        <v>621</v>
      </c>
      <c r="B155" t="s">
        <v>622</v>
      </c>
      <c r="C155" t="s">
        <v>623</v>
      </c>
      <c r="F155" t="s">
        <v>624</v>
      </c>
      <c r="G155" t="s">
        <v>50</v>
      </c>
      <c r="H155" t="s">
        <v>51</v>
      </c>
      <c r="I155" t="s">
        <v>136</v>
      </c>
      <c r="J155" t="s">
        <v>137</v>
      </c>
      <c r="L155" t="s">
        <v>54</v>
      </c>
    </row>
    <row r="156" spans="1:12" x14ac:dyDescent="0.25">
      <c r="A156" t="s">
        <v>625</v>
      </c>
      <c r="B156" t="s">
        <v>626</v>
      </c>
      <c r="C156" t="s">
        <v>627</v>
      </c>
      <c r="F156" t="s">
        <v>628</v>
      </c>
      <c r="G156" t="s">
        <v>50</v>
      </c>
      <c r="H156" t="s">
        <v>51</v>
      </c>
      <c r="I156" t="s">
        <v>136</v>
      </c>
      <c r="J156" t="s">
        <v>137</v>
      </c>
      <c r="L156" t="s">
        <v>54</v>
      </c>
    </row>
    <row r="157" spans="1:12" x14ac:dyDescent="0.25">
      <c r="A157" t="s">
        <v>629</v>
      </c>
      <c r="B157" t="s">
        <v>630</v>
      </c>
      <c r="C157" t="s">
        <v>631</v>
      </c>
      <c r="F157" t="s">
        <v>632</v>
      </c>
      <c r="G157" t="s">
        <v>50</v>
      </c>
      <c r="H157" t="s">
        <v>51</v>
      </c>
      <c r="I157" t="s">
        <v>136</v>
      </c>
      <c r="J157" t="s">
        <v>137</v>
      </c>
      <c r="L157" t="s">
        <v>54</v>
      </c>
    </row>
    <row r="158" spans="1:12" x14ac:dyDescent="0.25">
      <c r="A158" t="s">
        <v>633</v>
      </c>
      <c r="B158" t="s">
        <v>634</v>
      </c>
      <c r="C158" t="s">
        <v>635</v>
      </c>
      <c r="F158" t="s">
        <v>636</v>
      </c>
      <c r="G158" t="s">
        <v>50</v>
      </c>
      <c r="H158" t="s">
        <v>51</v>
      </c>
      <c r="I158" t="s">
        <v>136</v>
      </c>
      <c r="J158" t="s">
        <v>137</v>
      </c>
      <c r="L158" t="s">
        <v>54</v>
      </c>
    </row>
    <row r="159" spans="1:12" x14ac:dyDescent="0.25">
      <c r="A159" t="s">
        <v>637</v>
      </c>
      <c r="B159" t="s">
        <v>638</v>
      </c>
      <c r="C159" t="s">
        <v>639</v>
      </c>
      <c r="F159" t="s">
        <v>640</v>
      </c>
      <c r="G159" t="s">
        <v>50</v>
      </c>
      <c r="H159" t="s">
        <v>51</v>
      </c>
      <c r="I159" t="s">
        <v>136</v>
      </c>
      <c r="J159" t="s">
        <v>137</v>
      </c>
      <c r="L159" t="s">
        <v>54</v>
      </c>
    </row>
    <row r="160" spans="1:12" x14ac:dyDescent="0.25">
      <c r="A160" t="s">
        <v>641</v>
      </c>
      <c r="B160" t="s">
        <v>642</v>
      </c>
      <c r="C160" t="s">
        <v>643</v>
      </c>
      <c r="F160" t="s">
        <v>644</v>
      </c>
      <c r="G160" t="s">
        <v>50</v>
      </c>
      <c r="H160" t="s">
        <v>51</v>
      </c>
      <c r="I160" t="s">
        <v>136</v>
      </c>
      <c r="J160" t="s">
        <v>137</v>
      </c>
      <c r="L160" t="s">
        <v>54</v>
      </c>
    </row>
    <row r="161" spans="1:12" x14ac:dyDescent="0.25">
      <c r="A161" t="s">
        <v>645</v>
      </c>
      <c r="B161" t="s">
        <v>646</v>
      </c>
      <c r="C161" t="s">
        <v>647</v>
      </c>
      <c r="F161" t="s">
        <v>648</v>
      </c>
      <c r="G161" t="s">
        <v>50</v>
      </c>
      <c r="H161" t="s">
        <v>51</v>
      </c>
      <c r="I161" t="s">
        <v>136</v>
      </c>
      <c r="J161" t="s">
        <v>137</v>
      </c>
      <c r="L161" t="s">
        <v>54</v>
      </c>
    </row>
    <row r="162" spans="1:12" x14ac:dyDescent="0.25">
      <c r="A162" t="s">
        <v>649</v>
      </c>
      <c r="B162" t="s">
        <v>650</v>
      </c>
      <c r="C162" t="s">
        <v>651</v>
      </c>
      <c r="F162" t="s">
        <v>652</v>
      </c>
      <c r="G162" t="s">
        <v>50</v>
      </c>
      <c r="H162" t="s">
        <v>51</v>
      </c>
      <c r="I162" t="s">
        <v>136</v>
      </c>
      <c r="J162" t="s">
        <v>137</v>
      </c>
      <c r="L162" t="s">
        <v>54</v>
      </c>
    </row>
    <row r="163" spans="1:12" x14ac:dyDescent="0.25">
      <c r="A163" t="s">
        <v>653</v>
      </c>
      <c r="B163" t="s">
        <v>654</v>
      </c>
      <c r="C163" t="s">
        <v>655</v>
      </c>
      <c r="F163" t="s">
        <v>656</v>
      </c>
      <c r="G163" t="s">
        <v>50</v>
      </c>
      <c r="H163" t="s">
        <v>51</v>
      </c>
      <c r="I163" t="s">
        <v>136</v>
      </c>
      <c r="J163" t="s">
        <v>137</v>
      </c>
      <c r="L163" t="s">
        <v>54</v>
      </c>
    </row>
    <row r="164" spans="1:12" x14ac:dyDescent="0.25">
      <c r="A164" t="s">
        <v>657</v>
      </c>
      <c r="B164" t="s">
        <v>658</v>
      </c>
      <c r="C164" t="s">
        <v>659</v>
      </c>
      <c r="F164" t="s">
        <v>261</v>
      </c>
      <c r="G164" t="s">
        <v>50</v>
      </c>
      <c r="H164" t="s">
        <v>51</v>
      </c>
      <c r="I164" t="s">
        <v>136</v>
      </c>
      <c r="J164" t="s">
        <v>137</v>
      </c>
      <c r="L164" t="s">
        <v>54</v>
      </c>
    </row>
    <row r="165" spans="1:12" x14ac:dyDescent="0.25">
      <c r="A165" t="s">
        <v>660</v>
      </c>
      <c r="B165" t="s">
        <v>661</v>
      </c>
      <c r="C165" t="s">
        <v>662</v>
      </c>
      <c r="F165" t="s">
        <v>663</v>
      </c>
      <c r="G165" t="s">
        <v>50</v>
      </c>
      <c r="H165" t="s">
        <v>51</v>
      </c>
      <c r="I165" t="s">
        <v>136</v>
      </c>
      <c r="J165" t="s">
        <v>137</v>
      </c>
      <c r="L165" t="s">
        <v>54</v>
      </c>
    </row>
    <row r="166" spans="1:12" x14ac:dyDescent="0.25">
      <c r="A166" t="s">
        <v>664</v>
      </c>
      <c r="B166" t="s">
        <v>665</v>
      </c>
      <c r="C166" t="s">
        <v>666</v>
      </c>
      <c r="F166" t="s">
        <v>667</v>
      </c>
      <c r="G166" t="s">
        <v>50</v>
      </c>
      <c r="H166" t="s">
        <v>51</v>
      </c>
      <c r="I166" t="s">
        <v>136</v>
      </c>
      <c r="J166" t="s">
        <v>137</v>
      </c>
      <c r="L166" t="s">
        <v>54</v>
      </c>
    </row>
    <row r="167" spans="1:12" x14ac:dyDescent="0.25">
      <c r="A167" t="s">
        <v>668</v>
      </c>
      <c r="B167" t="s">
        <v>669</v>
      </c>
      <c r="C167" t="s">
        <v>670</v>
      </c>
      <c r="F167" t="s">
        <v>671</v>
      </c>
      <c r="G167" t="s">
        <v>50</v>
      </c>
      <c r="H167" t="s">
        <v>51</v>
      </c>
      <c r="I167" t="s">
        <v>136</v>
      </c>
      <c r="J167" t="s">
        <v>137</v>
      </c>
      <c r="L167" t="s">
        <v>54</v>
      </c>
    </row>
    <row r="168" spans="1:12" x14ac:dyDescent="0.25">
      <c r="A168" t="s">
        <v>672</v>
      </c>
      <c r="B168" t="s">
        <v>673</v>
      </c>
      <c r="C168" t="s">
        <v>674</v>
      </c>
      <c r="F168" t="s">
        <v>468</v>
      </c>
      <c r="G168" t="s">
        <v>50</v>
      </c>
      <c r="H168" t="s">
        <v>51</v>
      </c>
      <c r="I168" t="s">
        <v>136</v>
      </c>
      <c r="J168" t="s">
        <v>137</v>
      </c>
      <c r="L168" t="s">
        <v>54</v>
      </c>
    </row>
    <row r="169" spans="1:12" x14ac:dyDescent="0.25">
      <c r="A169" t="s">
        <v>675</v>
      </c>
      <c r="B169" t="s">
        <v>676</v>
      </c>
      <c r="C169" t="s">
        <v>677</v>
      </c>
      <c r="F169" t="s">
        <v>678</v>
      </c>
      <c r="G169" t="s">
        <v>50</v>
      </c>
      <c r="H169" t="s">
        <v>51</v>
      </c>
      <c r="I169" t="s">
        <v>136</v>
      </c>
      <c r="J169" t="s">
        <v>137</v>
      </c>
      <c r="L169" t="s">
        <v>54</v>
      </c>
    </row>
    <row r="170" spans="1:12" x14ac:dyDescent="0.25">
      <c r="A170" t="s">
        <v>679</v>
      </c>
      <c r="B170" t="s">
        <v>680</v>
      </c>
      <c r="F170" t="s">
        <v>681</v>
      </c>
      <c r="G170" t="s">
        <v>123</v>
      </c>
      <c r="H170" t="s">
        <v>51</v>
      </c>
      <c r="I170" t="s">
        <v>124</v>
      </c>
      <c r="J170" t="s">
        <v>125</v>
      </c>
      <c r="L170" t="s">
        <v>126</v>
      </c>
    </row>
    <row r="171" spans="1:12" x14ac:dyDescent="0.25">
      <c r="A171" t="s">
        <v>682</v>
      </c>
      <c r="B171" t="s">
        <v>683</v>
      </c>
      <c r="C171" t="s">
        <v>684</v>
      </c>
      <c r="F171" t="s">
        <v>685</v>
      </c>
      <c r="G171" t="s">
        <v>50</v>
      </c>
      <c r="H171" t="s">
        <v>51</v>
      </c>
      <c r="I171" t="s">
        <v>136</v>
      </c>
      <c r="J171" t="s">
        <v>137</v>
      </c>
      <c r="L171" t="s">
        <v>54</v>
      </c>
    </row>
    <row r="172" spans="1:12" x14ac:dyDescent="0.25">
      <c r="A172" t="s">
        <v>686</v>
      </c>
      <c r="B172" t="s">
        <v>687</v>
      </c>
      <c r="C172" t="s">
        <v>688</v>
      </c>
      <c r="F172" t="s">
        <v>689</v>
      </c>
      <c r="G172" t="s">
        <v>50</v>
      </c>
      <c r="H172" t="s">
        <v>51</v>
      </c>
      <c r="I172" t="s">
        <v>136</v>
      </c>
      <c r="J172" t="s">
        <v>137</v>
      </c>
      <c r="L172" t="s">
        <v>54</v>
      </c>
    </row>
    <row r="173" spans="1:12" x14ac:dyDescent="0.25">
      <c r="A173" t="s">
        <v>690</v>
      </c>
      <c r="B173" t="s">
        <v>244</v>
      </c>
      <c r="C173" t="s">
        <v>691</v>
      </c>
      <c r="F173" t="s">
        <v>246</v>
      </c>
      <c r="G173" t="s">
        <v>50</v>
      </c>
      <c r="H173" t="s">
        <v>51</v>
      </c>
      <c r="I173" t="s">
        <v>136</v>
      </c>
      <c r="J173" t="s">
        <v>137</v>
      </c>
      <c r="L173" t="s">
        <v>54</v>
      </c>
    </row>
    <row r="174" spans="1:12" x14ac:dyDescent="0.25">
      <c r="A174" t="s">
        <v>692</v>
      </c>
      <c r="B174" t="s">
        <v>693</v>
      </c>
      <c r="C174" t="s">
        <v>694</v>
      </c>
      <c r="F174" t="s">
        <v>211</v>
      </c>
      <c r="G174" t="s">
        <v>50</v>
      </c>
      <c r="H174" t="s">
        <v>51</v>
      </c>
      <c r="I174" t="s">
        <v>136</v>
      </c>
      <c r="J174" t="s">
        <v>137</v>
      </c>
      <c r="L174" t="s">
        <v>54</v>
      </c>
    </row>
    <row r="175" spans="1:12" x14ac:dyDescent="0.25">
      <c r="A175" t="s">
        <v>695</v>
      </c>
      <c r="B175" t="s">
        <v>696</v>
      </c>
      <c r="C175" t="s">
        <v>697</v>
      </c>
      <c r="F175" t="s">
        <v>269</v>
      </c>
      <c r="G175" t="s">
        <v>50</v>
      </c>
      <c r="H175" t="s">
        <v>51</v>
      </c>
      <c r="I175" t="s">
        <v>136</v>
      </c>
      <c r="J175" t="s">
        <v>137</v>
      </c>
      <c r="L175" t="s">
        <v>54</v>
      </c>
    </row>
    <row r="176" spans="1:12" x14ac:dyDescent="0.25">
      <c r="A176" t="s">
        <v>698</v>
      </c>
      <c r="B176" t="s">
        <v>699</v>
      </c>
      <c r="C176" t="s">
        <v>700</v>
      </c>
      <c r="F176" t="s">
        <v>90</v>
      </c>
      <c r="G176" t="s">
        <v>50</v>
      </c>
      <c r="H176" t="s">
        <v>51</v>
      </c>
      <c r="I176" t="s">
        <v>136</v>
      </c>
      <c r="J176" t="s">
        <v>137</v>
      </c>
      <c r="L176" t="s">
        <v>54</v>
      </c>
    </row>
    <row r="177" spans="1:12" x14ac:dyDescent="0.25">
      <c r="A177" t="s">
        <v>701</v>
      </c>
      <c r="B177" t="s">
        <v>702</v>
      </c>
      <c r="F177" t="s">
        <v>703</v>
      </c>
      <c r="G177" t="s">
        <v>123</v>
      </c>
      <c r="H177" t="s">
        <v>51</v>
      </c>
      <c r="I177" t="s">
        <v>124</v>
      </c>
      <c r="J177" t="s">
        <v>125</v>
      </c>
      <c r="L177" t="s">
        <v>126</v>
      </c>
    </row>
    <row r="178" spans="1:12" x14ac:dyDescent="0.25">
      <c r="A178" t="s">
        <v>704</v>
      </c>
      <c r="B178" t="s">
        <v>705</v>
      </c>
      <c r="C178" t="s">
        <v>706</v>
      </c>
      <c r="F178" t="s">
        <v>707</v>
      </c>
      <c r="G178" t="s">
        <v>50</v>
      </c>
      <c r="H178" t="s">
        <v>51</v>
      </c>
      <c r="I178" t="s">
        <v>136</v>
      </c>
      <c r="J178" t="s">
        <v>137</v>
      </c>
      <c r="L178" t="s">
        <v>54</v>
      </c>
    </row>
    <row r="179" spans="1:12" x14ac:dyDescent="0.25">
      <c r="A179" t="s">
        <v>708</v>
      </c>
      <c r="B179" t="s">
        <v>709</v>
      </c>
      <c r="C179" t="s">
        <v>710</v>
      </c>
      <c r="F179" t="s">
        <v>711</v>
      </c>
      <c r="G179" t="s">
        <v>50</v>
      </c>
      <c r="H179" t="s">
        <v>51</v>
      </c>
      <c r="I179" t="s">
        <v>136</v>
      </c>
      <c r="J179" t="s">
        <v>137</v>
      </c>
      <c r="L179" t="s">
        <v>54</v>
      </c>
    </row>
    <row r="180" spans="1:12" x14ac:dyDescent="0.25">
      <c r="A180" t="s">
        <v>712</v>
      </c>
      <c r="B180" t="s">
        <v>713</v>
      </c>
      <c r="C180" t="s">
        <v>714</v>
      </c>
      <c r="F180" t="s">
        <v>468</v>
      </c>
      <c r="G180" t="s">
        <v>50</v>
      </c>
      <c r="H180" t="s">
        <v>51</v>
      </c>
      <c r="I180" t="s">
        <v>136</v>
      </c>
      <c r="J180" t="s">
        <v>137</v>
      </c>
      <c r="L180" t="s">
        <v>54</v>
      </c>
    </row>
    <row r="181" spans="1:12" x14ac:dyDescent="0.25">
      <c r="A181" t="s">
        <v>715</v>
      </c>
      <c r="B181" t="s">
        <v>716</v>
      </c>
      <c r="C181" t="s">
        <v>717</v>
      </c>
      <c r="F181" t="s">
        <v>496</v>
      </c>
      <c r="G181" t="s">
        <v>50</v>
      </c>
      <c r="H181" t="s">
        <v>51</v>
      </c>
      <c r="I181" t="s">
        <v>136</v>
      </c>
      <c r="J181" t="s">
        <v>137</v>
      </c>
      <c r="L181" t="s">
        <v>54</v>
      </c>
    </row>
    <row r="182" spans="1:12" x14ac:dyDescent="0.25">
      <c r="A182" t="s">
        <v>718</v>
      </c>
      <c r="B182" t="s">
        <v>719</v>
      </c>
      <c r="C182" t="s">
        <v>720</v>
      </c>
      <c r="F182" t="s">
        <v>721</v>
      </c>
      <c r="G182" t="s">
        <v>50</v>
      </c>
      <c r="H182" t="s">
        <v>51</v>
      </c>
      <c r="I182" t="s">
        <v>136</v>
      </c>
      <c r="J182" t="s">
        <v>137</v>
      </c>
      <c r="L182" t="s">
        <v>54</v>
      </c>
    </row>
    <row r="183" spans="1:12" x14ac:dyDescent="0.25">
      <c r="A183" t="s">
        <v>722</v>
      </c>
      <c r="B183" t="s">
        <v>723</v>
      </c>
      <c r="C183" t="s">
        <v>724</v>
      </c>
      <c r="F183" t="s">
        <v>725</v>
      </c>
      <c r="G183" t="s">
        <v>50</v>
      </c>
      <c r="H183" t="s">
        <v>51</v>
      </c>
      <c r="I183" t="s">
        <v>136</v>
      </c>
      <c r="J183" t="s">
        <v>137</v>
      </c>
      <c r="L183" t="s">
        <v>54</v>
      </c>
    </row>
    <row r="184" spans="1:12" x14ac:dyDescent="0.25">
      <c r="A184" t="s">
        <v>726</v>
      </c>
      <c r="B184" t="s">
        <v>727</v>
      </c>
      <c r="C184" t="s">
        <v>728</v>
      </c>
      <c r="F184" t="s">
        <v>729</v>
      </c>
      <c r="G184" t="s">
        <v>50</v>
      </c>
      <c r="H184" t="s">
        <v>51</v>
      </c>
      <c r="I184" t="s">
        <v>136</v>
      </c>
      <c r="J184" t="s">
        <v>137</v>
      </c>
      <c r="L184" t="s">
        <v>54</v>
      </c>
    </row>
    <row r="185" spans="1:12" x14ac:dyDescent="0.25">
      <c r="A185" t="s">
        <v>730</v>
      </c>
      <c r="B185" t="s">
        <v>731</v>
      </c>
      <c r="C185" t="s">
        <v>732</v>
      </c>
      <c r="F185" t="s">
        <v>303</v>
      </c>
      <c r="G185" t="s">
        <v>50</v>
      </c>
      <c r="H185" t="s">
        <v>51</v>
      </c>
      <c r="I185" t="s">
        <v>136</v>
      </c>
      <c r="J185" t="s">
        <v>137</v>
      </c>
      <c r="L185" t="s">
        <v>54</v>
      </c>
    </row>
    <row r="186" spans="1:12" x14ac:dyDescent="0.25">
      <c r="A186" t="s">
        <v>733</v>
      </c>
      <c r="B186" t="s">
        <v>734</v>
      </c>
      <c r="C186" t="s">
        <v>735</v>
      </c>
      <c r="F186" t="s">
        <v>78</v>
      </c>
      <c r="G186" t="s">
        <v>50</v>
      </c>
      <c r="H186" t="s">
        <v>51</v>
      </c>
      <c r="I186" t="s">
        <v>136</v>
      </c>
      <c r="J186" t="s">
        <v>137</v>
      </c>
      <c r="L186" t="s">
        <v>54</v>
      </c>
    </row>
    <row r="187" spans="1:12" x14ac:dyDescent="0.25">
      <c r="A187" t="s">
        <v>736</v>
      </c>
      <c r="B187" t="s">
        <v>737</v>
      </c>
      <c r="C187" t="s">
        <v>738</v>
      </c>
      <c r="F187" t="s">
        <v>739</v>
      </c>
      <c r="G187" t="s">
        <v>50</v>
      </c>
      <c r="H187" t="s">
        <v>51</v>
      </c>
      <c r="I187" t="s">
        <v>136</v>
      </c>
      <c r="J187" t="s">
        <v>137</v>
      </c>
      <c r="L187" t="s">
        <v>54</v>
      </c>
    </row>
    <row r="188" spans="1:12" x14ac:dyDescent="0.25">
      <c r="A188" t="s">
        <v>740</v>
      </c>
      <c r="B188" t="s">
        <v>741</v>
      </c>
      <c r="C188" t="s">
        <v>742</v>
      </c>
      <c r="F188" t="s">
        <v>743</v>
      </c>
      <c r="G188" t="s">
        <v>50</v>
      </c>
      <c r="H188" t="s">
        <v>51</v>
      </c>
      <c r="I188" t="s">
        <v>136</v>
      </c>
      <c r="J188" t="s">
        <v>137</v>
      </c>
      <c r="L188" t="s">
        <v>54</v>
      </c>
    </row>
    <row r="189" spans="1:12" x14ac:dyDescent="0.25">
      <c r="A189" t="s">
        <v>744</v>
      </c>
      <c r="B189" t="s">
        <v>745</v>
      </c>
      <c r="C189" t="s">
        <v>746</v>
      </c>
      <c r="F189" t="s">
        <v>747</v>
      </c>
      <c r="G189" t="s">
        <v>50</v>
      </c>
      <c r="H189" t="s">
        <v>51</v>
      </c>
      <c r="I189" t="s">
        <v>136</v>
      </c>
      <c r="J189" t="s">
        <v>137</v>
      </c>
      <c r="L189" t="s">
        <v>54</v>
      </c>
    </row>
    <row r="190" spans="1:12" x14ac:dyDescent="0.25">
      <c r="A190" t="s">
        <v>748</v>
      </c>
      <c r="B190" t="s">
        <v>749</v>
      </c>
      <c r="C190" t="s">
        <v>750</v>
      </c>
      <c r="F190" t="s">
        <v>375</v>
      </c>
      <c r="G190" t="s">
        <v>50</v>
      </c>
      <c r="H190" t="s">
        <v>51</v>
      </c>
      <c r="I190" t="s">
        <v>136</v>
      </c>
      <c r="J190" t="s">
        <v>137</v>
      </c>
      <c r="L190" t="s">
        <v>54</v>
      </c>
    </row>
    <row r="191" spans="1:12" x14ac:dyDescent="0.25">
      <c r="A191" t="s">
        <v>751</v>
      </c>
      <c r="B191" t="s">
        <v>752</v>
      </c>
      <c r="C191" t="s">
        <v>753</v>
      </c>
      <c r="F191" t="s">
        <v>543</v>
      </c>
      <c r="G191" t="s">
        <v>50</v>
      </c>
      <c r="H191" t="s">
        <v>51</v>
      </c>
      <c r="I191" t="s">
        <v>136</v>
      </c>
      <c r="J191" t="s">
        <v>137</v>
      </c>
      <c r="L191" t="s">
        <v>54</v>
      </c>
    </row>
    <row r="192" spans="1:12" x14ac:dyDescent="0.25">
      <c r="A192" t="s">
        <v>754</v>
      </c>
      <c r="B192" t="s">
        <v>755</v>
      </c>
      <c r="C192" t="s">
        <v>756</v>
      </c>
      <c r="F192" t="s">
        <v>152</v>
      </c>
      <c r="G192" t="s">
        <v>50</v>
      </c>
      <c r="H192" t="s">
        <v>51</v>
      </c>
      <c r="I192" t="s">
        <v>136</v>
      </c>
      <c r="J192" t="s">
        <v>137</v>
      </c>
      <c r="L192" t="s">
        <v>54</v>
      </c>
    </row>
    <row r="193" spans="1:12" x14ac:dyDescent="0.25">
      <c r="A193" t="s">
        <v>757</v>
      </c>
      <c r="B193" t="s">
        <v>758</v>
      </c>
      <c r="C193" t="s">
        <v>759</v>
      </c>
      <c r="F193" t="s">
        <v>760</v>
      </c>
      <c r="G193" t="s">
        <v>50</v>
      </c>
      <c r="H193" t="s">
        <v>51</v>
      </c>
      <c r="I193" t="s">
        <v>136</v>
      </c>
      <c r="J193" t="s">
        <v>137</v>
      </c>
      <c r="L193" t="s">
        <v>54</v>
      </c>
    </row>
    <row r="194" spans="1:12" x14ac:dyDescent="0.25">
      <c r="A194" t="s">
        <v>761</v>
      </c>
      <c r="B194" t="s">
        <v>762</v>
      </c>
      <c r="C194" t="s">
        <v>763</v>
      </c>
      <c r="F194" t="s">
        <v>764</v>
      </c>
      <c r="G194" t="s">
        <v>50</v>
      </c>
      <c r="H194" t="s">
        <v>51</v>
      </c>
      <c r="I194" t="s">
        <v>136</v>
      </c>
      <c r="J194" t="s">
        <v>137</v>
      </c>
      <c r="L194" t="s">
        <v>54</v>
      </c>
    </row>
    <row r="195" spans="1:12" x14ac:dyDescent="0.25">
      <c r="A195" t="s">
        <v>765</v>
      </c>
      <c r="B195" t="s">
        <v>766</v>
      </c>
      <c r="C195" t="s">
        <v>767</v>
      </c>
      <c r="F195" t="s">
        <v>768</v>
      </c>
      <c r="G195" t="s">
        <v>50</v>
      </c>
      <c r="H195" t="s">
        <v>51</v>
      </c>
      <c r="I195" t="s">
        <v>136</v>
      </c>
      <c r="J195" t="s">
        <v>137</v>
      </c>
      <c r="L195" t="s">
        <v>54</v>
      </c>
    </row>
    <row r="196" spans="1:12" x14ac:dyDescent="0.25">
      <c r="A196" t="s">
        <v>769</v>
      </c>
      <c r="B196" t="s">
        <v>770</v>
      </c>
      <c r="C196" t="s">
        <v>771</v>
      </c>
      <c r="F196" t="s">
        <v>768</v>
      </c>
      <c r="G196" t="s">
        <v>50</v>
      </c>
      <c r="H196" t="s">
        <v>51</v>
      </c>
      <c r="I196" t="s">
        <v>136</v>
      </c>
      <c r="J196" t="s">
        <v>137</v>
      </c>
      <c r="L196" t="s">
        <v>54</v>
      </c>
    </row>
    <row r="197" spans="1:12" x14ac:dyDescent="0.25">
      <c r="A197" t="s">
        <v>772</v>
      </c>
      <c r="B197" t="s">
        <v>773</v>
      </c>
      <c r="C197" t="s">
        <v>774</v>
      </c>
      <c r="F197" t="s">
        <v>90</v>
      </c>
      <c r="G197" t="s">
        <v>50</v>
      </c>
      <c r="H197" t="s">
        <v>51</v>
      </c>
      <c r="I197" t="s">
        <v>136</v>
      </c>
      <c r="J197" t="s">
        <v>137</v>
      </c>
      <c r="L197" t="s">
        <v>54</v>
      </c>
    </row>
    <row r="198" spans="1:12" x14ac:dyDescent="0.25">
      <c r="A198" t="s">
        <v>775</v>
      </c>
      <c r="B198" t="s">
        <v>776</v>
      </c>
      <c r="C198" t="s">
        <v>777</v>
      </c>
      <c r="F198" t="s">
        <v>310</v>
      </c>
      <c r="G198" t="s">
        <v>50</v>
      </c>
      <c r="H198" t="s">
        <v>51</v>
      </c>
      <c r="I198" t="s">
        <v>136</v>
      </c>
      <c r="J198" t="s">
        <v>137</v>
      </c>
      <c r="L198" t="s">
        <v>54</v>
      </c>
    </row>
    <row r="199" spans="1:12" x14ac:dyDescent="0.25">
      <c r="A199" t="s">
        <v>778</v>
      </c>
      <c r="B199" t="s">
        <v>779</v>
      </c>
      <c r="C199" t="s">
        <v>780</v>
      </c>
      <c r="F199" t="s">
        <v>405</v>
      </c>
      <c r="G199" t="s">
        <v>50</v>
      </c>
      <c r="H199" t="s">
        <v>51</v>
      </c>
      <c r="I199" t="s">
        <v>136</v>
      </c>
      <c r="J199" t="s">
        <v>137</v>
      </c>
      <c r="L199" t="s">
        <v>54</v>
      </c>
    </row>
    <row r="200" spans="1:12" x14ac:dyDescent="0.25">
      <c r="A200" t="s">
        <v>781</v>
      </c>
      <c r="B200" t="s">
        <v>782</v>
      </c>
      <c r="C200" t="s">
        <v>783</v>
      </c>
      <c r="F200" t="s">
        <v>784</v>
      </c>
      <c r="G200" t="s">
        <v>50</v>
      </c>
      <c r="H200" t="s">
        <v>51</v>
      </c>
      <c r="I200" t="s">
        <v>136</v>
      </c>
      <c r="J200" t="s">
        <v>137</v>
      </c>
      <c r="L200" t="s">
        <v>54</v>
      </c>
    </row>
    <row r="201" spans="1:12" x14ac:dyDescent="0.25">
      <c r="A201" t="s">
        <v>785</v>
      </c>
      <c r="B201" t="s">
        <v>786</v>
      </c>
      <c r="C201" t="s">
        <v>787</v>
      </c>
      <c r="F201" t="s">
        <v>768</v>
      </c>
      <c r="G201" t="s">
        <v>50</v>
      </c>
      <c r="H201" t="s">
        <v>51</v>
      </c>
      <c r="I201" t="s">
        <v>136</v>
      </c>
      <c r="J201" t="s">
        <v>137</v>
      </c>
      <c r="L201" t="s">
        <v>54</v>
      </c>
    </row>
    <row r="202" spans="1:12" x14ac:dyDescent="0.25">
      <c r="A202" t="s">
        <v>788</v>
      </c>
      <c r="B202" t="s">
        <v>789</v>
      </c>
      <c r="C202" t="s">
        <v>790</v>
      </c>
      <c r="F202" t="s">
        <v>791</v>
      </c>
      <c r="G202" t="s">
        <v>50</v>
      </c>
      <c r="H202" t="s">
        <v>51</v>
      </c>
      <c r="I202" t="s">
        <v>136</v>
      </c>
      <c r="J202" t="s">
        <v>137</v>
      </c>
      <c r="L202" t="s">
        <v>54</v>
      </c>
    </row>
    <row r="203" spans="1:12" x14ac:dyDescent="0.25">
      <c r="A203" t="s">
        <v>792</v>
      </c>
      <c r="B203" t="s">
        <v>793</v>
      </c>
      <c r="C203" t="s">
        <v>794</v>
      </c>
      <c r="F203" t="s">
        <v>791</v>
      </c>
      <c r="G203" t="s">
        <v>50</v>
      </c>
      <c r="H203" t="s">
        <v>51</v>
      </c>
      <c r="I203" t="s">
        <v>136</v>
      </c>
      <c r="J203" t="s">
        <v>137</v>
      </c>
      <c r="L203" t="s">
        <v>54</v>
      </c>
    </row>
    <row r="204" spans="1:12" x14ac:dyDescent="0.25">
      <c r="A204" t="s">
        <v>795</v>
      </c>
      <c r="B204" t="s">
        <v>796</v>
      </c>
      <c r="C204" t="s">
        <v>797</v>
      </c>
      <c r="F204" t="s">
        <v>413</v>
      </c>
      <c r="G204" t="s">
        <v>50</v>
      </c>
      <c r="H204" t="s">
        <v>51</v>
      </c>
      <c r="I204" t="s">
        <v>136</v>
      </c>
      <c r="J204" t="s">
        <v>137</v>
      </c>
      <c r="L204" t="s">
        <v>54</v>
      </c>
    </row>
    <row r="205" spans="1:12" x14ac:dyDescent="0.25">
      <c r="A205" t="s">
        <v>798</v>
      </c>
      <c r="B205" t="s">
        <v>799</v>
      </c>
      <c r="C205" t="s">
        <v>800</v>
      </c>
      <c r="F205" t="s">
        <v>453</v>
      </c>
      <c r="G205" t="s">
        <v>50</v>
      </c>
      <c r="H205" t="s">
        <v>51</v>
      </c>
      <c r="I205" t="s">
        <v>136</v>
      </c>
      <c r="J205" t="s">
        <v>137</v>
      </c>
      <c r="L205" t="s">
        <v>54</v>
      </c>
    </row>
    <row r="206" spans="1:12" x14ac:dyDescent="0.25">
      <c r="A206" t="s">
        <v>801</v>
      </c>
      <c r="B206" t="s">
        <v>802</v>
      </c>
      <c r="C206" t="s">
        <v>803</v>
      </c>
      <c r="F206" t="s">
        <v>804</v>
      </c>
      <c r="G206" t="s">
        <v>50</v>
      </c>
      <c r="H206" t="s">
        <v>51</v>
      </c>
      <c r="I206" t="s">
        <v>136</v>
      </c>
      <c r="J206" t="s">
        <v>137</v>
      </c>
      <c r="L206" t="s">
        <v>54</v>
      </c>
    </row>
    <row r="207" spans="1:12" x14ac:dyDescent="0.25">
      <c r="A207" t="s">
        <v>805</v>
      </c>
      <c r="B207" t="s">
        <v>806</v>
      </c>
      <c r="C207" t="s">
        <v>807</v>
      </c>
      <c r="F207" t="s">
        <v>533</v>
      </c>
      <c r="G207" t="s">
        <v>50</v>
      </c>
      <c r="H207" t="s">
        <v>51</v>
      </c>
      <c r="I207" t="s">
        <v>136</v>
      </c>
      <c r="J207" t="s">
        <v>137</v>
      </c>
      <c r="L207" t="s">
        <v>54</v>
      </c>
    </row>
    <row r="208" spans="1:12" x14ac:dyDescent="0.25">
      <c r="A208" t="s">
        <v>808</v>
      </c>
      <c r="B208" t="s">
        <v>388</v>
      </c>
      <c r="C208" t="s">
        <v>389</v>
      </c>
      <c r="F208" t="s">
        <v>809</v>
      </c>
      <c r="G208" t="s">
        <v>50</v>
      </c>
      <c r="H208" t="s">
        <v>51</v>
      </c>
      <c r="I208" t="s">
        <v>136</v>
      </c>
      <c r="J208" t="s">
        <v>137</v>
      </c>
      <c r="L208" t="s">
        <v>54</v>
      </c>
    </row>
    <row r="209" spans="1:12" x14ac:dyDescent="0.25">
      <c r="A209" t="s">
        <v>810</v>
      </c>
      <c r="B209" t="s">
        <v>811</v>
      </c>
      <c r="C209" t="s">
        <v>812</v>
      </c>
      <c r="F209" t="s">
        <v>739</v>
      </c>
      <c r="G209" t="s">
        <v>50</v>
      </c>
      <c r="H209" t="s">
        <v>51</v>
      </c>
      <c r="I209" t="s">
        <v>136</v>
      </c>
      <c r="J209" t="s">
        <v>137</v>
      </c>
      <c r="L209" t="s">
        <v>54</v>
      </c>
    </row>
    <row r="210" spans="1:12" x14ac:dyDescent="0.25">
      <c r="A210" t="s">
        <v>813</v>
      </c>
      <c r="B210" t="s">
        <v>814</v>
      </c>
      <c r="C210" t="s">
        <v>815</v>
      </c>
      <c r="F210" t="s">
        <v>816</v>
      </c>
      <c r="G210" t="s">
        <v>50</v>
      </c>
      <c r="H210" t="s">
        <v>51</v>
      </c>
      <c r="I210" t="s">
        <v>136</v>
      </c>
      <c r="J210" t="s">
        <v>137</v>
      </c>
      <c r="L210" t="s">
        <v>54</v>
      </c>
    </row>
    <row r="211" spans="1:12" x14ac:dyDescent="0.25">
      <c r="A211" t="s">
        <v>817</v>
      </c>
      <c r="B211" t="s">
        <v>818</v>
      </c>
      <c r="C211" t="s">
        <v>819</v>
      </c>
      <c r="F211" t="s">
        <v>314</v>
      </c>
      <c r="G211" t="s">
        <v>50</v>
      </c>
      <c r="H211" t="s">
        <v>51</v>
      </c>
      <c r="I211" t="s">
        <v>136</v>
      </c>
      <c r="J211" t="s">
        <v>137</v>
      </c>
      <c r="L211" t="s">
        <v>54</v>
      </c>
    </row>
    <row r="212" spans="1:12" x14ac:dyDescent="0.25">
      <c r="A212" t="s">
        <v>820</v>
      </c>
      <c r="B212" t="s">
        <v>821</v>
      </c>
      <c r="C212" t="s">
        <v>822</v>
      </c>
      <c r="F212" t="s">
        <v>747</v>
      </c>
      <c r="G212" t="s">
        <v>50</v>
      </c>
      <c r="H212" t="s">
        <v>51</v>
      </c>
      <c r="I212" t="s">
        <v>136</v>
      </c>
      <c r="J212" t="s">
        <v>137</v>
      </c>
      <c r="L212" t="s">
        <v>54</v>
      </c>
    </row>
    <row r="213" spans="1:12" x14ac:dyDescent="0.25">
      <c r="A213" t="s">
        <v>823</v>
      </c>
      <c r="B213" t="s">
        <v>824</v>
      </c>
      <c r="C213" t="s">
        <v>825</v>
      </c>
      <c r="F213" t="s">
        <v>269</v>
      </c>
      <c r="G213" t="s">
        <v>50</v>
      </c>
      <c r="H213" t="s">
        <v>51</v>
      </c>
      <c r="I213" t="s">
        <v>136</v>
      </c>
      <c r="J213" t="s">
        <v>137</v>
      </c>
      <c r="L213" t="s">
        <v>54</v>
      </c>
    </row>
    <row r="214" spans="1:12" x14ac:dyDescent="0.25">
      <c r="A214" t="s">
        <v>826</v>
      </c>
      <c r="B214" t="s">
        <v>827</v>
      </c>
      <c r="C214" t="s">
        <v>828</v>
      </c>
      <c r="F214" t="s">
        <v>829</v>
      </c>
      <c r="G214" t="s">
        <v>50</v>
      </c>
      <c r="H214" t="s">
        <v>51</v>
      </c>
      <c r="I214" t="s">
        <v>136</v>
      </c>
      <c r="J214" t="s">
        <v>137</v>
      </c>
      <c r="L214" t="s">
        <v>54</v>
      </c>
    </row>
    <row r="215" spans="1:12" x14ac:dyDescent="0.25">
      <c r="A215" t="s">
        <v>830</v>
      </c>
      <c r="B215" t="s">
        <v>831</v>
      </c>
      <c r="C215" t="s">
        <v>832</v>
      </c>
      <c r="F215" t="s">
        <v>833</v>
      </c>
      <c r="G215" t="s">
        <v>50</v>
      </c>
      <c r="H215" t="s">
        <v>51</v>
      </c>
      <c r="I215" t="s">
        <v>136</v>
      </c>
      <c r="J215" t="s">
        <v>137</v>
      </c>
      <c r="L215" t="s">
        <v>54</v>
      </c>
    </row>
    <row r="216" spans="1:12" x14ac:dyDescent="0.25">
      <c r="A216" t="s">
        <v>834</v>
      </c>
      <c r="B216" t="s">
        <v>824</v>
      </c>
      <c r="C216" t="s">
        <v>825</v>
      </c>
      <c r="F216" t="s">
        <v>269</v>
      </c>
      <c r="G216" t="s">
        <v>50</v>
      </c>
      <c r="H216" t="s">
        <v>51</v>
      </c>
      <c r="I216" t="s">
        <v>136</v>
      </c>
      <c r="J216" t="s">
        <v>137</v>
      </c>
      <c r="L216" t="s">
        <v>54</v>
      </c>
    </row>
    <row r="217" spans="1:12" x14ac:dyDescent="0.25">
      <c r="A217" t="s">
        <v>835</v>
      </c>
      <c r="B217" t="s">
        <v>836</v>
      </c>
      <c r="C217" t="s">
        <v>837</v>
      </c>
      <c r="F217" t="s">
        <v>838</v>
      </c>
      <c r="G217" t="s">
        <v>50</v>
      </c>
      <c r="H217" t="s">
        <v>51</v>
      </c>
      <c r="I217" t="s">
        <v>136</v>
      </c>
      <c r="J217" t="s">
        <v>137</v>
      </c>
      <c r="L217" t="s">
        <v>54</v>
      </c>
    </row>
    <row r="218" spans="1:12" x14ac:dyDescent="0.25">
      <c r="A218" t="s">
        <v>839</v>
      </c>
      <c r="B218" t="s">
        <v>840</v>
      </c>
      <c r="C218" t="s">
        <v>841</v>
      </c>
      <c r="F218" t="s">
        <v>842</v>
      </c>
      <c r="G218" t="s">
        <v>50</v>
      </c>
      <c r="H218" t="s">
        <v>51</v>
      </c>
      <c r="I218" t="s">
        <v>136</v>
      </c>
      <c r="J218" t="s">
        <v>137</v>
      </c>
      <c r="L218" t="s">
        <v>54</v>
      </c>
    </row>
    <row r="219" spans="1:12" x14ac:dyDescent="0.25">
      <c r="A219" t="s">
        <v>843</v>
      </c>
      <c r="B219" t="s">
        <v>844</v>
      </c>
      <c r="C219" t="s">
        <v>845</v>
      </c>
      <c r="F219" t="s">
        <v>222</v>
      </c>
      <c r="G219" t="s">
        <v>50</v>
      </c>
      <c r="H219" t="s">
        <v>51</v>
      </c>
      <c r="I219" t="s">
        <v>136</v>
      </c>
      <c r="J219" t="s">
        <v>137</v>
      </c>
      <c r="L219" t="s">
        <v>54</v>
      </c>
    </row>
    <row r="220" spans="1:12" x14ac:dyDescent="0.25">
      <c r="A220" t="s">
        <v>846</v>
      </c>
      <c r="B220" t="s">
        <v>847</v>
      </c>
      <c r="C220" t="s">
        <v>848</v>
      </c>
      <c r="F220" t="s">
        <v>849</v>
      </c>
      <c r="G220" t="s">
        <v>50</v>
      </c>
      <c r="H220" t="s">
        <v>51</v>
      </c>
      <c r="I220" t="s">
        <v>136</v>
      </c>
      <c r="J220" t="s">
        <v>137</v>
      </c>
      <c r="L220" t="s">
        <v>54</v>
      </c>
    </row>
    <row r="221" spans="1:12" x14ac:dyDescent="0.25">
      <c r="A221" t="s">
        <v>850</v>
      </c>
      <c r="B221" t="s">
        <v>851</v>
      </c>
      <c r="C221" t="s">
        <v>852</v>
      </c>
      <c r="F221" t="s">
        <v>310</v>
      </c>
      <c r="G221" t="s">
        <v>50</v>
      </c>
      <c r="H221" t="s">
        <v>51</v>
      </c>
      <c r="I221" t="s">
        <v>136</v>
      </c>
      <c r="J221" t="s">
        <v>137</v>
      </c>
      <c r="L221" t="s">
        <v>54</v>
      </c>
    </row>
    <row r="222" spans="1:12" x14ac:dyDescent="0.25">
      <c r="A222" t="s">
        <v>853</v>
      </c>
      <c r="B222" t="s">
        <v>854</v>
      </c>
      <c r="C222" t="s">
        <v>855</v>
      </c>
      <c r="F222" t="s">
        <v>156</v>
      </c>
      <c r="G222" t="s">
        <v>50</v>
      </c>
      <c r="H222" t="s">
        <v>51</v>
      </c>
      <c r="I222" t="s">
        <v>136</v>
      </c>
      <c r="J222" t="s">
        <v>137</v>
      </c>
      <c r="L222" t="s">
        <v>54</v>
      </c>
    </row>
    <row r="223" spans="1:12" x14ac:dyDescent="0.25">
      <c r="A223" t="s">
        <v>856</v>
      </c>
      <c r="B223" t="s">
        <v>857</v>
      </c>
      <c r="C223" t="s">
        <v>858</v>
      </c>
      <c r="F223" t="s">
        <v>859</v>
      </c>
      <c r="G223" t="s">
        <v>50</v>
      </c>
      <c r="H223" t="s">
        <v>51</v>
      </c>
      <c r="I223" t="s">
        <v>136</v>
      </c>
      <c r="J223" t="s">
        <v>137</v>
      </c>
      <c r="L223" t="s">
        <v>54</v>
      </c>
    </row>
    <row r="224" spans="1:12" x14ac:dyDescent="0.25">
      <c r="A224" t="s">
        <v>860</v>
      </c>
      <c r="B224" t="s">
        <v>861</v>
      </c>
      <c r="C224" t="s">
        <v>862</v>
      </c>
      <c r="F224" t="s">
        <v>863</v>
      </c>
      <c r="G224" t="s">
        <v>50</v>
      </c>
      <c r="H224" t="s">
        <v>51</v>
      </c>
      <c r="I224" t="s">
        <v>136</v>
      </c>
      <c r="J224" t="s">
        <v>137</v>
      </c>
      <c r="L224" t="s">
        <v>54</v>
      </c>
    </row>
    <row r="225" spans="1:12" x14ac:dyDescent="0.25">
      <c r="A225" t="s">
        <v>864</v>
      </c>
      <c r="B225" t="s">
        <v>865</v>
      </c>
      <c r="C225" t="s">
        <v>866</v>
      </c>
      <c r="F225" t="s">
        <v>551</v>
      </c>
      <c r="G225" t="s">
        <v>50</v>
      </c>
      <c r="H225" t="s">
        <v>51</v>
      </c>
      <c r="I225" t="s">
        <v>136</v>
      </c>
      <c r="J225" t="s">
        <v>137</v>
      </c>
      <c r="L225" t="s">
        <v>54</v>
      </c>
    </row>
    <row r="226" spans="1:12" x14ac:dyDescent="0.25">
      <c r="A226" t="s">
        <v>867</v>
      </c>
      <c r="B226" t="s">
        <v>868</v>
      </c>
      <c r="C226" t="s">
        <v>869</v>
      </c>
      <c r="F226" t="s">
        <v>870</v>
      </c>
      <c r="G226" t="s">
        <v>50</v>
      </c>
      <c r="H226" t="s">
        <v>51</v>
      </c>
      <c r="I226" t="s">
        <v>136</v>
      </c>
      <c r="J226" t="s">
        <v>137</v>
      </c>
      <c r="L226" t="s">
        <v>54</v>
      </c>
    </row>
    <row r="227" spans="1:12" x14ac:dyDescent="0.25">
      <c r="A227" t="s">
        <v>871</v>
      </c>
      <c r="B227" t="s">
        <v>872</v>
      </c>
      <c r="C227" t="s">
        <v>873</v>
      </c>
      <c r="F227" t="s">
        <v>874</v>
      </c>
      <c r="G227" t="s">
        <v>50</v>
      </c>
      <c r="H227" t="s">
        <v>51</v>
      </c>
      <c r="I227" t="s">
        <v>136</v>
      </c>
      <c r="J227" t="s">
        <v>137</v>
      </c>
      <c r="L227" t="s">
        <v>54</v>
      </c>
    </row>
    <row r="228" spans="1:12" x14ac:dyDescent="0.25">
      <c r="A228" t="s">
        <v>875</v>
      </c>
      <c r="B228" t="s">
        <v>876</v>
      </c>
      <c r="C228" t="s">
        <v>877</v>
      </c>
      <c r="F228" t="s">
        <v>878</v>
      </c>
      <c r="G228" t="s">
        <v>50</v>
      </c>
      <c r="H228" t="s">
        <v>51</v>
      </c>
      <c r="I228" t="s">
        <v>136</v>
      </c>
      <c r="J228" t="s">
        <v>137</v>
      </c>
      <c r="L228" t="s">
        <v>54</v>
      </c>
    </row>
    <row r="229" spans="1:12" x14ac:dyDescent="0.25">
      <c r="A229" t="s">
        <v>879</v>
      </c>
      <c r="B229" t="s">
        <v>880</v>
      </c>
      <c r="C229" t="s">
        <v>881</v>
      </c>
      <c r="F229" t="s">
        <v>882</v>
      </c>
      <c r="G229" t="s">
        <v>50</v>
      </c>
      <c r="H229" t="s">
        <v>51</v>
      </c>
      <c r="I229" t="s">
        <v>136</v>
      </c>
      <c r="J229" t="s">
        <v>137</v>
      </c>
      <c r="L229" t="s">
        <v>54</v>
      </c>
    </row>
    <row r="230" spans="1:12" x14ac:dyDescent="0.25">
      <c r="A230" t="s">
        <v>883</v>
      </c>
      <c r="B230" t="s">
        <v>884</v>
      </c>
      <c r="F230" t="s">
        <v>885</v>
      </c>
      <c r="G230" t="s">
        <v>123</v>
      </c>
      <c r="H230" t="s">
        <v>51</v>
      </c>
      <c r="I230" t="s">
        <v>124</v>
      </c>
      <c r="J230" t="s">
        <v>125</v>
      </c>
      <c r="L230" t="s">
        <v>126</v>
      </c>
    </row>
    <row r="231" spans="1:12" x14ac:dyDescent="0.25">
      <c r="A231" t="s">
        <v>886</v>
      </c>
      <c r="B231" t="s">
        <v>887</v>
      </c>
      <c r="C231" t="s">
        <v>888</v>
      </c>
      <c r="F231" t="s">
        <v>889</v>
      </c>
      <c r="G231" t="s">
        <v>50</v>
      </c>
      <c r="H231" t="s">
        <v>51</v>
      </c>
      <c r="I231" t="s">
        <v>136</v>
      </c>
      <c r="J231" t="s">
        <v>137</v>
      </c>
      <c r="L231" t="s">
        <v>54</v>
      </c>
    </row>
    <row r="232" spans="1:12" x14ac:dyDescent="0.25">
      <c r="A232" t="s">
        <v>890</v>
      </c>
      <c r="B232" t="s">
        <v>891</v>
      </c>
      <c r="C232" t="s">
        <v>892</v>
      </c>
      <c r="F232" t="s">
        <v>303</v>
      </c>
      <c r="G232" t="s">
        <v>50</v>
      </c>
      <c r="H232" t="s">
        <v>51</v>
      </c>
      <c r="I232" t="s">
        <v>136</v>
      </c>
      <c r="J232" t="s">
        <v>137</v>
      </c>
      <c r="L232" t="s">
        <v>54</v>
      </c>
    </row>
    <row r="233" spans="1:12" x14ac:dyDescent="0.25">
      <c r="A233" t="s">
        <v>893</v>
      </c>
      <c r="B233" t="s">
        <v>894</v>
      </c>
      <c r="C233" t="s">
        <v>895</v>
      </c>
      <c r="F233" t="s">
        <v>896</v>
      </c>
      <c r="G233" t="s">
        <v>50</v>
      </c>
      <c r="H233" t="s">
        <v>51</v>
      </c>
      <c r="I233" t="s">
        <v>136</v>
      </c>
      <c r="J233" t="s">
        <v>137</v>
      </c>
      <c r="L233" t="s">
        <v>54</v>
      </c>
    </row>
    <row r="234" spans="1:12" x14ac:dyDescent="0.25">
      <c r="A234" t="s">
        <v>897</v>
      </c>
      <c r="B234" t="s">
        <v>898</v>
      </c>
      <c r="C234" t="s">
        <v>899</v>
      </c>
      <c r="F234" t="s">
        <v>180</v>
      </c>
      <c r="G234" t="s">
        <v>50</v>
      </c>
      <c r="H234" t="s">
        <v>51</v>
      </c>
      <c r="I234" t="s">
        <v>136</v>
      </c>
      <c r="J234" t="s">
        <v>137</v>
      </c>
      <c r="L234" t="s">
        <v>54</v>
      </c>
    </row>
    <row r="235" spans="1:12" x14ac:dyDescent="0.25">
      <c r="A235" t="s">
        <v>900</v>
      </c>
      <c r="B235" t="s">
        <v>901</v>
      </c>
      <c r="C235" t="s">
        <v>902</v>
      </c>
      <c r="F235" t="s">
        <v>903</v>
      </c>
      <c r="G235" t="s">
        <v>50</v>
      </c>
      <c r="H235" t="s">
        <v>51</v>
      </c>
      <c r="I235" t="s">
        <v>136</v>
      </c>
      <c r="J235" t="s">
        <v>137</v>
      </c>
      <c r="L235" t="s">
        <v>54</v>
      </c>
    </row>
    <row r="236" spans="1:12" x14ac:dyDescent="0.25">
      <c r="A236" t="s">
        <v>904</v>
      </c>
      <c r="B236" t="s">
        <v>905</v>
      </c>
      <c r="C236" t="s">
        <v>906</v>
      </c>
      <c r="F236" t="s">
        <v>907</v>
      </c>
      <c r="G236" t="s">
        <v>50</v>
      </c>
      <c r="H236" t="s">
        <v>51</v>
      </c>
      <c r="I236" t="s">
        <v>136</v>
      </c>
      <c r="J236" t="s">
        <v>137</v>
      </c>
      <c r="L236" t="s">
        <v>54</v>
      </c>
    </row>
    <row r="237" spans="1:12" x14ac:dyDescent="0.25">
      <c r="A237" t="s">
        <v>908</v>
      </c>
      <c r="B237" t="s">
        <v>909</v>
      </c>
      <c r="C237" t="s">
        <v>910</v>
      </c>
      <c r="F237" t="s">
        <v>911</v>
      </c>
      <c r="G237" t="s">
        <v>50</v>
      </c>
      <c r="H237" t="s">
        <v>51</v>
      </c>
      <c r="I237" t="s">
        <v>136</v>
      </c>
      <c r="J237" t="s">
        <v>137</v>
      </c>
      <c r="L237" t="s">
        <v>54</v>
      </c>
    </row>
    <row r="238" spans="1:12" x14ac:dyDescent="0.25">
      <c r="A238" t="s">
        <v>912</v>
      </c>
      <c r="B238" t="s">
        <v>913</v>
      </c>
      <c r="C238" t="s">
        <v>914</v>
      </c>
      <c r="F238" t="s">
        <v>115</v>
      </c>
      <c r="G238" t="s">
        <v>50</v>
      </c>
      <c r="H238" t="s">
        <v>51</v>
      </c>
      <c r="I238" t="s">
        <v>136</v>
      </c>
      <c r="J238" t="s">
        <v>137</v>
      </c>
      <c r="L238" t="s">
        <v>54</v>
      </c>
    </row>
    <row r="239" spans="1:12" x14ac:dyDescent="0.25">
      <c r="A239" t="s">
        <v>915</v>
      </c>
      <c r="B239" t="s">
        <v>916</v>
      </c>
      <c r="F239" t="s">
        <v>885</v>
      </c>
      <c r="G239" t="s">
        <v>123</v>
      </c>
      <c r="H239" t="s">
        <v>51</v>
      </c>
      <c r="I239" t="s">
        <v>124</v>
      </c>
      <c r="J239" t="s">
        <v>125</v>
      </c>
      <c r="L239" t="s">
        <v>126</v>
      </c>
    </row>
    <row r="240" spans="1:12" x14ac:dyDescent="0.25">
      <c r="A240" t="s">
        <v>917</v>
      </c>
      <c r="B240" t="s">
        <v>918</v>
      </c>
      <c r="C240" t="s">
        <v>919</v>
      </c>
      <c r="F240" t="s">
        <v>62</v>
      </c>
      <c r="G240" t="s">
        <v>50</v>
      </c>
      <c r="H240" t="s">
        <v>51</v>
      </c>
      <c r="I240" t="s">
        <v>136</v>
      </c>
      <c r="J240" t="s">
        <v>137</v>
      </c>
      <c r="L240" t="s">
        <v>54</v>
      </c>
    </row>
    <row r="241" spans="1:12" x14ac:dyDescent="0.25">
      <c r="A241" t="s">
        <v>920</v>
      </c>
      <c r="B241" t="s">
        <v>921</v>
      </c>
      <c r="C241" t="s">
        <v>922</v>
      </c>
      <c r="F241" t="s">
        <v>923</v>
      </c>
      <c r="G241" t="s">
        <v>50</v>
      </c>
      <c r="H241" t="s">
        <v>51</v>
      </c>
      <c r="I241" t="s">
        <v>136</v>
      </c>
      <c r="J241" t="s">
        <v>137</v>
      </c>
      <c r="L241" t="s">
        <v>54</v>
      </c>
    </row>
    <row r="242" spans="1:12" x14ac:dyDescent="0.25">
      <c r="A242" t="s">
        <v>924</v>
      </c>
      <c r="B242" t="s">
        <v>925</v>
      </c>
      <c r="C242" t="s">
        <v>926</v>
      </c>
      <c r="F242" t="s">
        <v>62</v>
      </c>
      <c r="G242" t="s">
        <v>50</v>
      </c>
      <c r="H242" t="s">
        <v>51</v>
      </c>
      <c r="I242" t="s">
        <v>136</v>
      </c>
      <c r="J242" t="s">
        <v>137</v>
      </c>
      <c r="L242" t="s">
        <v>54</v>
      </c>
    </row>
    <row r="243" spans="1:12" x14ac:dyDescent="0.25">
      <c r="A243" t="s">
        <v>927</v>
      </c>
      <c r="B243" t="s">
        <v>928</v>
      </c>
      <c r="F243" t="s">
        <v>929</v>
      </c>
      <c r="G243" t="s">
        <v>123</v>
      </c>
      <c r="H243" t="s">
        <v>51</v>
      </c>
      <c r="I243" t="s">
        <v>124</v>
      </c>
      <c r="J243" t="s">
        <v>125</v>
      </c>
      <c r="L243" t="s">
        <v>126</v>
      </c>
    </row>
    <row r="244" spans="1:12" x14ac:dyDescent="0.25">
      <c r="A244" t="s">
        <v>930</v>
      </c>
      <c r="B244" t="s">
        <v>931</v>
      </c>
      <c r="F244" t="s">
        <v>932</v>
      </c>
      <c r="G244" t="s">
        <v>123</v>
      </c>
      <c r="H244" t="s">
        <v>51</v>
      </c>
      <c r="I244" t="s">
        <v>124</v>
      </c>
      <c r="J244" t="s">
        <v>125</v>
      </c>
      <c r="L244" t="s">
        <v>126</v>
      </c>
    </row>
    <row r="245" spans="1:12" x14ac:dyDescent="0.25">
      <c r="A245" t="s">
        <v>933</v>
      </c>
      <c r="B245" t="s">
        <v>934</v>
      </c>
      <c r="F245" t="s">
        <v>932</v>
      </c>
      <c r="G245" t="s">
        <v>123</v>
      </c>
      <c r="H245" t="s">
        <v>51</v>
      </c>
      <c r="I245" t="s">
        <v>124</v>
      </c>
      <c r="J245" t="s">
        <v>125</v>
      </c>
      <c r="L245" t="s">
        <v>126</v>
      </c>
    </row>
    <row r="246" spans="1:12" x14ac:dyDescent="0.25">
      <c r="A246" t="s">
        <v>935</v>
      </c>
      <c r="B246" t="s">
        <v>936</v>
      </c>
      <c r="F246" t="s">
        <v>937</v>
      </c>
      <c r="G246" t="s">
        <v>938</v>
      </c>
      <c r="H246" t="s">
        <v>51</v>
      </c>
      <c r="I246" t="s">
        <v>939</v>
      </c>
      <c r="J246" t="s">
        <v>940</v>
      </c>
      <c r="L246" t="s">
        <v>54</v>
      </c>
    </row>
    <row r="247" spans="1:12" x14ac:dyDescent="0.25">
      <c r="A247" t="s">
        <v>941</v>
      </c>
      <c r="B247" t="s">
        <v>942</v>
      </c>
      <c r="F247" t="s">
        <v>943</v>
      </c>
      <c r="G247" t="s">
        <v>50</v>
      </c>
      <c r="H247" t="s">
        <v>51</v>
      </c>
      <c r="I247" t="s">
        <v>944</v>
      </c>
      <c r="J247" t="s">
        <v>945</v>
      </c>
      <c r="L247" t="s">
        <v>946</v>
      </c>
    </row>
    <row r="248" spans="1:12" x14ac:dyDescent="0.25">
      <c r="A248" t="s">
        <v>947</v>
      </c>
      <c r="B248" t="s">
        <v>948</v>
      </c>
      <c r="F248" t="s">
        <v>100</v>
      </c>
      <c r="G248" t="s">
        <v>949</v>
      </c>
      <c r="H248" t="s">
        <v>51</v>
      </c>
      <c r="I248" t="s">
        <v>950</v>
      </c>
      <c r="J248" t="s">
        <v>945</v>
      </c>
      <c r="L248" t="s">
        <v>54</v>
      </c>
    </row>
    <row r="249" spans="1:12" x14ac:dyDescent="0.25">
      <c r="A249" t="s">
        <v>951</v>
      </c>
      <c r="B249" t="s">
        <v>952</v>
      </c>
      <c r="F249" t="s">
        <v>953</v>
      </c>
      <c r="G249" t="s">
        <v>50</v>
      </c>
      <c r="H249" t="s">
        <v>51</v>
      </c>
      <c r="I249" t="s">
        <v>954</v>
      </c>
      <c r="J249" t="s">
        <v>955</v>
      </c>
      <c r="L249" t="s">
        <v>956</v>
      </c>
    </row>
    <row r="250" spans="1:12" x14ac:dyDescent="0.25">
      <c r="A250" t="s">
        <v>957</v>
      </c>
      <c r="B250" t="s">
        <v>958</v>
      </c>
      <c r="C250" t="s">
        <v>959</v>
      </c>
      <c r="F250" t="s">
        <v>632</v>
      </c>
      <c r="G250" t="s">
        <v>50</v>
      </c>
      <c r="H250" t="s">
        <v>51</v>
      </c>
      <c r="I250" t="s">
        <v>960</v>
      </c>
      <c r="J250" t="s">
        <v>961</v>
      </c>
      <c r="L250" t="s">
        <v>54</v>
      </c>
    </row>
    <row r="251" spans="1:12" x14ac:dyDescent="0.25">
      <c r="A251" t="s">
        <v>962</v>
      </c>
      <c r="B251" t="s">
        <v>963</v>
      </c>
      <c r="F251" t="s">
        <v>122</v>
      </c>
      <c r="G251" t="s">
        <v>123</v>
      </c>
      <c r="H251" t="s">
        <v>51</v>
      </c>
      <c r="I251" t="s">
        <v>124</v>
      </c>
      <c r="J251" t="s">
        <v>125</v>
      </c>
      <c r="L251" t="s">
        <v>126</v>
      </c>
    </row>
    <row r="252" spans="1:12" x14ac:dyDescent="0.25">
      <c r="A252" t="s">
        <v>964</v>
      </c>
      <c r="B252" t="s">
        <v>965</v>
      </c>
      <c r="F252" t="s">
        <v>966</v>
      </c>
      <c r="G252" t="s">
        <v>123</v>
      </c>
      <c r="H252" t="s">
        <v>51</v>
      </c>
      <c r="I252" t="s">
        <v>124</v>
      </c>
      <c r="J252" t="s">
        <v>125</v>
      </c>
      <c r="L252" t="s">
        <v>126</v>
      </c>
    </row>
    <row r="253" spans="1:12" x14ac:dyDescent="0.25">
      <c r="A253" t="s">
        <v>967</v>
      </c>
      <c r="B253" t="s">
        <v>968</v>
      </c>
      <c r="F253" t="s">
        <v>966</v>
      </c>
      <c r="G253" t="s">
        <v>123</v>
      </c>
      <c r="H253" t="s">
        <v>51</v>
      </c>
      <c r="I253" t="s">
        <v>124</v>
      </c>
      <c r="J253" t="s">
        <v>125</v>
      </c>
      <c r="L253" t="s">
        <v>126</v>
      </c>
    </row>
    <row r="254" spans="1:12" x14ac:dyDescent="0.25">
      <c r="A254" t="s">
        <v>969</v>
      </c>
      <c r="B254" t="s">
        <v>970</v>
      </c>
      <c r="C254" t="s">
        <v>971</v>
      </c>
      <c r="F254" t="s">
        <v>972</v>
      </c>
      <c r="G254" t="s">
        <v>50</v>
      </c>
      <c r="H254" t="s">
        <v>51</v>
      </c>
      <c r="I254" t="s">
        <v>973</v>
      </c>
      <c r="J254" t="s">
        <v>961</v>
      </c>
      <c r="L254" t="s">
        <v>54</v>
      </c>
    </row>
    <row r="255" spans="1:12" x14ac:dyDescent="0.25">
      <c r="A255" t="s">
        <v>974</v>
      </c>
      <c r="B255" t="s">
        <v>975</v>
      </c>
      <c r="C255" t="s">
        <v>976</v>
      </c>
      <c r="F255" t="s">
        <v>977</v>
      </c>
      <c r="G255" t="s">
        <v>50</v>
      </c>
      <c r="H255" t="s">
        <v>51</v>
      </c>
      <c r="I255" t="s">
        <v>973</v>
      </c>
      <c r="J255" t="s">
        <v>961</v>
      </c>
      <c r="L255" t="s">
        <v>54</v>
      </c>
    </row>
    <row r="256" spans="1:12" x14ac:dyDescent="0.25">
      <c r="A256" t="s">
        <v>978</v>
      </c>
      <c r="B256" t="s">
        <v>979</v>
      </c>
      <c r="C256" t="s">
        <v>980</v>
      </c>
      <c r="F256" t="s">
        <v>981</v>
      </c>
      <c r="G256" t="s">
        <v>50</v>
      </c>
      <c r="H256" t="s">
        <v>51</v>
      </c>
      <c r="I256" t="s">
        <v>973</v>
      </c>
      <c r="J256" t="s">
        <v>961</v>
      </c>
      <c r="L256" t="s">
        <v>54</v>
      </c>
    </row>
    <row r="257" spans="1:12" x14ac:dyDescent="0.25">
      <c r="A257" t="s">
        <v>982</v>
      </c>
      <c r="B257" t="s">
        <v>983</v>
      </c>
      <c r="C257" t="s">
        <v>984</v>
      </c>
      <c r="F257" t="s">
        <v>985</v>
      </c>
      <c r="G257" t="s">
        <v>50</v>
      </c>
      <c r="H257" t="s">
        <v>51</v>
      </c>
      <c r="I257" t="s">
        <v>973</v>
      </c>
      <c r="J257" t="s">
        <v>961</v>
      </c>
      <c r="L257" t="s">
        <v>54</v>
      </c>
    </row>
    <row r="258" spans="1:12" x14ac:dyDescent="0.25">
      <c r="A258" t="s">
        <v>986</v>
      </c>
      <c r="B258" t="s">
        <v>987</v>
      </c>
      <c r="F258" t="s">
        <v>314</v>
      </c>
      <c r="G258" t="s">
        <v>50</v>
      </c>
      <c r="H258" t="s">
        <v>51</v>
      </c>
      <c r="I258" t="s">
        <v>960</v>
      </c>
      <c r="J258" t="s">
        <v>961</v>
      </c>
      <c r="L258" t="s">
        <v>54</v>
      </c>
    </row>
    <row r="259" spans="1:12" x14ac:dyDescent="0.25">
      <c r="A259" t="s">
        <v>988</v>
      </c>
      <c r="B259" t="s">
        <v>989</v>
      </c>
      <c r="F259" t="s">
        <v>981</v>
      </c>
      <c r="G259" t="s">
        <v>50</v>
      </c>
      <c r="H259" t="s">
        <v>51</v>
      </c>
      <c r="I259" t="s">
        <v>990</v>
      </c>
      <c r="J259" t="s">
        <v>961</v>
      </c>
      <c r="L259" t="s">
        <v>54</v>
      </c>
    </row>
    <row r="260" spans="1:12" x14ac:dyDescent="0.25">
      <c r="A260" t="s">
        <v>991</v>
      </c>
      <c r="B260" t="s">
        <v>992</v>
      </c>
      <c r="C260" t="s">
        <v>993</v>
      </c>
      <c r="F260" t="s">
        <v>994</v>
      </c>
      <c r="G260" t="s">
        <v>50</v>
      </c>
      <c r="H260" t="s">
        <v>51</v>
      </c>
      <c r="I260" t="s">
        <v>973</v>
      </c>
      <c r="J260" t="s">
        <v>961</v>
      </c>
      <c r="L260" t="s">
        <v>54</v>
      </c>
    </row>
    <row r="261" spans="1:12" x14ac:dyDescent="0.25">
      <c r="A261" t="s">
        <v>995</v>
      </c>
      <c r="B261" t="s">
        <v>996</v>
      </c>
      <c r="F261" t="s">
        <v>997</v>
      </c>
      <c r="G261" t="s">
        <v>50</v>
      </c>
      <c r="H261" t="s">
        <v>51</v>
      </c>
      <c r="I261" t="s">
        <v>998</v>
      </c>
      <c r="J261" t="s">
        <v>945</v>
      </c>
      <c r="L261" t="s">
        <v>54</v>
      </c>
    </row>
    <row r="262" spans="1:12" x14ac:dyDescent="0.25">
      <c r="A262" t="s">
        <v>999</v>
      </c>
      <c r="B262" t="s">
        <v>1000</v>
      </c>
      <c r="C262" t="s">
        <v>1001</v>
      </c>
      <c r="F262" t="s">
        <v>350</v>
      </c>
      <c r="G262" t="s">
        <v>50</v>
      </c>
      <c r="H262" t="s">
        <v>51</v>
      </c>
      <c r="I262" t="s">
        <v>973</v>
      </c>
      <c r="J262" t="s">
        <v>961</v>
      </c>
      <c r="L262" t="s">
        <v>54</v>
      </c>
    </row>
    <row r="263" spans="1:12" x14ac:dyDescent="0.25">
      <c r="A263" t="s">
        <v>1002</v>
      </c>
      <c r="B263" t="s">
        <v>1003</v>
      </c>
      <c r="C263" t="s">
        <v>1004</v>
      </c>
      <c r="F263" t="s">
        <v>350</v>
      </c>
      <c r="G263" t="s">
        <v>50</v>
      </c>
      <c r="H263" t="s">
        <v>51</v>
      </c>
      <c r="I263" t="s">
        <v>973</v>
      </c>
      <c r="J263" t="s">
        <v>961</v>
      </c>
      <c r="L263" t="s">
        <v>54</v>
      </c>
    </row>
    <row r="264" spans="1:12" x14ac:dyDescent="0.25">
      <c r="A264" t="s">
        <v>1005</v>
      </c>
      <c r="B264" t="s">
        <v>1003</v>
      </c>
      <c r="C264" t="s">
        <v>1006</v>
      </c>
      <c r="F264" t="s">
        <v>350</v>
      </c>
      <c r="G264" t="s">
        <v>50</v>
      </c>
      <c r="H264" t="s">
        <v>51</v>
      </c>
      <c r="I264" t="s">
        <v>973</v>
      </c>
      <c r="J264" t="s">
        <v>961</v>
      </c>
      <c r="L264" t="s">
        <v>54</v>
      </c>
    </row>
    <row r="265" spans="1:12" x14ac:dyDescent="0.25">
      <c r="A265" t="s">
        <v>1007</v>
      </c>
      <c r="B265" t="s">
        <v>1008</v>
      </c>
      <c r="F265" t="s">
        <v>526</v>
      </c>
      <c r="G265" t="s">
        <v>50</v>
      </c>
      <c r="H265" t="s">
        <v>51</v>
      </c>
      <c r="I265" t="s">
        <v>990</v>
      </c>
      <c r="J265" t="s">
        <v>961</v>
      </c>
      <c r="L265" t="s">
        <v>54</v>
      </c>
    </row>
    <row r="266" spans="1:12" x14ac:dyDescent="0.25">
      <c r="A266" t="s">
        <v>1009</v>
      </c>
      <c r="B266" t="s">
        <v>1010</v>
      </c>
      <c r="F266" t="s">
        <v>613</v>
      </c>
      <c r="G266" t="s">
        <v>50</v>
      </c>
      <c r="H266" t="s">
        <v>51</v>
      </c>
      <c r="I266" t="s">
        <v>1011</v>
      </c>
      <c r="J266" t="s">
        <v>961</v>
      </c>
      <c r="L266" t="s">
        <v>54</v>
      </c>
    </row>
    <row r="267" spans="1:12" x14ac:dyDescent="0.25">
      <c r="A267" t="s">
        <v>1012</v>
      </c>
      <c r="B267" t="s">
        <v>1013</v>
      </c>
      <c r="F267" t="s">
        <v>1014</v>
      </c>
      <c r="G267" t="s">
        <v>50</v>
      </c>
      <c r="H267" t="s">
        <v>51</v>
      </c>
      <c r="I267" t="s">
        <v>1011</v>
      </c>
      <c r="J267" t="s">
        <v>961</v>
      </c>
      <c r="L267" t="s">
        <v>54</v>
      </c>
    </row>
    <row r="268" spans="1:12" x14ac:dyDescent="0.25">
      <c r="A268" t="s">
        <v>1015</v>
      </c>
      <c r="B268" t="s">
        <v>1016</v>
      </c>
      <c r="F268" t="s">
        <v>277</v>
      </c>
      <c r="G268" t="s">
        <v>50</v>
      </c>
      <c r="H268" t="s">
        <v>51</v>
      </c>
      <c r="I268" t="s">
        <v>990</v>
      </c>
      <c r="J268" t="s">
        <v>961</v>
      </c>
      <c r="L268" t="s">
        <v>54</v>
      </c>
    </row>
    <row r="269" spans="1:12" x14ac:dyDescent="0.25">
      <c r="A269" t="s">
        <v>1017</v>
      </c>
      <c r="B269" t="s">
        <v>1018</v>
      </c>
      <c r="C269" t="s">
        <v>1019</v>
      </c>
      <c r="F269" t="s">
        <v>1020</v>
      </c>
      <c r="G269" t="s">
        <v>50</v>
      </c>
      <c r="H269" t="s">
        <v>51</v>
      </c>
      <c r="I269" t="s">
        <v>960</v>
      </c>
      <c r="J269" t="s">
        <v>961</v>
      </c>
      <c r="L269" t="s">
        <v>54</v>
      </c>
    </row>
    <row r="270" spans="1:12" x14ac:dyDescent="0.25">
      <c r="A270" t="s">
        <v>1021</v>
      </c>
      <c r="B270" t="s">
        <v>1022</v>
      </c>
      <c r="C270" t="s">
        <v>1023</v>
      </c>
      <c r="F270" t="s">
        <v>1024</v>
      </c>
      <c r="G270" t="s">
        <v>50</v>
      </c>
      <c r="H270" t="s">
        <v>51</v>
      </c>
      <c r="I270" t="s">
        <v>960</v>
      </c>
      <c r="J270" t="s">
        <v>961</v>
      </c>
      <c r="L270" t="s">
        <v>54</v>
      </c>
    </row>
    <row r="271" spans="1:12" x14ac:dyDescent="0.25">
      <c r="A271" t="s">
        <v>1025</v>
      </c>
      <c r="B271" t="s">
        <v>1026</v>
      </c>
      <c r="C271" t="s">
        <v>1027</v>
      </c>
      <c r="F271" t="s">
        <v>1028</v>
      </c>
      <c r="G271" t="s">
        <v>50</v>
      </c>
      <c r="H271" t="s">
        <v>51</v>
      </c>
      <c r="I271" t="s">
        <v>960</v>
      </c>
      <c r="J271" t="s">
        <v>961</v>
      </c>
      <c r="L271" t="s">
        <v>54</v>
      </c>
    </row>
    <row r="272" spans="1:12" x14ac:dyDescent="0.25">
      <c r="A272" t="s">
        <v>1029</v>
      </c>
      <c r="B272" t="s">
        <v>1030</v>
      </c>
      <c r="C272" t="s">
        <v>1031</v>
      </c>
      <c r="F272" t="s">
        <v>1032</v>
      </c>
      <c r="G272" t="s">
        <v>50</v>
      </c>
      <c r="H272" t="s">
        <v>51</v>
      </c>
      <c r="I272" t="s">
        <v>960</v>
      </c>
      <c r="J272" t="s">
        <v>961</v>
      </c>
      <c r="L272" t="s">
        <v>54</v>
      </c>
    </row>
    <row r="273" spans="1:12" x14ac:dyDescent="0.25">
      <c r="A273" t="s">
        <v>1033</v>
      </c>
      <c r="B273" t="s">
        <v>1034</v>
      </c>
      <c r="C273" t="s">
        <v>1035</v>
      </c>
      <c r="F273" t="s">
        <v>1036</v>
      </c>
      <c r="G273" t="s">
        <v>50</v>
      </c>
      <c r="H273" t="s">
        <v>51</v>
      </c>
      <c r="I273" t="s">
        <v>960</v>
      </c>
      <c r="J273" t="s">
        <v>961</v>
      </c>
      <c r="L273" t="s">
        <v>54</v>
      </c>
    </row>
    <row r="274" spans="1:12" x14ac:dyDescent="0.25">
      <c r="A274" t="s">
        <v>1037</v>
      </c>
      <c r="B274" t="s">
        <v>1038</v>
      </c>
      <c r="C274" t="s">
        <v>1039</v>
      </c>
      <c r="F274" t="s">
        <v>1040</v>
      </c>
      <c r="G274" t="s">
        <v>50</v>
      </c>
      <c r="H274" t="s">
        <v>51</v>
      </c>
      <c r="I274" t="s">
        <v>960</v>
      </c>
      <c r="J274" t="s">
        <v>961</v>
      </c>
      <c r="L274" t="s">
        <v>54</v>
      </c>
    </row>
    <row r="275" spans="1:12" x14ac:dyDescent="0.25">
      <c r="A275" t="s">
        <v>1041</v>
      </c>
      <c r="B275" t="s">
        <v>1042</v>
      </c>
      <c r="C275" t="s">
        <v>1043</v>
      </c>
      <c r="F275" t="s">
        <v>997</v>
      </c>
      <c r="G275" t="s">
        <v>50</v>
      </c>
      <c r="H275" t="s">
        <v>51</v>
      </c>
      <c r="I275" t="s">
        <v>960</v>
      </c>
      <c r="J275" t="s">
        <v>961</v>
      </c>
      <c r="L275" t="s">
        <v>54</v>
      </c>
    </row>
    <row r="276" spans="1:12" x14ac:dyDescent="0.25">
      <c r="A276" t="s">
        <v>1044</v>
      </c>
      <c r="B276" t="s">
        <v>1045</v>
      </c>
      <c r="C276" t="s">
        <v>1046</v>
      </c>
      <c r="F276" t="s">
        <v>1047</v>
      </c>
      <c r="G276" t="s">
        <v>50</v>
      </c>
      <c r="H276" t="s">
        <v>51</v>
      </c>
      <c r="I276" t="s">
        <v>960</v>
      </c>
      <c r="J276" t="s">
        <v>961</v>
      </c>
      <c r="L276" t="s">
        <v>54</v>
      </c>
    </row>
    <row r="277" spans="1:12" x14ac:dyDescent="0.25">
      <c r="A277" t="s">
        <v>1048</v>
      </c>
      <c r="B277" t="s">
        <v>1049</v>
      </c>
      <c r="C277" t="s">
        <v>1050</v>
      </c>
      <c r="F277" t="s">
        <v>911</v>
      </c>
      <c r="G277" t="s">
        <v>50</v>
      </c>
      <c r="H277" t="s">
        <v>51</v>
      </c>
      <c r="I277" t="s">
        <v>960</v>
      </c>
      <c r="J277" t="s">
        <v>961</v>
      </c>
      <c r="L277" t="s">
        <v>54</v>
      </c>
    </row>
    <row r="278" spans="1:12" x14ac:dyDescent="0.25">
      <c r="A278" t="s">
        <v>1051</v>
      </c>
      <c r="B278" t="s">
        <v>1052</v>
      </c>
      <c r="C278" t="s">
        <v>1053</v>
      </c>
      <c r="F278" t="s">
        <v>1054</v>
      </c>
      <c r="G278" t="s">
        <v>50</v>
      </c>
      <c r="H278" t="s">
        <v>51</v>
      </c>
      <c r="I278" t="s">
        <v>960</v>
      </c>
      <c r="J278" t="s">
        <v>961</v>
      </c>
      <c r="L278" t="s">
        <v>54</v>
      </c>
    </row>
    <row r="279" spans="1:12" x14ac:dyDescent="0.25">
      <c r="A279" t="s">
        <v>1055</v>
      </c>
      <c r="B279" t="s">
        <v>1052</v>
      </c>
      <c r="C279" t="s">
        <v>1053</v>
      </c>
      <c r="F279" t="s">
        <v>1054</v>
      </c>
      <c r="G279" t="s">
        <v>50</v>
      </c>
      <c r="H279" t="s">
        <v>51</v>
      </c>
      <c r="I279" t="s">
        <v>960</v>
      </c>
      <c r="J279" t="s">
        <v>961</v>
      </c>
      <c r="L279" t="s">
        <v>54</v>
      </c>
    </row>
    <row r="280" spans="1:12" x14ac:dyDescent="0.25">
      <c r="A280" t="s">
        <v>1056</v>
      </c>
      <c r="B280" t="s">
        <v>1057</v>
      </c>
      <c r="C280" t="s">
        <v>1058</v>
      </c>
      <c r="F280" t="s">
        <v>1059</v>
      </c>
      <c r="G280" t="s">
        <v>50</v>
      </c>
      <c r="H280" t="s">
        <v>51</v>
      </c>
      <c r="I280" t="s">
        <v>960</v>
      </c>
      <c r="J280" t="s">
        <v>961</v>
      </c>
      <c r="L280" t="s">
        <v>54</v>
      </c>
    </row>
    <row r="281" spans="1:12" x14ac:dyDescent="0.25">
      <c r="A281" t="s">
        <v>1060</v>
      </c>
      <c r="B281" t="s">
        <v>1061</v>
      </c>
      <c r="F281" t="s">
        <v>981</v>
      </c>
      <c r="G281" t="s">
        <v>50</v>
      </c>
      <c r="H281" t="s">
        <v>51</v>
      </c>
      <c r="I281" t="s">
        <v>990</v>
      </c>
      <c r="J281" t="s">
        <v>961</v>
      </c>
      <c r="L281" t="s">
        <v>54</v>
      </c>
    </row>
    <row r="282" spans="1:12" x14ac:dyDescent="0.25">
      <c r="A282" t="s">
        <v>1062</v>
      </c>
      <c r="B282" t="s">
        <v>1063</v>
      </c>
      <c r="F282" t="s">
        <v>261</v>
      </c>
      <c r="G282" t="s">
        <v>50</v>
      </c>
      <c r="H282" t="s">
        <v>51</v>
      </c>
      <c r="I282" t="s">
        <v>1011</v>
      </c>
      <c r="J282" t="s">
        <v>961</v>
      </c>
      <c r="L282" t="s">
        <v>54</v>
      </c>
    </row>
    <row r="283" spans="1:12" x14ac:dyDescent="0.25">
      <c r="A283" t="s">
        <v>1064</v>
      </c>
      <c r="B283" t="s">
        <v>1065</v>
      </c>
      <c r="F283" t="s">
        <v>1066</v>
      </c>
      <c r="G283" t="s">
        <v>50</v>
      </c>
      <c r="H283" t="s">
        <v>51</v>
      </c>
      <c r="I283" t="s">
        <v>990</v>
      </c>
      <c r="J283" t="s">
        <v>961</v>
      </c>
      <c r="L283" t="s">
        <v>54</v>
      </c>
    </row>
    <row r="284" spans="1:12" x14ac:dyDescent="0.25">
      <c r="A284" t="s">
        <v>1067</v>
      </c>
      <c r="B284" t="s">
        <v>1068</v>
      </c>
      <c r="C284" t="s">
        <v>1069</v>
      </c>
      <c r="F284" t="s">
        <v>1070</v>
      </c>
      <c r="G284" t="s">
        <v>50</v>
      </c>
      <c r="H284" t="s">
        <v>51</v>
      </c>
      <c r="I284" t="s">
        <v>960</v>
      </c>
      <c r="J284" t="s">
        <v>961</v>
      </c>
      <c r="L284" t="s">
        <v>54</v>
      </c>
    </row>
    <row r="285" spans="1:12" x14ac:dyDescent="0.25">
      <c r="A285" t="s">
        <v>1071</v>
      </c>
      <c r="B285" t="s">
        <v>1072</v>
      </c>
      <c r="C285" t="s">
        <v>1073</v>
      </c>
      <c r="F285" t="s">
        <v>1074</v>
      </c>
      <c r="G285" t="s">
        <v>50</v>
      </c>
      <c r="H285" t="s">
        <v>51</v>
      </c>
      <c r="I285" t="s">
        <v>960</v>
      </c>
      <c r="J285" t="s">
        <v>961</v>
      </c>
      <c r="L285" t="s">
        <v>54</v>
      </c>
    </row>
    <row r="286" spans="1:12" x14ac:dyDescent="0.25">
      <c r="A286" t="s">
        <v>1075</v>
      </c>
      <c r="B286" t="s">
        <v>1076</v>
      </c>
      <c r="C286" t="s">
        <v>1077</v>
      </c>
      <c r="F286" t="s">
        <v>981</v>
      </c>
      <c r="G286" t="s">
        <v>50</v>
      </c>
      <c r="H286" t="s">
        <v>51</v>
      </c>
      <c r="I286" t="s">
        <v>960</v>
      </c>
      <c r="J286" t="s">
        <v>961</v>
      </c>
      <c r="L286" t="s">
        <v>54</v>
      </c>
    </row>
    <row r="287" spans="1:12" x14ac:dyDescent="0.25">
      <c r="A287" t="s">
        <v>1078</v>
      </c>
      <c r="B287" t="s">
        <v>1079</v>
      </c>
      <c r="C287" t="s">
        <v>1080</v>
      </c>
      <c r="F287" t="s">
        <v>1081</v>
      </c>
      <c r="G287" t="s">
        <v>50</v>
      </c>
      <c r="H287" t="s">
        <v>51</v>
      </c>
      <c r="I287" t="s">
        <v>960</v>
      </c>
      <c r="J287" t="s">
        <v>961</v>
      </c>
      <c r="L287" t="s">
        <v>54</v>
      </c>
    </row>
    <row r="288" spans="1:12" x14ac:dyDescent="0.25">
      <c r="A288" t="s">
        <v>1082</v>
      </c>
      <c r="B288" t="s">
        <v>1083</v>
      </c>
      <c r="C288" t="s">
        <v>1084</v>
      </c>
      <c r="F288" t="s">
        <v>1085</v>
      </c>
      <c r="G288" t="s">
        <v>50</v>
      </c>
      <c r="H288" t="s">
        <v>51</v>
      </c>
      <c r="I288" t="s">
        <v>960</v>
      </c>
      <c r="J288" t="s">
        <v>961</v>
      </c>
      <c r="L288" t="s">
        <v>54</v>
      </c>
    </row>
    <row r="289" spans="1:12" x14ac:dyDescent="0.25">
      <c r="A289" t="s">
        <v>1086</v>
      </c>
      <c r="B289" t="s">
        <v>1087</v>
      </c>
      <c r="C289" t="s">
        <v>1088</v>
      </c>
      <c r="F289" t="s">
        <v>1089</v>
      </c>
      <c r="G289" t="s">
        <v>50</v>
      </c>
      <c r="H289" t="s">
        <v>51</v>
      </c>
      <c r="I289" t="s">
        <v>960</v>
      </c>
      <c r="J289" t="s">
        <v>961</v>
      </c>
      <c r="L289" t="s">
        <v>54</v>
      </c>
    </row>
    <row r="290" spans="1:12" x14ac:dyDescent="0.25">
      <c r="A290" t="s">
        <v>1090</v>
      </c>
      <c r="B290" t="s">
        <v>1091</v>
      </c>
      <c r="F290" t="s">
        <v>1024</v>
      </c>
      <c r="G290" t="s">
        <v>50</v>
      </c>
      <c r="H290" t="s">
        <v>51</v>
      </c>
      <c r="I290" t="s">
        <v>990</v>
      </c>
      <c r="J290" t="s">
        <v>961</v>
      </c>
      <c r="L290" t="s">
        <v>54</v>
      </c>
    </row>
    <row r="291" spans="1:12" x14ac:dyDescent="0.25">
      <c r="A291" t="s">
        <v>1092</v>
      </c>
      <c r="B291" t="s">
        <v>1093</v>
      </c>
      <c r="C291" t="s">
        <v>1094</v>
      </c>
      <c r="F291" t="s">
        <v>1095</v>
      </c>
      <c r="G291" t="s">
        <v>50</v>
      </c>
      <c r="H291" t="s">
        <v>51</v>
      </c>
      <c r="I291" t="s">
        <v>973</v>
      </c>
      <c r="J291" t="s">
        <v>961</v>
      </c>
      <c r="L291" t="s">
        <v>54</v>
      </c>
    </row>
    <row r="292" spans="1:12" x14ac:dyDescent="0.25">
      <c r="A292" t="s">
        <v>1096</v>
      </c>
      <c r="B292" t="s">
        <v>1097</v>
      </c>
      <c r="C292" t="s">
        <v>1098</v>
      </c>
      <c r="F292" t="s">
        <v>985</v>
      </c>
      <c r="G292" t="s">
        <v>50</v>
      </c>
      <c r="H292" t="s">
        <v>51</v>
      </c>
      <c r="I292" t="s">
        <v>973</v>
      </c>
      <c r="J292" t="s">
        <v>961</v>
      </c>
      <c r="L292" t="s">
        <v>54</v>
      </c>
    </row>
    <row r="293" spans="1:12" x14ac:dyDescent="0.25">
      <c r="A293" t="s">
        <v>1099</v>
      </c>
      <c r="B293" t="s">
        <v>1100</v>
      </c>
      <c r="C293" t="s">
        <v>1101</v>
      </c>
      <c r="F293" t="s">
        <v>1014</v>
      </c>
      <c r="G293" t="s">
        <v>50</v>
      </c>
      <c r="H293" t="s">
        <v>51</v>
      </c>
      <c r="I293" t="s">
        <v>973</v>
      </c>
      <c r="J293" t="s">
        <v>961</v>
      </c>
      <c r="L293" t="s">
        <v>54</v>
      </c>
    </row>
    <row r="294" spans="1:12" x14ac:dyDescent="0.25">
      <c r="A294" t="s">
        <v>1102</v>
      </c>
      <c r="B294" t="s">
        <v>1103</v>
      </c>
      <c r="C294" t="s">
        <v>1104</v>
      </c>
      <c r="F294" t="s">
        <v>1105</v>
      </c>
      <c r="G294" t="s">
        <v>50</v>
      </c>
      <c r="H294" t="s">
        <v>51</v>
      </c>
      <c r="I294" t="s">
        <v>973</v>
      </c>
      <c r="J294" t="s">
        <v>961</v>
      </c>
      <c r="L294" t="s">
        <v>54</v>
      </c>
    </row>
    <row r="295" spans="1:12" x14ac:dyDescent="0.25">
      <c r="A295" t="s">
        <v>1106</v>
      </c>
      <c r="B295" t="s">
        <v>1107</v>
      </c>
      <c r="C295" t="s">
        <v>1108</v>
      </c>
      <c r="F295" t="s">
        <v>1109</v>
      </c>
      <c r="G295" t="s">
        <v>50</v>
      </c>
      <c r="H295" t="s">
        <v>51</v>
      </c>
      <c r="I295" t="s">
        <v>973</v>
      </c>
      <c r="J295" t="s">
        <v>961</v>
      </c>
      <c r="L295" t="s">
        <v>54</v>
      </c>
    </row>
    <row r="296" spans="1:12" x14ac:dyDescent="0.25">
      <c r="A296" t="s">
        <v>1110</v>
      </c>
      <c r="B296" t="s">
        <v>1111</v>
      </c>
      <c r="C296" t="s">
        <v>1112</v>
      </c>
      <c r="F296" t="s">
        <v>1113</v>
      </c>
      <c r="G296" t="s">
        <v>50</v>
      </c>
      <c r="H296" t="s">
        <v>51</v>
      </c>
      <c r="I296" t="s">
        <v>973</v>
      </c>
      <c r="J296" t="s">
        <v>961</v>
      </c>
      <c r="L296" t="s">
        <v>54</v>
      </c>
    </row>
    <row r="297" spans="1:12" x14ac:dyDescent="0.25">
      <c r="A297" t="s">
        <v>1114</v>
      </c>
      <c r="B297" t="s">
        <v>1115</v>
      </c>
      <c r="C297" t="s">
        <v>1116</v>
      </c>
      <c r="F297" t="s">
        <v>1117</v>
      </c>
      <c r="G297" t="s">
        <v>50</v>
      </c>
      <c r="H297" t="s">
        <v>51</v>
      </c>
      <c r="I297" t="s">
        <v>973</v>
      </c>
      <c r="J297" t="s">
        <v>961</v>
      </c>
      <c r="L297" t="s">
        <v>54</v>
      </c>
    </row>
    <row r="298" spans="1:12" x14ac:dyDescent="0.25">
      <c r="A298" t="s">
        <v>1118</v>
      </c>
      <c r="B298" t="s">
        <v>1119</v>
      </c>
      <c r="C298" t="s">
        <v>1120</v>
      </c>
      <c r="F298" t="s">
        <v>1121</v>
      </c>
      <c r="G298" t="s">
        <v>50</v>
      </c>
      <c r="H298" t="s">
        <v>51</v>
      </c>
      <c r="I298" t="s">
        <v>960</v>
      </c>
      <c r="J298" t="s">
        <v>961</v>
      </c>
      <c r="L298" t="s">
        <v>54</v>
      </c>
    </row>
    <row r="299" spans="1:12" x14ac:dyDescent="0.25">
      <c r="A299" t="s">
        <v>1122</v>
      </c>
      <c r="B299" t="s">
        <v>1123</v>
      </c>
      <c r="C299" t="s">
        <v>1124</v>
      </c>
      <c r="F299" t="s">
        <v>1121</v>
      </c>
      <c r="G299" t="s">
        <v>50</v>
      </c>
      <c r="H299" t="s">
        <v>51</v>
      </c>
      <c r="I299" t="s">
        <v>960</v>
      </c>
      <c r="J299" t="s">
        <v>961</v>
      </c>
      <c r="L299" t="s">
        <v>54</v>
      </c>
    </row>
    <row r="300" spans="1:12" x14ac:dyDescent="0.25">
      <c r="A300" t="s">
        <v>1125</v>
      </c>
      <c r="B300" t="s">
        <v>1126</v>
      </c>
      <c r="F300" t="s">
        <v>1127</v>
      </c>
      <c r="G300" t="s">
        <v>50</v>
      </c>
      <c r="H300" t="s">
        <v>51</v>
      </c>
      <c r="I300" t="s">
        <v>990</v>
      </c>
      <c r="J300" t="s">
        <v>961</v>
      </c>
      <c r="L300" t="s">
        <v>54</v>
      </c>
    </row>
    <row r="301" spans="1:12" x14ac:dyDescent="0.25">
      <c r="A301" t="s">
        <v>1128</v>
      </c>
      <c r="B301" t="s">
        <v>1129</v>
      </c>
      <c r="C301" t="s">
        <v>1130</v>
      </c>
      <c r="F301" t="s">
        <v>1131</v>
      </c>
      <c r="G301" t="s">
        <v>50</v>
      </c>
      <c r="H301" t="s">
        <v>51</v>
      </c>
      <c r="I301" t="s">
        <v>973</v>
      </c>
      <c r="J301" t="s">
        <v>961</v>
      </c>
      <c r="L301" t="s">
        <v>54</v>
      </c>
    </row>
    <row r="302" spans="1:12" x14ac:dyDescent="0.25">
      <c r="A302" t="s">
        <v>1132</v>
      </c>
      <c r="B302" t="s">
        <v>1133</v>
      </c>
      <c r="F302" t="s">
        <v>1024</v>
      </c>
      <c r="G302" t="s">
        <v>50</v>
      </c>
      <c r="H302" t="s">
        <v>51</v>
      </c>
      <c r="I302" t="s">
        <v>1011</v>
      </c>
      <c r="J302" t="s">
        <v>961</v>
      </c>
      <c r="L302" t="s">
        <v>54</v>
      </c>
    </row>
    <row r="303" spans="1:12" x14ac:dyDescent="0.25">
      <c r="A303" t="s">
        <v>1134</v>
      </c>
      <c r="B303" t="s">
        <v>1135</v>
      </c>
      <c r="C303" t="s">
        <v>1136</v>
      </c>
      <c r="F303" t="s">
        <v>1117</v>
      </c>
      <c r="G303" t="s">
        <v>50</v>
      </c>
      <c r="H303" t="s">
        <v>51</v>
      </c>
      <c r="I303" t="s">
        <v>973</v>
      </c>
      <c r="J303" t="s">
        <v>961</v>
      </c>
      <c r="L303" t="s">
        <v>54</v>
      </c>
    </row>
    <row r="304" spans="1:12" x14ac:dyDescent="0.25">
      <c r="A304" t="s">
        <v>1137</v>
      </c>
      <c r="B304" t="s">
        <v>1138</v>
      </c>
      <c r="C304" t="s">
        <v>1139</v>
      </c>
      <c r="F304" t="s">
        <v>1140</v>
      </c>
      <c r="G304" t="s">
        <v>50</v>
      </c>
      <c r="H304" t="s">
        <v>51</v>
      </c>
      <c r="I304" t="s">
        <v>973</v>
      </c>
      <c r="J304" t="s">
        <v>961</v>
      </c>
      <c r="L304" t="s">
        <v>54</v>
      </c>
    </row>
    <row r="305" spans="1:12" x14ac:dyDescent="0.25">
      <c r="A305" t="s">
        <v>1141</v>
      </c>
      <c r="B305" t="s">
        <v>1142</v>
      </c>
      <c r="C305" t="s">
        <v>1143</v>
      </c>
      <c r="F305" t="s">
        <v>943</v>
      </c>
      <c r="G305" t="s">
        <v>50</v>
      </c>
      <c r="H305" t="s">
        <v>51</v>
      </c>
      <c r="I305" t="s">
        <v>973</v>
      </c>
      <c r="J305" t="s">
        <v>961</v>
      </c>
      <c r="L305" t="s">
        <v>54</v>
      </c>
    </row>
    <row r="306" spans="1:12" x14ac:dyDescent="0.25">
      <c r="A306" t="s">
        <v>1144</v>
      </c>
      <c r="B306" t="s">
        <v>1145</v>
      </c>
      <c r="C306" t="s">
        <v>1146</v>
      </c>
      <c r="F306" t="s">
        <v>277</v>
      </c>
      <c r="G306" t="s">
        <v>50</v>
      </c>
      <c r="H306" t="s">
        <v>51</v>
      </c>
      <c r="I306" t="s">
        <v>973</v>
      </c>
      <c r="J306" t="s">
        <v>961</v>
      </c>
      <c r="L306" t="s">
        <v>54</v>
      </c>
    </row>
    <row r="307" spans="1:12" x14ac:dyDescent="0.25">
      <c r="A307" t="s">
        <v>1147</v>
      </c>
      <c r="B307" t="s">
        <v>1148</v>
      </c>
      <c r="C307" t="s">
        <v>1149</v>
      </c>
      <c r="F307" t="s">
        <v>1150</v>
      </c>
      <c r="G307" t="s">
        <v>50</v>
      </c>
      <c r="H307" t="s">
        <v>51</v>
      </c>
      <c r="I307" t="s">
        <v>973</v>
      </c>
      <c r="J307" t="s">
        <v>961</v>
      </c>
      <c r="L307" t="s">
        <v>54</v>
      </c>
    </row>
    <row r="308" spans="1:12" x14ac:dyDescent="0.25">
      <c r="A308" t="s">
        <v>1151</v>
      </c>
      <c r="B308" t="s">
        <v>1152</v>
      </c>
      <c r="F308" t="s">
        <v>1140</v>
      </c>
      <c r="G308" t="s">
        <v>50</v>
      </c>
      <c r="H308" t="s">
        <v>51</v>
      </c>
      <c r="I308" t="s">
        <v>1011</v>
      </c>
      <c r="J308" t="s">
        <v>961</v>
      </c>
      <c r="L308" t="s">
        <v>54</v>
      </c>
    </row>
    <row r="309" spans="1:12" x14ac:dyDescent="0.25">
      <c r="A309" t="s">
        <v>1153</v>
      </c>
      <c r="B309" t="s">
        <v>1154</v>
      </c>
      <c r="C309" t="s">
        <v>1155</v>
      </c>
      <c r="F309" t="s">
        <v>985</v>
      </c>
      <c r="G309" t="s">
        <v>50</v>
      </c>
      <c r="H309" t="s">
        <v>51</v>
      </c>
      <c r="I309" t="s">
        <v>1156</v>
      </c>
      <c r="J309" t="s">
        <v>961</v>
      </c>
      <c r="L309" t="s">
        <v>54</v>
      </c>
    </row>
    <row r="310" spans="1:12" x14ac:dyDescent="0.25">
      <c r="A310" t="s">
        <v>1157</v>
      </c>
      <c r="B310" t="s">
        <v>1158</v>
      </c>
      <c r="C310" t="s">
        <v>1159</v>
      </c>
      <c r="F310" t="s">
        <v>1160</v>
      </c>
      <c r="G310" t="s">
        <v>50</v>
      </c>
      <c r="H310" t="s">
        <v>51</v>
      </c>
      <c r="I310" t="s">
        <v>960</v>
      </c>
      <c r="J310" t="s">
        <v>961</v>
      </c>
      <c r="L310" t="s">
        <v>54</v>
      </c>
    </row>
    <row r="311" spans="1:12" x14ac:dyDescent="0.25">
      <c r="A311" t="s">
        <v>1161</v>
      </c>
      <c r="B311" t="s">
        <v>1162</v>
      </c>
      <c r="C311" t="s">
        <v>1163</v>
      </c>
      <c r="F311" t="s">
        <v>342</v>
      </c>
      <c r="G311" t="s">
        <v>50</v>
      </c>
      <c r="H311" t="s">
        <v>51</v>
      </c>
      <c r="I311" t="s">
        <v>1156</v>
      </c>
      <c r="J311" t="s">
        <v>961</v>
      </c>
      <c r="L311" t="s">
        <v>54</v>
      </c>
    </row>
    <row r="312" spans="1:12" x14ac:dyDescent="0.25">
      <c r="A312" t="s">
        <v>1164</v>
      </c>
      <c r="B312" t="s">
        <v>1000</v>
      </c>
      <c r="C312" t="s">
        <v>1001</v>
      </c>
      <c r="F312" t="s">
        <v>350</v>
      </c>
      <c r="G312" t="s">
        <v>50</v>
      </c>
      <c r="H312" t="s">
        <v>51</v>
      </c>
      <c r="I312" t="s">
        <v>960</v>
      </c>
      <c r="J312" t="s">
        <v>961</v>
      </c>
      <c r="L312" t="s">
        <v>54</v>
      </c>
    </row>
    <row r="313" spans="1:12" x14ac:dyDescent="0.25">
      <c r="A313" t="s">
        <v>1165</v>
      </c>
      <c r="B313" t="s">
        <v>1166</v>
      </c>
      <c r="C313" t="s">
        <v>1167</v>
      </c>
      <c r="F313" t="s">
        <v>1168</v>
      </c>
      <c r="G313" t="s">
        <v>50</v>
      </c>
      <c r="H313" t="s">
        <v>51</v>
      </c>
      <c r="I313" t="s">
        <v>960</v>
      </c>
      <c r="J313" t="s">
        <v>961</v>
      </c>
      <c r="L313" t="s">
        <v>54</v>
      </c>
    </row>
    <row r="314" spans="1:12" x14ac:dyDescent="0.25">
      <c r="A314" t="s">
        <v>1169</v>
      </c>
      <c r="B314" t="s">
        <v>1170</v>
      </c>
      <c r="C314" t="s">
        <v>1171</v>
      </c>
      <c r="F314" t="s">
        <v>1140</v>
      </c>
      <c r="G314" t="s">
        <v>50</v>
      </c>
      <c r="H314" t="s">
        <v>51</v>
      </c>
      <c r="I314" t="s">
        <v>973</v>
      </c>
      <c r="J314" t="s">
        <v>961</v>
      </c>
      <c r="L314" t="s">
        <v>54</v>
      </c>
    </row>
    <row r="315" spans="1:12" x14ac:dyDescent="0.25">
      <c r="A315" t="s">
        <v>1172</v>
      </c>
      <c r="B315" t="s">
        <v>1173</v>
      </c>
      <c r="C315" t="s">
        <v>1174</v>
      </c>
      <c r="F315" t="s">
        <v>1140</v>
      </c>
      <c r="G315" t="s">
        <v>50</v>
      </c>
      <c r="H315" t="s">
        <v>51</v>
      </c>
      <c r="I315" t="s">
        <v>973</v>
      </c>
      <c r="J315" t="s">
        <v>961</v>
      </c>
      <c r="L315" t="s">
        <v>54</v>
      </c>
    </row>
    <row r="316" spans="1:12" x14ac:dyDescent="0.25">
      <c r="A316" t="s">
        <v>1175</v>
      </c>
      <c r="B316" t="s">
        <v>1154</v>
      </c>
      <c r="C316" t="s">
        <v>1155</v>
      </c>
      <c r="F316" t="s">
        <v>985</v>
      </c>
      <c r="G316" t="s">
        <v>50</v>
      </c>
      <c r="H316" t="s">
        <v>51</v>
      </c>
      <c r="I316" t="s">
        <v>973</v>
      </c>
      <c r="J316" t="s">
        <v>961</v>
      </c>
      <c r="L316" t="s">
        <v>54</v>
      </c>
    </row>
    <row r="317" spans="1:12" x14ac:dyDescent="0.25">
      <c r="A317" t="s">
        <v>1176</v>
      </c>
      <c r="B317" t="s">
        <v>1177</v>
      </c>
      <c r="C317" t="s">
        <v>1178</v>
      </c>
      <c r="F317" t="s">
        <v>1140</v>
      </c>
      <c r="G317" t="s">
        <v>50</v>
      </c>
      <c r="H317" t="s">
        <v>51</v>
      </c>
      <c r="I317" t="s">
        <v>973</v>
      </c>
      <c r="J317" t="s">
        <v>961</v>
      </c>
      <c r="L317" t="s">
        <v>54</v>
      </c>
    </row>
    <row r="318" spans="1:12" x14ac:dyDescent="0.25">
      <c r="A318" t="s">
        <v>1179</v>
      </c>
      <c r="B318" t="s">
        <v>619</v>
      </c>
      <c r="C318" t="s">
        <v>1180</v>
      </c>
      <c r="F318" t="s">
        <v>985</v>
      </c>
      <c r="G318" t="s">
        <v>50</v>
      </c>
      <c r="H318" t="s">
        <v>51</v>
      </c>
      <c r="I318" t="s">
        <v>1156</v>
      </c>
      <c r="J318" t="s">
        <v>961</v>
      </c>
      <c r="L318" t="s">
        <v>54</v>
      </c>
    </row>
    <row r="319" spans="1:12" x14ac:dyDescent="0.25">
      <c r="A319" t="s">
        <v>1181</v>
      </c>
      <c r="B319" t="s">
        <v>1003</v>
      </c>
      <c r="C319" t="s">
        <v>1182</v>
      </c>
      <c r="F319" t="s">
        <v>350</v>
      </c>
      <c r="G319" t="s">
        <v>50</v>
      </c>
      <c r="H319" t="s">
        <v>51</v>
      </c>
      <c r="I319" t="s">
        <v>1156</v>
      </c>
      <c r="J319" t="s">
        <v>961</v>
      </c>
      <c r="L319" t="s">
        <v>54</v>
      </c>
    </row>
    <row r="320" spans="1:12" x14ac:dyDescent="0.25">
      <c r="A320" t="s">
        <v>1183</v>
      </c>
      <c r="B320" t="s">
        <v>619</v>
      </c>
      <c r="C320" t="s">
        <v>1180</v>
      </c>
      <c r="F320" t="s">
        <v>985</v>
      </c>
      <c r="G320" t="s">
        <v>50</v>
      </c>
      <c r="H320" t="s">
        <v>51</v>
      </c>
      <c r="I320" t="s">
        <v>973</v>
      </c>
      <c r="J320" t="s">
        <v>961</v>
      </c>
      <c r="L320" t="s">
        <v>54</v>
      </c>
    </row>
    <row r="321" spans="1:12" x14ac:dyDescent="0.25">
      <c r="A321" t="s">
        <v>1184</v>
      </c>
      <c r="B321" t="s">
        <v>1177</v>
      </c>
      <c r="C321" t="s">
        <v>1178</v>
      </c>
      <c r="F321" t="s">
        <v>1140</v>
      </c>
      <c r="G321" t="s">
        <v>50</v>
      </c>
      <c r="H321" t="s">
        <v>51</v>
      </c>
      <c r="I321" t="s">
        <v>973</v>
      </c>
      <c r="J321" t="s">
        <v>961</v>
      </c>
      <c r="L321" t="s">
        <v>54</v>
      </c>
    </row>
    <row r="322" spans="1:12" x14ac:dyDescent="0.25">
      <c r="A322" t="s">
        <v>1185</v>
      </c>
      <c r="B322" t="s">
        <v>1186</v>
      </c>
      <c r="F322" t="s">
        <v>526</v>
      </c>
      <c r="G322" t="s">
        <v>50</v>
      </c>
      <c r="H322" t="s">
        <v>51</v>
      </c>
      <c r="I322" t="s">
        <v>990</v>
      </c>
      <c r="J322" t="s">
        <v>961</v>
      </c>
      <c r="L322" t="s">
        <v>54</v>
      </c>
    </row>
    <row r="323" spans="1:12" x14ac:dyDescent="0.25">
      <c r="A323" t="s">
        <v>1187</v>
      </c>
      <c r="B323" t="s">
        <v>1188</v>
      </c>
      <c r="F323" t="s">
        <v>1189</v>
      </c>
      <c r="G323" t="s">
        <v>50</v>
      </c>
      <c r="H323" t="s">
        <v>51</v>
      </c>
      <c r="I323" t="s">
        <v>1011</v>
      </c>
      <c r="J323" t="s">
        <v>961</v>
      </c>
      <c r="L323" t="s">
        <v>54</v>
      </c>
    </row>
    <row r="324" spans="1:12" x14ac:dyDescent="0.25">
      <c r="A324" t="s">
        <v>1190</v>
      </c>
      <c r="B324" t="s">
        <v>1191</v>
      </c>
      <c r="C324" t="s">
        <v>1192</v>
      </c>
      <c r="F324" t="s">
        <v>632</v>
      </c>
      <c r="G324" t="s">
        <v>50</v>
      </c>
      <c r="H324" t="s">
        <v>51</v>
      </c>
      <c r="I324" t="s">
        <v>973</v>
      </c>
      <c r="J324" t="s">
        <v>961</v>
      </c>
      <c r="L324" t="s">
        <v>54</v>
      </c>
    </row>
    <row r="325" spans="1:12" x14ac:dyDescent="0.25">
      <c r="A325" t="s">
        <v>1193</v>
      </c>
      <c r="B325" t="s">
        <v>1194</v>
      </c>
      <c r="C325" t="s">
        <v>1195</v>
      </c>
      <c r="F325" t="s">
        <v>1095</v>
      </c>
      <c r="G325" t="s">
        <v>50</v>
      </c>
      <c r="H325" t="s">
        <v>51</v>
      </c>
      <c r="I325" t="s">
        <v>973</v>
      </c>
      <c r="J325" t="s">
        <v>961</v>
      </c>
      <c r="L325" t="s">
        <v>54</v>
      </c>
    </row>
    <row r="326" spans="1:12" x14ac:dyDescent="0.25">
      <c r="A326" t="s">
        <v>1196</v>
      </c>
      <c r="B326" t="s">
        <v>1003</v>
      </c>
      <c r="C326" t="s">
        <v>1006</v>
      </c>
      <c r="F326" t="s">
        <v>350</v>
      </c>
      <c r="G326" t="s">
        <v>50</v>
      </c>
      <c r="H326" t="s">
        <v>51</v>
      </c>
      <c r="I326" t="s">
        <v>960</v>
      </c>
      <c r="J326" t="s">
        <v>961</v>
      </c>
      <c r="L326" t="s">
        <v>54</v>
      </c>
    </row>
    <row r="327" spans="1:12" x14ac:dyDescent="0.25">
      <c r="A327" t="s">
        <v>1197</v>
      </c>
      <c r="B327" t="s">
        <v>1198</v>
      </c>
      <c r="C327" t="s">
        <v>1199</v>
      </c>
      <c r="F327" t="s">
        <v>1200</v>
      </c>
      <c r="G327" t="s">
        <v>50</v>
      </c>
      <c r="H327" t="s">
        <v>51</v>
      </c>
      <c r="I327" t="s">
        <v>973</v>
      </c>
      <c r="J327" t="s">
        <v>961</v>
      </c>
      <c r="L327" t="s">
        <v>54</v>
      </c>
    </row>
    <row r="328" spans="1:12" x14ac:dyDescent="0.25">
      <c r="A328" t="s">
        <v>1201</v>
      </c>
      <c r="B328" t="s">
        <v>1202</v>
      </c>
      <c r="C328" t="s">
        <v>1203</v>
      </c>
      <c r="F328" t="s">
        <v>1204</v>
      </c>
      <c r="G328" t="s">
        <v>50</v>
      </c>
      <c r="H328" t="s">
        <v>51</v>
      </c>
      <c r="I328" t="s">
        <v>960</v>
      </c>
      <c r="J328" t="s">
        <v>961</v>
      </c>
      <c r="L328" t="s">
        <v>54</v>
      </c>
    </row>
    <row r="329" spans="1:12" x14ac:dyDescent="0.25">
      <c r="A329" t="s">
        <v>1205</v>
      </c>
      <c r="B329" t="s">
        <v>1206</v>
      </c>
      <c r="C329" t="s">
        <v>1207</v>
      </c>
      <c r="F329" t="s">
        <v>449</v>
      </c>
      <c r="G329" t="s">
        <v>50</v>
      </c>
      <c r="H329" t="s">
        <v>51</v>
      </c>
      <c r="I329" t="s">
        <v>973</v>
      </c>
      <c r="J329" t="s">
        <v>961</v>
      </c>
      <c r="L329" t="s">
        <v>54</v>
      </c>
    </row>
    <row r="330" spans="1:12" x14ac:dyDescent="0.25">
      <c r="A330" t="s">
        <v>1208</v>
      </c>
      <c r="B330" t="s">
        <v>1209</v>
      </c>
      <c r="C330" t="s">
        <v>1210</v>
      </c>
      <c r="F330" t="s">
        <v>152</v>
      </c>
      <c r="G330" t="s">
        <v>50</v>
      </c>
      <c r="H330" t="s">
        <v>51</v>
      </c>
      <c r="I330" t="s">
        <v>973</v>
      </c>
      <c r="J330" t="s">
        <v>961</v>
      </c>
      <c r="L330" t="s">
        <v>54</v>
      </c>
    </row>
    <row r="331" spans="1:12" x14ac:dyDescent="0.25">
      <c r="A331" t="s">
        <v>1211</v>
      </c>
      <c r="B331" t="s">
        <v>1212</v>
      </c>
      <c r="C331" t="s">
        <v>1213</v>
      </c>
      <c r="F331" t="s">
        <v>1085</v>
      </c>
      <c r="G331" t="s">
        <v>50</v>
      </c>
      <c r="H331" t="s">
        <v>51</v>
      </c>
      <c r="I331" t="s">
        <v>973</v>
      </c>
      <c r="J331" t="s">
        <v>961</v>
      </c>
      <c r="L331" t="s">
        <v>54</v>
      </c>
    </row>
    <row r="332" spans="1:12" x14ac:dyDescent="0.25">
      <c r="A332" t="s">
        <v>1214</v>
      </c>
      <c r="B332" t="s">
        <v>1215</v>
      </c>
      <c r="F332" t="s">
        <v>246</v>
      </c>
      <c r="G332" t="s">
        <v>50</v>
      </c>
      <c r="H332" t="s">
        <v>51</v>
      </c>
      <c r="I332" t="s">
        <v>1011</v>
      </c>
      <c r="J332" t="s">
        <v>961</v>
      </c>
      <c r="L332" t="s">
        <v>54</v>
      </c>
    </row>
    <row r="333" spans="1:12" x14ac:dyDescent="0.25">
      <c r="A333" t="s">
        <v>1216</v>
      </c>
      <c r="B333" t="s">
        <v>1217</v>
      </c>
      <c r="C333" t="s">
        <v>1218</v>
      </c>
      <c r="F333" t="s">
        <v>1117</v>
      </c>
      <c r="G333" t="s">
        <v>50</v>
      </c>
      <c r="H333" t="s">
        <v>51</v>
      </c>
      <c r="I333" t="s">
        <v>973</v>
      </c>
      <c r="J333" t="s">
        <v>961</v>
      </c>
      <c r="L333" t="s">
        <v>54</v>
      </c>
    </row>
    <row r="334" spans="1:12" x14ac:dyDescent="0.25">
      <c r="A334" t="s">
        <v>1219</v>
      </c>
      <c r="B334" t="s">
        <v>1220</v>
      </c>
      <c r="C334" t="s">
        <v>1221</v>
      </c>
      <c r="F334" t="s">
        <v>613</v>
      </c>
      <c r="G334" t="s">
        <v>50</v>
      </c>
      <c r="H334" t="s">
        <v>51</v>
      </c>
      <c r="I334" t="s">
        <v>973</v>
      </c>
      <c r="J334" t="s">
        <v>961</v>
      </c>
      <c r="L334" t="s">
        <v>54</v>
      </c>
    </row>
    <row r="335" spans="1:12" x14ac:dyDescent="0.25">
      <c r="A335" t="s">
        <v>1222</v>
      </c>
      <c r="B335" t="s">
        <v>1223</v>
      </c>
      <c r="C335" t="s">
        <v>1224</v>
      </c>
      <c r="F335" t="s">
        <v>1189</v>
      </c>
      <c r="G335" t="s">
        <v>50</v>
      </c>
      <c r="H335" t="s">
        <v>51</v>
      </c>
      <c r="I335" t="s">
        <v>973</v>
      </c>
      <c r="J335" t="s">
        <v>961</v>
      </c>
      <c r="L335" t="s">
        <v>54</v>
      </c>
    </row>
    <row r="336" spans="1:12" x14ac:dyDescent="0.25">
      <c r="A336" t="s">
        <v>1225</v>
      </c>
      <c r="B336" t="s">
        <v>174</v>
      </c>
      <c r="C336" t="s">
        <v>1226</v>
      </c>
      <c r="F336" t="s">
        <v>985</v>
      </c>
      <c r="G336" t="s">
        <v>50</v>
      </c>
      <c r="H336" t="s">
        <v>51</v>
      </c>
      <c r="I336" t="s">
        <v>973</v>
      </c>
      <c r="J336" t="s">
        <v>961</v>
      </c>
      <c r="L336" t="s">
        <v>54</v>
      </c>
    </row>
    <row r="337" spans="1:12" x14ac:dyDescent="0.25">
      <c r="A337" t="s">
        <v>1227</v>
      </c>
      <c r="B337" t="s">
        <v>1129</v>
      </c>
      <c r="C337" t="s">
        <v>1130</v>
      </c>
      <c r="F337" t="s">
        <v>1131</v>
      </c>
      <c r="G337" t="s">
        <v>50</v>
      </c>
      <c r="H337" t="s">
        <v>51</v>
      </c>
      <c r="I337" t="s">
        <v>973</v>
      </c>
      <c r="J337" t="s">
        <v>961</v>
      </c>
      <c r="L337" t="s">
        <v>54</v>
      </c>
    </row>
    <row r="338" spans="1:12" x14ac:dyDescent="0.25">
      <c r="A338" t="s">
        <v>1228</v>
      </c>
      <c r="B338" t="s">
        <v>1229</v>
      </c>
      <c r="C338" t="s">
        <v>1230</v>
      </c>
      <c r="F338" t="s">
        <v>1231</v>
      </c>
      <c r="G338" t="s">
        <v>50</v>
      </c>
      <c r="H338" t="s">
        <v>51</v>
      </c>
      <c r="I338" t="s">
        <v>973</v>
      </c>
      <c r="J338" t="s">
        <v>961</v>
      </c>
      <c r="L338" t="s">
        <v>54</v>
      </c>
    </row>
    <row r="339" spans="1:12" x14ac:dyDescent="0.25">
      <c r="A339" t="s">
        <v>1232</v>
      </c>
      <c r="B339" t="s">
        <v>1233</v>
      </c>
      <c r="F339" t="s">
        <v>246</v>
      </c>
      <c r="G339" t="s">
        <v>50</v>
      </c>
      <c r="H339" t="s">
        <v>51</v>
      </c>
      <c r="I339" t="s">
        <v>990</v>
      </c>
      <c r="J339" t="s">
        <v>961</v>
      </c>
      <c r="L339" t="s">
        <v>54</v>
      </c>
    </row>
    <row r="340" spans="1:12" x14ac:dyDescent="0.25">
      <c r="A340" t="s">
        <v>1234</v>
      </c>
      <c r="B340" t="s">
        <v>1235</v>
      </c>
      <c r="C340" t="s">
        <v>1236</v>
      </c>
      <c r="F340" t="s">
        <v>1140</v>
      </c>
      <c r="G340" t="s">
        <v>50</v>
      </c>
      <c r="H340" t="s">
        <v>51</v>
      </c>
      <c r="I340" t="s">
        <v>973</v>
      </c>
      <c r="J340" t="s">
        <v>961</v>
      </c>
      <c r="L340" t="s">
        <v>54</v>
      </c>
    </row>
    <row r="341" spans="1:12" x14ac:dyDescent="0.25">
      <c r="A341" t="s">
        <v>1237</v>
      </c>
      <c r="B341" t="s">
        <v>1235</v>
      </c>
      <c r="C341" t="s">
        <v>1236</v>
      </c>
      <c r="F341" t="s">
        <v>1140</v>
      </c>
      <c r="G341" t="s">
        <v>50</v>
      </c>
      <c r="H341" t="s">
        <v>51</v>
      </c>
      <c r="I341" t="s">
        <v>973</v>
      </c>
      <c r="J341" t="s">
        <v>961</v>
      </c>
      <c r="L341" t="s">
        <v>54</v>
      </c>
    </row>
    <row r="342" spans="1:12" x14ac:dyDescent="0.25">
      <c r="A342" t="s">
        <v>1238</v>
      </c>
      <c r="B342" t="s">
        <v>320</v>
      </c>
      <c r="C342" t="s">
        <v>1239</v>
      </c>
      <c r="F342" t="s">
        <v>985</v>
      </c>
      <c r="G342" t="s">
        <v>50</v>
      </c>
      <c r="H342" t="s">
        <v>51</v>
      </c>
      <c r="I342" t="s">
        <v>973</v>
      </c>
      <c r="J342" t="s">
        <v>961</v>
      </c>
      <c r="L342" t="s">
        <v>54</v>
      </c>
    </row>
    <row r="343" spans="1:12" x14ac:dyDescent="0.25">
      <c r="A343" t="s">
        <v>1240</v>
      </c>
      <c r="B343" t="s">
        <v>1241</v>
      </c>
      <c r="C343" t="s">
        <v>1242</v>
      </c>
      <c r="F343" t="s">
        <v>1231</v>
      </c>
      <c r="G343" t="s">
        <v>50</v>
      </c>
      <c r="H343" t="s">
        <v>51</v>
      </c>
      <c r="I343" t="s">
        <v>973</v>
      </c>
      <c r="J343" t="s">
        <v>961</v>
      </c>
      <c r="L343" t="s">
        <v>54</v>
      </c>
    </row>
    <row r="344" spans="1:12" x14ac:dyDescent="0.25">
      <c r="A344" t="s">
        <v>1243</v>
      </c>
      <c r="B344" t="s">
        <v>1244</v>
      </c>
      <c r="C344" t="s">
        <v>1245</v>
      </c>
      <c r="F344" t="s">
        <v>1085</v>
      </c>
      <c r="G344" t="s">
        <v>50</v>
      </c>
      <c r="H344" t="s">
        <v>51</v>
      </c>
      <c r="I344" t="s">
        <v>973</v>
      </c>
      <c r="J344" t="s">
        <v>961</v>
      </c>
      <c r="L344" t="s">
        <v>54</v>
      </c>
    </row>
    <row r="345" spans="1:12" x14ac:dyDescent="0.25">
      <c r="A345" t="s">
        <v>1246</v>
      </c>
      <c r="B345" t="s">
        <v>1247</v>
      </c>
      <c r="F345" t="s">
        <v>1054</v>
      </c>
      <c r="G345" t="s">
        <v>50</v>
      </c>
      <c r="H345" t="s">
        <v>51</v>
      </c>
      <c r="I345" t="s">
        <v>990</v>
      </c>
      <c r="J345" t="s">
        <v>961</v>
      </c>
      <c r="L345" t="s">
        <v>54</v>
      </c>
    </row>
    <row r="346" spans="1:12" x14ac:dyDescent="0.25">
      <c r="A346" t="s">
        <v>1248</v>
      </c>
      <c r="B346" t="s">
        <v>1249</v>
      </c>
      <c r="F346" t="s">
        <v>997</v>
      </c>
      <c r="G346" t="s">
        <v>50</v>
      </c>
      <c r="H346" t="s">
        <v>51</v>
      </c>
      <c r="I346" t="s">
        <v>990</v>
      </c>
      <c r="J346" t="s">
        <v>961</v>
      </c>
      <c r="L346" t="s">
        <v>54</v>
      </c>
    </row>
    <row r="347" spans="1:12" x14ac:dyDescent="0.25">
      <c r="A347" t="s">
        <v>1250</v>
      </c>
      <c r="B347" t="s">
        <v>1251</v>
      </c>
      <c r="F347" t="s">
        <v>1189</v>
      </c>
      <c r="G347" t="s">
        <v>50</v>
      </c>
      <c r="H347" t="s">
        <v>51</v>
      </c>
      <c r="I347" t="s">
        <v>990</v>
      </c>
      <c r="J347" t="s">
        <v>961</v>
      </c>
      <c r="L347" t="s">
        <v>54</v>
      </c>
    </row>
    <row r="348" spans="1:12" x14ac:dyDescent="0.25">
      <c r="A348" t="s">
        <v>1252</v>
      </c>
      <c r="B348" t="s">
        <v>1253</v>
      </c>
      <c r="F348" t="s">
        <v>100</v>
      </c>
      <c r="G348" t="s">
        <v>50</v>
      </c>
      <c r="H348" t="s">
        <v>51</v>
      </c>
      <c r="I348" t="s">
        <v>990</v>
      </c>
      <c r="J348" t="s">
        <v>961</v>
      </c>
      <c r="L348" t="s">
        <v>54</v>
      </c>
    </row>
    <row r="349" spans="1:12" x14ac:dyDescent="0.25">
      <c r="A349" t="s">
        <v>1254</v>
      </c>
      <c r="B349" t="s">
        <v>1255</v>
      </c>
      <c r="F349" t="s">
        <v>1256</v>
      </c>
      <c r="G349" t="s">
        <v>50</v>
      </c>
      <c r="H349" t="s">
        <v>51</v>
      </c>
      <c r="I349" t="s">
        <v>1011</v>
      </c>
      <c r="J349" t="s">
        <v>961</v>
      </c>
      <c r="L349" t="s">
        <v>54</v>
      </c>
    </row>
    <row r="350" spans="1:12" x14ac:dyDescent="0.25">
      <c r="A350" t="s">
        <v>1257</v>
      </c>
      <c r="B350" t="s">
        <v>1258</v>
      </c>
      <c r="F350" t="s">
        <v>943</v>
      </c>
      <c r="G350" t="s">
        <v>50</v>
      </c>
      <c r="H350" t="s">
        <v>51</v>
      </c>
      <c r="I350" t="s">
        <v>990</v>
      </c>
      <c r="J350" t="s">
        <v>961</v>
      </c>
      <c r="L350" t="s">
        <v>54</v>
      </c>
    </row>
    <row r="351" spans="1:12" x14ac:dyDescent="0.25">
      <c r="A351" t="s">
        <v>1259</v>
      </c>
      <c r="B351" t="s">
        <v>1260</v>
      </c>
      <c r="F351" t="s">
        <v>1024</v>
      </c>
      <c r="G351" t="s">
        <v>50</v>
      </c>
      <c r="H351" t="s">
        <v>51</v>
      </c>
      <c r="I351" t="s">
        <v>990</v>
      </c>
      <c r="J351" t="s">
        <v>961</v>
      </c>
      <c r="L351" t="s">
        <v>54</v>
      </c>
    </row>
    <row r="352" spans="1:12" x14ac:dyDescent="0.25">
      <c r="A352" t="s">
        <v>1261</v>
      </c>
      <c r="B352" t="s">
        <v>1262</v>
      </c>
      <c r="F352" t="s">
        <v>314</v>
      </c>
      <c r="G352" t="s">
        <v>50</v>
      </c>
      <c r="H352" t="s">
        <v>51</v>
      </c>
      <c r="I352" t="s">
        <v>990</v>
      </c>
      <c r="J352" t="s">
        <v>961</v>
      </c>
      <c r="L352" t="s">
        <v>54</v>
      </c>
    </row>
    <row r="353" spans="1:12" x14ac:dyDescent="0.25">
      <c r="A353" t="s">
        <v>1263</v>
      </c>
      <c r="B353" t="s">
        <v>174</v>
      </c>
      <c r="F353" t="s">
        <v>985</v>
      </c>
      <c r="G353" t="s">
        <v>50</v>
      </c>
      <c r="H353" t="s">
        <v>51</v>
      </c>
      <c r="I353" t="s">
        <v>973</v>
      </c>
      <c r="J353" t="s">
        <v>961</v>
      </c>
      <c r="L353" t="s">
        <v>54</v>
      </c>
    </row>
    <row r="354" spans="1:12" x14ac:dyDescent="0.25">
      <c r="A354" t="s">
        <v>1264</v>
      </c>
      <c r="B354" t="s">
        <v>1265</v>
      </c>
      <c r="F354" t="s">
        <v>100</v>
      </c>
      <c r="G354" t="s">
        <v>50</v>
      </c>
      <c r="H354" t="s">
        <v>51</v>
      </c>
      <c r="I354" t="s">
        <v>990</v>
      </c>
      <c r="J354" t="s">
        <v>961</v>
      </c>
      <c r="L354" t="s">
        <v>54</v>
      </c>
    </row>
    <row r="355" spans="1:12" x14ac:dyDescent="0.25">
      <c r="A355" t="s">
        <v>1266</v>
      </c>
      <c r="B355" t="s">
        <v>619</v>
      </c>
      <c r="F355" t="s">
        <v>985</v>
      </c>
      <c r="G355" t="s">
        <v>50</v>
      </c>
      <c r="H355" t="s">
        <v>51</v>
      </c>
      <c r="I355" t="s">
        <v>973</v>
      </c>
      <c r="J355" t="s">
        <v>961</v>
      </c>
      <c r="L355" t="s">
        <v>54</v>
      </c>
    </row>
    <row r="356" spans="1:12" x14ac:dyDescent="0.25">
      <c r="A356" t="s">
        <v>1267</v>
      </c>
      <c r="B356" t="s">
        <v>1268</v>
      </c>
      <c r="F356" t="s">
        <v>1140</v>
      </c>
      <c r="G356" t="s">
        <v>50</v>
      </c>
      <c r="H356" t="s">
        <v>51</v>
      </c>
      <c r="I356" t="s">
        <v>1269</v>
      </c>
      <c r="J356" t="s">
        <v>1270</v>
      </c>
      <c r="L356" t="s">
        <v>1271</v>
      </c>
    </row>
    <row r="357" spans="1:12" x14ac:dyDescent="0.25">
      <c r="A357" t="s">
        <v>1272</v>
      </c>
      <c r="B357" t="s">
        <v>1273</v>
      </c>
      <c r="F357" t="s">
        <v>997</v>
      </c>
      <c r="G357" t="s">
        <v>50</v>
      </c>
      <c r="H357" t="s">
        <v>51</v>
      </c>
      <c r="I357" t="s">
        <v>990</v>
      </c>
      <c r="J357" t="s">
        <v>961</v>
      </c>
      <c r="L357" t="s">
        <v>54</v>
      </c>
    </row>
    <row r="358" spans="1:12" x14ac:dyDescent="0.25">
      <c r="A358" t="s">
        <v>1274</v>
      </c>
      <c r="B358" t="s">
        <v>320</v>
      </c>
      <c r="F358" t="s">
        <v>985</v>
      </c>
      <c r="G358" t="s">
        <v>50</v>
      </c>
      <c r="H358" t="s">
        <v>51</v>
      </c>
      <c r="I358" t="s">
        <v>973</v>
      </c>
      <c r="J358" t="s">
        <v>961</v>
      </c>
      <c r="L358" t="s">
        <v>54</v>
      </c>
    </row>
    <row r="359" spans="1:12" x14ac:dyDescent="0.25">
      <c r="A359" t="s">
        <v>1275</v>
      </c>
      <c r="B359" t="s">
        <v>1276</v>
      </c>
      <c r="F359" t="s">
        <v>168</v>
      </c>
      <c r="G359" t="s">
        <v>50</v>
      </c>
      <c r="H359" t="s">
        <v>51</v>
      </c>
      <c r="I359" t="s">
        <v>1277</v>
      </c>
      <c r="J359" t="s">
        <v>961</v>
      </c>
      <c r="L359" t="s">
        <v>54</v>
      </c>
    </row>
    <row r="360" spans="1:12" x14ac:dyDescent="0.25">
      <c r="A360" t="s">
        <v>1278</v>
      </c>
      <c r="B360" t="s">
        <v>1162</v>
      </c>
      <c r="F360" t="s">
        <v>342</v>
      </c>
      <c r="G360" t="s">
        <v>50</v>
      </c>
      <c r="H360" t="s">
        <v>51</v>
      </c>
      <c r="I360" t="s">
        <v>973</v>
      </c>
      <c r="J360" t="s">
        <v>961</v>
      </c>
      <c r="L360" t="s">
        <v>54</v>
      </c>
    </row>
    <row r="361" spans="1:12" x14ac:dyDescent="0.25">
      <c r="A361" t="s">
        <v>1279</v>
      </c>
      <c r="B361" t="s">
        <v>1280</v>
      </c>
      <c r="F361" t="s">
        <v>1281</v>
      </c>
      <c r="G361" t="s">
        <v>50</v>
      </c>
      <c r="H361" t="s">
        <v>51</v>
      </c>
      <c r="I361" t="s">
        <v>1011</v>
      </c>
      <c r="J361" t="s">
        <v>961</v>
      </c>
      <c r="L361" t="s">
        <v>54</v>
      </c>
    </row>
    <row r="362" spans="1:12" x14ac:dyDescent="0.25">
      <c r="A362" t="s">
        <v>1282</v>
      </c>
      <c r="B362" t="s">
        <v>1135</v>
      </c>
      <c r="F362" t="s">
        <v>1117</v>
      </c>
      <c r="G362" t="s">
        <v>50</v>
      </c>
      <c r="H362" t="s">
        <v>51</v>
      </c>
      <c r="I362" t="s">
        <v>973</v>
      </c>
      <c r="J362" t="s">
        <v>961</v>
      </c>
      <c r="L362" t="s">
        <v>54</v>
      </c>
    </row>
    <row r="363" spans="1:12" x14ac:dyDescent="0.25">
      <c r="A363" t="s">
        <v>1283</v>
      </c>
      <c r="B363" t="s">
        <v>1154</v>
      </c>
      <c r="F363" t="s">
        <v>985</v>
      </c>
      <c r="G363" t="s">
        <v>50</v>
      </c>
      <c r="H363" t="s">
        <v>51</v>
      </c>
      <c r="I363" t="s">
        <v>973</v>
      </c>
      <c r="J363" t="s">
        <v>961</v>
      </c>
      <c r="L363" t="s">
        <v>54</v>
      </c>
    </row>
    <row r="364" spans="1:12" x14ac:dyDescent="0.25">
      <c r="A364" t="s">
        <v>1284</v>
      </c>
      <c r="B364" t="s">
        <v>1202</v>
      </c>
      <c r="F364" t="s">
        <v>1204</v>
      </c>
      <c r="G364" t="s">
        <v>50</v>
      </c>
      <c r="H364" t="s">
        <v>51</v>
      </c>
      <c r="I364" t="s">
        <v>973</v>
      </c>
      <c r="J364" t="s">
        <v>961</v>
      </c>
      <c r="L364" t="s">
        <v>54</v>
      </c>
    </row>
    <row r="365" spans="1:12" x14ac:dyDescent="0.25">
      <c r="A365" t="s">
        <v>1285</v>
      </c>
      <c r="B365" t="s">
        <v>1177</v>
      </c>
      <c r="F365" t="s">
        <v>1140</v>
      </c>
      <c r="G365" t="s">
        <v>50</v>
      </c>
      <c r="H365" t="s">
        <v>51</v>
      </c>
      <c r="I365" t="s">
        <v>973</v>
      </c>
      <c r="J365" t="s">
        <v>961</v>
      </c>
      <c r="L365" t="s">
        <v>54</v>
      </c>
    </row>
    <row r="366" spans="1:12" x14ac:dyDescent="0.25">
      <c r="A366" t="s">
        <v>1286</v>
      </c>
      <c r="B366" t="s">
        <v>1287</v>
      </c>
      <c r="F366" t="s">
        <v>326</v>
      </c>
      <c r="G366" t="s">
        <v>50</v>
      </c>
      <c r="H366" t="s">
        <v>51</v>
      </c>
      <c r="I366" t="s">
        <v>1011</v>
      </c>
      <c r="J366" t="s">
        <v>961</v>
      </c>
      <c r="L366" t="s">
        <v>54</v>
      </c>
    </row>
    <row r="367" spans="1:12" x14ac:dyDescent="0.25">
      <c r="A367" t="s">
        <v>1288</v>
      </c>
      <c r="B367" t="s">
        <v>1289</v>
      </c>
      <c r="F367" t="s">
        <v>115</v>
      </c>
      <c r="G367" t="s">
        <v>50</v>
      </c>
      <c r="H367" t="s">
        <v>51</v>
      </c>
      <c r="I367" t="s">
        <v>1290</v>
      </c>
      <c r="J367" t="s">
        <v>945</v>
      </c>
      <c r="L367" t="s">
        <v>1291</v>
      </c>
    </row>
    <row r="368" spans="1:12" x14ac:dyDescent="0.25">
      <c r="A368" t="s">
        <v>1292</v>
      </c>
      <c r="B368" t="s">
        <v>1293</v>
      </c>
      <c r="F368" t="s">
        <v>1294</v>
      </c>
      <c r="G368" t="s">
        <v>50</v>
      </c>
      <c r="H368" t="s">
        <v>51</v>
      </c>
      <c r="I368" t="s">
        <v>1011</v>
      </c>
      <c r="J368" t="s">
        <v>961</v>
      </c>
      <c r="L368" t="s">
        <v>54</v>
      </c>
    </row>
    <row r="369" spans="1:12" x14ac:dyDescent="0.25">
      <c r="A369" t="s">
        <v>1295</v>
      </c>
      <c r="B369" t="s">
        <v>1296</v>
      </c>
      <c r="F369" t="s">
        <v>849</v>
      </c>
      <c r="G369" t="s">
        <v>50</v>
      </c>
      <c r="H369" t="s">
        <v>51</v>
      </c>
      <c r="I369" t="s">
        <v>960</v>
      </c>
      <c r="J369" t="s">
        <v>961</v>
      </c>
      <c r="L369" t="s">
        <v>54</v>
      </c>
    </row>
    <row r="370" spans="1:12" x14ac:dyDescent="0.25">
      <c r="A370" t="s">
        <v>1297</v>
      </c>
      <c r="B370" t="s">
        <v>1298</v>
      </c>
      <c r="F370" t="s">
        <v>1131</v>
      </c>
      <c r="G370" t="s">
        <v>50</v>
      </c>
      <c r="H370" t="s">
        <v>51</v>
      </c>
      <c r="I370" t="s">
        <v>1277</v>
      </c>
      <c r="J370" t="s">
        <v>961</v>
      </c>
      <c r="L370" t="s">
        <v>54</v>
      </c>
    </row>
    <row r="371" spans="1:12" x14ac:dyDescent="0.25">
      <c r="A371" t="s">
        <v>1299</v>
      </c>
      <c r="B371" t="s">
        <v>1300</v>
      </c>
      <c r="F371" t="s">
        <v>485</v>
      </c>
      <c r="G371" t="s">
        <v>50</v>
      </c>
      <c r="H371" t="s">
        <v>51</v>
      </c>
      <c r="I371" t="s">
        <v>960</v>
      </c>
      <c r="J371" t="s">
        <v>961</v>
      </c>
      <c r="L371" t="s">
        <v>54</v>
      </c>
    </row>
    <row r="372" spans="1:12" x14ac:dyDescent="0.25">
      <c r="A372" t="s">
        <v>1301</v>
      </c>
      <c r="B372" t="s">
        <v>121</v>
      </c>
      <c r="F372" t="s">
        <v>911</v>
      </c>
      <c r="G372" t="s">
        <v>50</v>
      </c>
      <c r="H372" t="s">
        <v>51</v>
      </c>
      <c r="I372" t="s">
        <v>960</v>
      </c>
      <c r="J372" t="s">
        <v>961</v>
      </c>
      <c r="L372" t="s">
        <v>54</v>
      </c>
    </row>
    <row r="373" spans="1:12" x14ac:dyDescent="0.25">
      <c r="A373" t="s">
        <v>1302</v>
      </c>
      <c r="B373" t="s">
        <v>1303</v>
      </c>
      <c r="F373" t="s">
        <v>485</v>
      </c>
      <c r="G373" t="s">
        <v>50</v>
      </c>
      <c r="H373" t="s">
        <v>51</v>
      </c>
      <c r="I373" t="s">
        <v>960</v>
      </c>
      <c r="J373" t="s">
        <v>961</v>
      </c>
      <c r="L373" t="s">
        <v>54</v>
      </c>
    </row>
    <row r="374" spans="1:12" x14ac:dyDescent="0.25">
      <c r="A374" t="s">
        <v>1304</v>
      </c>
      <c r="B374" t="s">
        <v>1305</v>
      </c>
      <c r="F374" t="s">
        <v>1131</v>
      </c>
      <c r="G374" t="s">
        <v>50</v>
      </c>
      <c r="H374" t="s">
        <v>51</v>
      </c>
      <c r="I374" t="s">
        <v>1277</v>
      </c>
      <c r="J374" t="s">
        <v>961</v>
      </c>
      <c r="L374" t="s">
        <v>54</v>
      </c>
    </row>
    <row r="375" spans="1:12" x14ac:dyDescent="0.25">
      <c r="A375" t="s">
        <v>1306</v>
      </c>
      <c r="B375" t="s">
        <v>1307</v>
      </c>
      <c r="F375" t="s">
        <v>760</v>
      </c>
      <c r="G375" t="s">
        <v>50</v>
      </c>
      <c r="H375" t="s">
        <v>51</v>
      </c>
      <c r="I375" t="s">
        <v>960</v>
      </c>
      <c r="J375" t="s">
        <v>961</v>
      </c>
      <c r="L375" t="s">
        <v>54</v>
      </c>
    </row>
    <row r="376" spans="1:12" x14ac:dyDescent="0.25">
      <c r="A376" t="s">
        <v>1308</v>
      </c>
      <c r="B376" t="s">
        <v>1309</v>
      </c>
      <c r="F376" t="s">
        <v>115</v>
      </c>
      <c r="G376" t="s">
        <v>50</v>
      </c>
      <c r="H376" t="s">
        <v>51</v>
      </c>
      <c r="I376" t="s">
        <v>960</v>
      </c>
      <c r="J376" t="s">
        <v>961</v>
      </c>
      <c r="L376" t="s">
        <v>54</v>
      </c>
    </row>
    <row r="377" spans="1:12" x14ac:dyDescent="0.25">
      <c r="A377" t="s">
        <v>1310</v>
      </c>
      <c r="B377" t="s">
        <v>1311</v>
      </c>
      <c r="F377" t="s">
        <v>74</v>
      </c>
      <c r="G377" t="s">
        <v>50</v>
      </c>
      <c r="H377" t="s">
        <v>51</v>
      </c>
      <c r="I377" t="s">
        <v>960</v>
      </c>
      <c r="J377" t="s">
        <v>961</v>
      </c>
      <c r="L377" t="s">
        <v>54</v>
      </c>
    </row>
    <row r="378" spans="1:12" x14ac:dyDescent="0.25">
      <c r="A378" t="s">
        <v>1312</v>
      </c>
      <c r="B378" t="s">
        <v>1313</v>
      </c>
      <c r="F378" t="s">
        <v>1314</v>
      </c>
      <c r="G378" t="s">
        <v>50</v>
      </c>
      <c r="H378" t="s">
        <v>51</v>
      </c>
      <c r="I378" t="s">
        <v>1315</v>
      </c>
      <c r="J378" t="s">
        <v>1316</v>
      </c>
      <c r="L378" t="s">
        <v>54</v>
      </c>
    </row>
    <row r="379" spans="1:12" x14ac:dyDescent="0.25">
      <c r="A379" t="s">
        <v>1317</v>
      </c>
      <c r="B379" t="s">
        <v>1318</v>
      </c>
      <c r="F379" t="s">
        <v>90</v>
      </c>
      <c r="G379" t="s">
        <v>50</v>
      </c>
      <c r="H379" t="s">
        <v>51</v>
      </c>
      <c r="I379" t="s">
        <v>1315</v>
      </c>
      <c r="J379" t="s">
        <v>1316</v>
      </c>
      <c r="L379" t="s">
        <v>54</v>
      </c>
    </row>
    <row r="380" spans="1:12" x14ac:dyDescent="0.25">
      <c r="A380" t="s">
        <v>1319</v>
      </c>
      <c r="B380" t="s">
        <v>1320</v>
      </c>
      <c r="F380" t="s">
        <v>277</v>
      </c>
      <c r="G380" t="s">
        <v>50</v>
      </c>
      <c r="H380" t="s">
        <v>51</v>
      </c>
      <c r="I380" t="s">
        <v>1315</v>
      </c>
      <c r="J380" t="s">
        <v>1316</v>
      </c>
      <c r="L380" t="s">
        <v>54</v>
      </c>
    </row>
    <row r="381" spans="1:12" x14ac:dyDescent="0.25">
      <c r="A381" t="s">
        <v>1321</v>
      </c>
      <c r="B381" t="s">
        <v>1322</v>
      </c>
      <c r="F381" t="s">
        <v>468</v>
      </c>
      <c r="G381" t="s">
        <v>50</v>
      </c>
      <c r="H381" t="s">
        <v>51</v>
      </c>
      <c r="I381" t="s">
        <v>1315</v>
      </c>
      <c r="J381" t="s">
        <v>1316</v>
      </c>
      <c r="L381" t="s">
        <v>54</v>
      </c>
    </row>
    <row r="382" spans="1:12" x14ac:dyDescent="0.25">
      <c r="A382" t="s">
        <v>1323</v>
      </c>
      <c r="B382" t="s">
        <v>1324</v>
      </c>
      <c r="F382" t="s">
        <v>107</v>
      </c>
      <c r="G382" t="s">
        <v>50</v>
      </c>
      <c r="H382" t="s">
        <v>51</v>
      </c>
      <c r="I382" t="s">
        <v>1315</v>
      </c>
      <c r="J382" t="s">
        <v>1316</v>
      </c>
      <c r="L382" t="s">
        <v>54</v>
      </c>
    </row>
    <row r="383" spans="1:12" x14ac:dyDescent="0.25">
      <c r="A383" t="s">
        <v>1325</v>
      </c>
      <c r="B383" t="s">
        <v>1326</v>
      </c>
      <c r="F383" t="s">
        <v>1327</v>
      </c>
      <c r="G383" t="s">
        <v>50</v>
      </c>
      <c r="H383" t="s">
        <v>51</v>
      </c>
      <c r="I383" t="s">
        <v>1315</v>
      </c>
      <c r="J383" t="s">
        <v>1316</v>
      </c>
      <c r="L383" t="s">
        <v>54</v>
      </c>
    </row>
    <row r="384" spans="1:12" x14ac:dyDescent="0.25">
      <c r="A384" t="s">
        <v>1328</v>
      </c>
      <c r="B384" t="s">
        <v>1329</v>
      </c>
      <c r="F384" t="s">
        <v>1330</v>
      </c>
      <c r="G384" t="s">
        <v>50</v>
      </c>
      <c r="H384" t="s">
        <v>51</v>
      </c>
      <c r="I384" t="s">
        <v>960</v>
      </c>
      <c r="J384" t="s">
        <v>961</v>
      </c>
      <c r="L384" t="s">
        <v>54</v>
      </c>
    </row>
    <row r="385" spans="1:12" x14ac:dyDescent="0.25">
      <c r="A385" t="s">
        <v>1331</v>
      </c>
      <c r="B385" t="s">
        <v>1332</v>
      </c>
      <c r="F385" t="s">
        <v>833</v>
      </c>
      <c r="G385" t="s">
        <v>50</v>
      </c>
      <c r="H385" t="s">
        <v>51</v>
      </c>
      <c r="I385" t="s">
        <v>1315</v>
      </c>
      <c r="J385" t="s">
        <v>1316</v>
      </c>
      <c r="L385" t="s">
        <v>54</v>
      </c>
    </row>
    <row r="386" spans="1:12" x14ac:dyDescent="0.25">
      <c r="A386" t="s">
        <v>1333</v>
      </c>
      <c r="B386" t="s">
        <v>1334</v>
      </c>
      <c r="F386" t="s">
        <v>1168</v>
      </c>
      <c r="G386" t="s">
        <v>50</v>
      </c>
      <c r="H386" t="s">
        <v>51</v>
      </c>
      <c r="I386" t="s">
        <v>1315</v>
      </c>
      <c r="J386" t="s">
        <v>1316</v>
      </c>
      <c r="L386" t="s">
        <v>54</v>
      </c>
    </row>
    <row r="387" spans="1:12" x14ac:dyDescent="0.25">
      <c r="A387" t="s">
        <v>1335</v>
      </c>
      <c r="B387" t="s">
        <v>1336</v>
      </c>
      <c r="F387" t="s">
        <v>115</v>
      </c>
      <c r="G387" t="s">
        <v>50</v>
      </c>
      <c r="H387" t="s">
        <v>51</v>
      </c>
      <c r="I387" t="s">
        <v>1315</v>
      </c>
      <c r="J387" t="s">
        <v>1316</v>
      </c>
      <c r="L387" t="s">
        <v>54</v>
      </c>
    </row>
    <row r="388" spans="1:12" x14ac:dyDescent="0.25">
      <c r="A388" t="s">
        <v>1337</v>
      </c>
      <c r="B388" t="s">
        <v>1338</v>
      </c>
      <c r="F388" t="s">
        <v>1339</v>
      </c>
      <c r="G388" t="s">
        <v>50</v>
      </c>
      <c r="H388" t="s">
        <v>51</v>
      </c>
      <c r="I388" t="s">
        <v>1315</v>
      </c>
      <c r="J388" t="s">
        <v>1316</v>
      </c>
      <c r="L388" t="s">
        <v>54</v>
      </c>
    </row>
    <row r="389" spans="1:12" x14ac:dyDescent="0.25">
      <c r="A389" t="s">
        <v>1340</v>
      </c>
      <c r="B389" t="s">
        <v>1341</v>
      </c>
      <c r="F389" t="s">
        <v>438</v>
      </c>
      <c r="G389" t="s">
        <v>50</v>
      </c>
      <c r="H389" t="s">
        <v>51</v>
      </c>
      <c r="I389" t="s">
        <v>1315</v>
      </c>
      <c r="J389" t="s">
        <v>1316</v>
      </c>
      <c r="L389" t="s">
        <v>54</v>
      </c>
    </row>
    <row r="390" spans="1:12" x14ac:dyDescent="0.25">
      <c r="A390" t="s">
        <v>1342</v>
      </c>
      <c r="B390" t="s">
        <v>1343</v>
      </c>
      <c r="F390" t="s">
        <v>526</v>
      </c>
      <c r="G390" t="s">
        <v>50</v>
      </c>
      <c r="H390" t="s">
        <v>51</v>
      </c>
      <c r="I390" t="s">
        <v>1315</v>
      </c>
      <c r="J390" t="s">
        <v>1316</v>
      </c>
      <c r="L390" t="s">
        <v>54</v>
      </c>
    </row>
    <row r="391" spans="1:12" x14ac:dyDescent="0.25">
      <c r="A391" t="s">
        <v>1344</v>
      </c>
      <c r="B391" t="s">
        <v>1345</v>
      </c>
      <c r="F391" t="s">
        <v>246</v>
      </c>
      <c r="G391" t="s">
        <v>50</v>
      </c>
      <c r="H391" t="s">
        <v>51</v>
      </c>
      <c r="I391" t="s">
        <v>960</v>
      </c>
      <c r="J391" t="s">
        <v>961</v>
      </c>
      <c r="L391" t="s">
        <v>54</v>
      </c>
    </row>
    <row r="392" spans="1:12" x14ac:dyDescent="0.25">
      <c r="A392" t="s">
        <v>1346</v>
      </c>
      <c r="B392" t="s">
        <v>1347</v>
      </c>
      <c r="F392" t="s">
        <v>1127</v>
      </c>
      <c r="G392" t="s">
        <v>50</v>
      </c>
      <c r="H392" t="s">
        <v>51</v>
      </c>
      <c r="I392" t="s">
        <v>1315</v>
      </c>
      <c r="J392" t="s">
        <v>1316</v>
      </c>
      <c r="L392" t="s">
        <v>54</v>
      </c>
    </row>
    <row r="393" spans="1:12" x14ac:dyDescent="0.25">
      <c r="A393" t="s">
        <v>1348</v>
      </c>
      <c r="B393" t="s">
        <v>1349</v>
      </c>
      <c r="F393" t="s">
        <v>122</v>
      </c>
      <c r="G393" t="s">
        <v>123</v>
      </c>
      <c r="H393" t="s">
        <v>51</v>
      </c>
      <c r="I393" t="s">
        <v>124</v>
      </c>
      <c r="J393" t="s">
        <v>125</v>
      </c>
      <c r="L393" t="s">
        <v>126</v>
      </c>
    </row>
    <row r="394" spans="1:12" x14ac:dyDescent="0.25">
      <c r="A394" t="s">
        <v>1350</v>
      </c>
      <c r="B394" t="s">
        <v>1351</v>
      </c>
      <c r="F394" t="s">
        <v>314</v>
      </c>
      <c r="G394" t="s">
        <v>50</v>
      </c>
      <c r="H394" t="s">
        <v>51</v>
      </c>
      <c r="I394" t="s">
        <v>1315</v>
      </c>
      <c r="J394" t="s">
        <v>1316</v>
      </c>
      <c r="L394" t="s">
        <v>54</v>
      </c>
    </row>
    <row r="395" spans="1:12" x14ac:dyDescent="0.25">
      <c r="A395" t="s">
        <v>1352</v>
      </c>
      <c r="B395" t="s">
        <v>1353</v>
      </c>
      <c r="F395" t="s">
        <v>292</v>
      </c>
      <c r="G395" t="s">
        <v>50</v>
      </c>
      <c r="H395" t="s">
        <v>51</v>
      </c>
      <c r="I395" t="s">
        <v>1315</v>
      </c>
      <c r="J395" t="s">
        <v>1316</v>
      </c>
      <c r="L395" t="s">
        <v>54</v>
      </c>
    </row>
    <row r="396" spans="1:12" x14ac:dyDescent="0.25">
      <c r="A396" t="s">
        <v>1354</v>
      </c>
      <c r="B396" t="s">
        <v>1355</v>
      </c>
      <c r="F396" t="s">
        <v>1356</v>
      </c>
      <c r="G396" t="s">
        <v>50</v>
      </c>
      <c r="H396" t="s">
        <v>51</v>
      </c>
      <c r="I396" t="s">
        <v>1315</v>
      </c>
      <c r="J396" t="s">
        <v>1316</v>
      </c>
      <c r="L396" t="s">
        <v>54</v>
      </c>
    </row>
    <row r="397" spans="1:12" x14ac:dyDescent="0.25">
      <c r="A397" t="s">
        <v>1357</v>
      </c>
      <c r="B397" t="s">
        <v>1358</v>
      </c>
      <c r="F397" t="s">
        <v>1359</v>
      </c>
      <c r="G397" t="s">
        <v>123</v>
      </c>
      <c r="H397" t="s">
        <v>51</v>
      </c>
      <c r="I397" t="s">
        <v>124</v>
      </c>
      <c r="J397" t="s">
        <v>125</v>
      </c>
      <c r="L397" t="s">
        <v>126</v>
      </c>
    </row>
    <row r="398" spans="1:12" x14ac:dyDescent="0.25">
      <c r="A398" t="s">
        <v>1360</v>
      </c>
      <c r="B398" t="s">
        <v>1361</v>
      </c>
      <c r="F398" t="s">
        <v>131</v>
      </c>
      <c r="G398" t="s">
        <v>123</v>
      </c>
      <c r="H398" t="s">
        <v>51</v>
      </c>
      <c r="I398" t="s">
        <v>124</v>
      </c>
      <c r="J398" t="s">
        <v>125</v>
      </c>
      <c r="L398" t="s">
        <v>126</v>
      </c>
    </row>
    <row r="399" spans="1:12" x14ac:dyDescent="0.25">
      <c r="A399" t="s">
        <v>1362</v>
      </c>
      <c r="B399" t="s">
        <v>1363</v>
      </c>
      <c r="F399" t="s">
        <v>1364</v>
      </c>
      <c r="G399" t="s">
        <v>123</v>
      </c>
      <c r="H399" t="s">
        <v>51</v>
      </c>
      <c r="I399" t="s">
        <v>124</v>
      </c>
      <c r="J399" t="s">
        <v>125</v>
      </c>
      <c r="L399" t="s">
        <v>126</v>
      </c>
    </row>
    <row r="400" spans="1:12" x14ac:dyDescent="0.25">
      <c r="A400" t="s">
        <v>1365</v>
      </c>
      <c r="B400" t="s">
        <v>1366</v>
      </c>
      <c r="F400" t="s">
        <v>1367</v>
      </c>
      <c r="G400" t="s">
        <v>50</v>
      </c>
      <c r="H400" t="s">
        <v>51</v>
      </c>
      <c r="I400" t="s">
        <v>1368</v>
      </c>
      <c r="J400" t="s">
        <v>1369</v>
      </c>
      <c r="L400" t="s">
        <v>54</v>
      </c>
    </row>
    <row r="401" spans="1:12" x14ac:dyDescent="0.25">
      <c r="A401" t="s">
        <v>1370</v>
      </c>
      <c r="B401" t="s">
        <v>1371</v>
      </c>
      <c r="F401" t="s">
        <v>885</v>
      </c>
      <c r="G401" t="s">
        <v>123</v>
      </c>
      <c r="H401" t="s">
        <v>51</v>
      </c>
      <c r="I401" t="s">
        <v>124</v>
      </c>
      <c r="J401" t="s">
        <v>125</v>
      </c>
      <c r="L401" t="s">
        <v>126</v>
      </c>
    </row>
    <row r="402" spans="1:12" x14ac:dyDescent="0.25">
      <c r="A402" t="s">
        <v>1372</v>
      </c>
      <c r="B402" t="s">
        <v>1373</v>
      </c>
      <c r="F402" t="s">
        <v>1374</v>
      </c>
      <c r="G402" t="s">
        <v>123</v>
      </c>
      <c r="H402" t="s">
        <v>51</v>
      </c>
      <c r="I402" t="s">
        <v>124</v>
      </c>
      <c r="J402" t="s">
        <v>125</v>
      </c>
      <c r="L402" t="s">
        <v>126</v>
      </c>
    </row>
    <row r="403" spans="1:12" x14ac:dyDescent="0.25">
      <c r="A403" t="s">
        <v>1375</v>
      </c>
      <c r="B403" t="s">
        <v>1376</v>
      </c>
      <c r="F403" t="s">
        <v>1377</v>
      </c>
      <c r="G403" t="s">
        <v>123</v>
      </c>
      <c r="H403" t="s">
        <v>51</v>
      </c>
      <c r="I403" t="s">
        <v>124</v>
      </c>
      <c r="J403" t="s">
        <v>125</v>
      </c>
      <c r="L403" t="s">
        <v>126</v>
      </c>
    </row>
    <row r="404" spans="1:12" x14ac:dyDescent="0.25">
      <c r="A404" t="s">
        <v>1378</v>
      </c>
      <c r="B404" t="s">
        <v>1379</v>
      </c>
      <c r="F404" t="s">
        <v>1380</v>
      </c>
      <c r="G404" t="s">
        <v>123</v>
      </c>
      <c r="H404" t="s">
        <v>51</v>
      </c>
      <c r="I404" t="s">
        <v>124</v>
      </c>
      <c r="J404" t="s">
        <v>125</v>
      </c>
      <c r="L404" t="s">
        <v>126</v>
      </c>
    </row>
    <row r="405" spans="1:12" x14ac:dyDescent="0.25">
      <c r="A405" t="s">
        <v>1381</v>
      </c>
      <c r="B405" t="s">
        <v>1382</v>
      </c>
      <c r="F405" t="s">
        <v>515</v>
      </c>
      <c r="G405" t="s">
        <v>123</v>
      </c>
      <c r="H405" t="s">
        <v>51</v>
      </c>
      <c r="I405" t="s">
        <v>124</v>
      </c>
      <c r="J405" t="s">
        <v>125</v>
      </c>
      <c r="L405" t="s">
        <v>126</v>
      </c>
    </row>
    <row r="406" spans="1:12" x14ac:dyDescent="0.25">
      <c r="A406" t="s">
        <v>1383</v>
      </c>
      <c r="B406" t="s">
        <v>1384</v>
      </c>
      <c r="F406" t="s">
        <v>1385</v>
      </c>
      <c r="G406" t="s">
        <v>123</v>
      </c>
      <c r="H406" t="s">
        <v>51</v>
      </c>
      <c r="I406" t="s">
        <v>124</v>
      </c>
      <c r="J406" t="s">
        <v>125</v>
      </c>
      <c r="L406" t="s">
        <v>126</v>
      </c>
    </row>
    <row r="407" spans="1:12" x14ac:dyDescent="0.25">
      <c r="A407" t="s">
        <v>1386</v>
      </c>
      <c r="B407" t="s">
        <v>1387</v>
      </c>
      <c r="F407" t="s">
        <v>1388</v>
      </c>
      <c r="G407" t="s">
        <v>123</v>
      </c>
      <c r="H407" t="s">
        <v>51</v>
      </c>
      <c r="I407" t="s">
        <v>124</v>
      </c>
      <c r="J407" t="s">
        <v>125</v>
      </c>
      <c r="L407" t="s">
        <v>126</v>
      </c>
    </row>
    <row r="408" spans="1:12" x14ac:dyDescent="0.25">
      <c r="A408" t="s">
        <v>1389</v>
      </c>
      <c r="B408" t="s">
        <v>1390</v>
      </c>
      <c r="F408" t="s">
        <v>1388</v>
      </c>
      <c r="G408" t="s">
        <v>123</v>
      </c>
      <c r="H408" t="s">
        <v>51</v>
      </c>
      <c r="I408" t="s">
        <v>124</v>
      </c>
      <c r="J408" t="s">
        <v>125</v>
      </c>
      <c r="L408" t="s">
        <v>126</v>
      </c>
    </row>
    <row r="409" spans="1:12" x14ac:dyDescent="0.25">
      <c r="A409" t="s">
        <v>1391</v>
      </c>
      <c r="B409" t="s">
        <v>1392</v>
      </c>
      <c r="F409" t="s">
        <v>122</v>
      </c>
      <c r="G409" t="s">
        <v>123</v>
      </c>
      <c r="H409" t="s">
        <v>51</v>
      </c>
      <c r="I409" t="s">
        <v>124</v>
      </c>
      <c r="J409" t="s">
        <v>125</v>
      </c>
      <c r="L409" t="s">
        <v>126</v>
      </c>
    </row>
    <row r="410" spans="1:12" x14ac:dyDescent="0.25">
      <c r="A410" t="s">
        <v>1393</v>
      </c>
      <c r="B410" t="s">
        <v>1394</v>
      </c>
      <c r="F410" t="s">
        <v>1395</v>
      </c>
      <c r="G410" t="s">
        <v>123</v>
      </c>
      <c r="H410" t="s">
        <v>51</v>
      </c>
      <c r="I410" t="s">
        <v>124</v>
      </c>
      <c r="J410" t="s">
        <v>125</v>
      </c>
      <c r="L410" t="s">
        <v>126</v>
      </c>
    </row>
    <row r="411" spans="1:12" x14ac:dyDescent="0.25">
      <c r="A411" t="s">
        <v>1396</v>
      </c>
      <c r="B411" t="s">
        <v>1397</v>
      </c>
      <c r="F411" t="s">
        <v>1395</v>
      </c>
      <c r="G411" t="s">
        <v>123</v>
      </c>
      <c r="H411" t="s">
        <v>51</v>
      </c>
      <c r="I411" t="s">
        <v>124</v>
      </c>
      <c r="J411" t="s">
        <v>125</v>
      </c>
      <c r="L411" t="s">
        <v>126</v>
      </c>
    </row>
    <row r="412" spans="1:12" x14ac:dyDescent="0.25">
      <c r="A412" t="s">
        <v>1398</v>
      </c>
      <c r="B412" t="s">
        <v>1399</v>
      </c>
      <c r="F412" t="s">
        <v>833</v>
      </c>
      <c r="G412" t="s">
        <v>50</v>
      </c>
      <c r="H412" t="s">
        <v>51</v>
      </c>
      <c r="I412" t="s">
        <v>1400</v>
      </c>
      <c r="J412" t="s">
        <v>1401</v>
      </c>
      <c r="L412" t="s">
        <v>54</v>
      </c>
    </row>
    <row r="413" spans="1:12" x14ac:dyDescent="0.25">
      <c r="A413" t="s">
        <v>1402</v>
      </c>
      <c r="B413" t="s">
        <v>1403</v>
      </c>
      <c r="F413" t="s">
        <v>1404</v>
      </c>
      <c r="G413" t="s">
        <v>123</v>
      </c>
      <c r="H413" t="s">
        <v>51</v>
      </c>
      <c r="I413" t="s">
        <v>124</v>
      </c>
      <c r="J413" t="s">
        <v>125</v>
      </c>
      <c r="L413" t="s">
        <v>126</v>
      </c>
    </row>
    <row r="414" spans="1:12" x14ac:dyDescent="0.25">
      <c r="A414" t="s">
        <v>1405</v>
      </c>
      <c r="B414" t="s">
        <v>1406</v>
      </c>
      <c r="F414" t="s">
        <v>1407</v>
      </c>
      <c r="G414" t="s">
        <v>123</v>
      </c>
      <c r="H414" t="s">
        <v>51</v>
      </c>
      <c r="I414" t="s">
        <v>124</v>
      </c>
      <c r="J414" t="s">
        <v>125</v>
      </c>
      <c r="L414" t="s">
        <v>126</v>
      </c>
    </row>
    <row r="415" spans="1:12" x14ac:dyDescent="0.25">
      <c r="A415" t="s">
        <v>1408</v>
      </c>
      <c r="B415" t="s">
        <v>1409</v>
      </c>
      <c r="F415" t="s">
        <v>1410</v>
      </c>
      <c r="G415" t="s">
        <v>123</v>
      </c>
      <c r="H415" t="s">
        <v>51</v>
      </c>
      <c r="I415" t="s">
        <v>124</v>
      </c>
      <c r="J415" t="s">
        <v>125</v>
      </c>
      <c r="L415" t="s">
        <v>126</v>
      </c>
    </row>
    <row r="416" spans="1:12" x14ac:dyDescent="0.25">
      <c r="A416" t="s">
        <v>1411</v>
      </c>
      <c r="B416" t="s">
        <v>1412</v>
      </c>
      <c r="F416" t="s">
        <v>1413</v>
      </c>
      <c r="G416" t="s">
        <v>123</v>
      </c>
      <c r="H416" t="s">
        <v>51</v>
      </c>
      <c r="I416" t="s">
        <v>124</v>
      </c>
      <c r="J416" t="s">
        <v>125</v>
      </c>
      <c r="L416" t="s">
        <v>126</v>
      </c>
    </row>
    <row r="417" spans="1:12" x14ac:dyDescent="0.25">
      <c r="A417" t="s">
        <v>1414</v>
      </c>
      <c r="B417" t="s">
        <v>1415</v>
      </c>
      <c r="F417" t="s">
        <v>1416</v>
      </c>
      <c r="G417" t="s">
        <v>123</v>
      </c>
      <c r="H417" t="s">
        <v>51</v>
      </c>
      <c r="I417" t="s">
        <v>124</v>
      </c>
      <c r="J417" t="s">
        <v>125</v>
      </c>
      <c r="L417" t="s">
        <v>126</v>
      </c>
    </row>
    <row r="418" spans="1:12" x14ac:dyDescent="0.25">
      <c r="A418" t="s">
        <v>1417</v>
      </c>
      <c r="B418" t="s">
        <v>1418</v>
      </c>
      <c r="F418" t="s">
        <v>1419</v>
      </c>
      <c r="G418" t="s">
        <v>123</v>
      </c>
      <c r="H418" t="s">
        <v>51</v>
      </c>
      <c r="I418" t="s">
        <v>124</v>
      </c>
      <c r="J418" t="s">
        <v>125</v>
      </c>
      <c r="L418" t="s">
        <v>126</v>
      </c>
    </row>
    <row r="419" spans="1:12" x14ac:dyDescent="0.25">
      <c r="A419" t="s">
        <v>1420</v>
      </c>
      <c r="B419" t="s">
        <v>1421</v>
      </c>
      <c r="F419" t="s">
        <v>932</v>
      </c>
      <c r="G419" t="s">
        <v>123</v>
      </c>
      <c r="H419" t="s">
        <v>51</v>
      </c>
      <c r="I419" t="s">
        <v>124</v>
      </c>
      <c r="J419" t="s">
        <v>125</v>
      </c>
      <c r="L419" t="s">
        <v>126</v>
      </c>
    </row>
    <row r="420" spans="1:12" x14ac:dyDescent="0.25">
      <c r="A420" t="s">
        <v>1422</v>
      </c>
      <c r="B420" t="s">
        <v>1423</v>
      </c>
      <c r="C420" t="s">
        <v>1424</v>
      </c>
      <c r="F420" t="s">
        <v>1425</v>
      </c>
      <c r="G420" t="s">
        <v>1426</v>
      </c>
      <c r="H420" t="s">
        <v>51</v>
      </c>
      <c r="I420" t="s">
        <v>1427</v>
      </c>
      <c r="J420" t="s">
        <v>1428</v>
      </c>
      <c r="L420" t="s">
        <v>1429</v>
      </c>
    </row>
    <row r="421" spans="1:12" x14ac:dyDescent="0.25">
      <c r="A421" t="s">
        <v>1430</v>
      </c>
      <c r="B421" t="s">
        <v>1431</v>
      </c>
      <c r="C421" t="s">
        <v>1432</v>
      </c>
      <c r="F421" t="s">
        <v>74</v>
      </c>
      <c r="G421" t="s">
        <v>1426</v>
      </c>
      <c r="H421" t="s">
        <v>51</v>
      </c>
      <c r="I421" t="s">
        <v>1427</v>
      </c>
      <c r="J421" t="s">
        <v>1428</v>
      </c>
      <c r="L421" t="s">
        <v>1429</v>
      </c>
    </row>
    <row r="422" spans="1:12" x14ac:dyDescent="0.25">
      <c r="A422" t="s">
        <v>1433</v>
      </c>
      <c r="C422" t="s">
        <v>1434</v>
      </c>
      <c r="E422" t="s">
        <v>1435</v>
      </c>
      <c r="F422" t="s">
        <v>1436</v>
      </c>
      <c r="G422" t="s">
        <v>1426</v>
      </c>
      <c r="H422" t="s">
        <v>51</v>
      </c>
      <c r="I422" t="s">
        <v>1427</v>
      </c>
      <c r="J422" t="s">
        <v>1428</v>
      </c>
      <c r="L422" t="s">
        <v>1429</v>
      </c>
    </row>
    <row r="423" spans="1:12" x14ac:dyDescent="0.25">
      <c r="A423" t="s">
        <v>1437</v>
      </c>
      <c r="C423" t="s">
        <v>1438</v>
      </c>
      <c r="E423" t="s">
        <v>1439</v>
      </c>
      <c r="F423" t="s">
        <v>1440</v>
      </c>
      <c r="G423" t="s">
        <v>1426</v>
      </c>
      <c r="H423" t="s">
        <v>51</v>
      </c>
      <c r="I423" t="s">
        <v>1427</v>
      </c>
      <c r="J423" t="s">
        <v>1428</v>
      </c>
      <c r="L423" t="s">
        <v>1429</v>
      </c>
    </row>
    <row r="424" spans="1:12" x14ac:dyDescent="0.25">
      <c r="A424" t="s">
        <v>1441</v>
      </c>
      <c r="C424" t="s">
        <v>1442</v>
      </c>
      <c r="E424" t="s">
        <v>1443</v>
      </c>
      <c r="F424" t="s">
        <v>242</v>
      </c>
      <c r="G424" t="s">
        <v>1426</v>
      </c>
      <c r="H424" t="s">
        <v>51</v>
      </c>
      <c r="I424" t="s">
        <v>1427</v>
      </c>
      <c r="J424" t="s">
        <v>1428</v>
      </c>
      <c r="L424" t="s">
        <v>1429</v>
      </c>
    </row>
    <row r="425" spans="1:12" x14ac:dyDescent="0.25">
      <c r="A425" t="s">
        <v>1444</v>
      </c>
      <c r="B425" t="s">
        <v>1445</v>
      </c>
      <c r="F425" t="s">
        <v>1446</v>
      </c>
      <c r="G425" t="s">
        <v>50</v>
      </c>
      <c r="H425" t="s">
        <v>51</v>
      </c>
      <c r="I425" t="s">
        <v>1400</v>
      </c>
      <c r="J425" t="s">
        <v>1401</v>
      </c>
      <c r="L425" t="s">
        <v>54</v>
      </c>
    </row>
    <row r="426" spans="1:12" x14ac:dyDescent="0.25">
      <c r="A426" t="s">
        <v>1447</v>
      </c>
      <c r="B426" t="s">
        <v>1448</v>
      </c>
      <c r="F426" t="s">
        <v>78</v>
      </c>
      <c r="G426" t="s">
        <v>50</v>
      </c>
      <c r="H426" t="s">
        <v>51</v>
      </c>
      <c r="I426" t="s">
        <v>1400</v>
      </c>
      <c r="J426" t="s">
        <v>1401</v>
      </c>
      <c r="L426" t="s">
        <v>54</v>
      </c>
    </row>
    <row r="427" spans="1:12" x14ac:dyDescent="0.25">
      <c r="A427" t="s">
        <v>1449</v>
      </c>
      <c r="B427" t="s">
        <v>1450</v>
      </c>
      <c r="C427" t="s">
        <v>1451</v>
      </c>
      <c r="F427" t="s">
        <v>878</v>
      </c>
      <c r="G427" t="s">
        <v>1426</v>
      </c>
      <c r="H427" t="s">
        <v>51</v>
      </c>
      <c r="I427" t="s">
        <v>1427</v>
      </c>
      <c r="J427" t="s">
        <v>1452</v>
      </c>
      <c r="L427" t="s">
        <v>54</v>
      </c>
    </row>
    <row r="428" spans="1:12" x14ac:dyDescent="0.25">
      <c r="A428" t="s">
        <v>1453</v>
      </c>
      <c r="B428" t="s">
        <v>1454</v>
      </c>
      <c r="F428" t="s">
        <v>1455</v>
      </c>
      <c r="G428" t="s">
        <v>50</v>
      </c>
      <c r="H428" t="s">
        <v>51</v>
      </c>
      <c r="I428" t="s">
        <v>954</v>
      </c>
      <c r="J428" t="s">
        <v>1456</v>
      </c>
      <c r="L428" t="s">
        <v>946</v>
      </c>
    </row>
    <row r="429" spans="1:12" x14ac:dyDescent="0.25">
      <c r="A429" t="s">
        <v>1457</v>
      </c>
      <c r="B429" t="s">
        <v>1458</v>
      </c>
      <c r="F429" t="s">
        <v>1459</v>
      </c>
      <c r="G429" t="s">
        <v>1460</v>
      </c>
      <c r="H429" t="s">
        <v>51</v>
      </c>
      <c r="I429" t="s">
        <v>1461</v>
      </c>
      <c r="J429" t="s">
        <v>1462</v>
      </c>
      <c r="L429" t="s">
        <v>54</v>
      </c>
    </row>
    <row r="430" spans="1:12" x14ac:dyDescent="0.25">
      <c r="A430" t="s">
        <v>1463</v>
      </c>
      <c r="B430" t="s">
        <v>1464</v>
      </c>
      <c r="C430" t="s">
        <v>1465</v>
      </c>
      <c r="F430" t="s">
        <v>1466</v>
      </c>
      <c r="G430" t="s">
        <v>1467</v>
      </c>
      <c r="H430" t="s">
        <v>51</v>
      </c>
      <c r="I430" t="s">
        <v>1468</v>
      </c>
      <c r="J430" t="s">
        <v>1469</v>
      </c>
      <c r="L430" t="s">
        <v>54</v>
      </c>
    </row>
    <row r="431" spans="1:12" x14ac:dyDescent="0.25">
      <c r="A431" t="s">
        <v>1470</v>
      </c>
      <c r="B431" t="s">
        <v>1471</v>
      </c>
      <c r="C431" t="s">
        <v>1472</v>
      </c>
      <c r="F431" t="s">
        <v>1473</v>
      </c>
      <c r="G431" t="s">
        <v>1467</v>
      </c>
      <c r="H431" t="s">
        <v>51</v>
      </c>
      <c r="I431" t="s">
        <v>1468</v>
      </c>
      <c r="J431" t="s">
        <v>1469</v>
      </c>
      <c r="L431" t="s">
        <v>54</v>
      </c>
    </row>
    <row r="432" spans="1:12" x14ac:dyDescent="0.25">
      <c r="A432" t="s">
        <v>1474</v>
      </c>
      <c r="B432" t="s">
        <v>1475</v>
      </c>
      <c r="C432" t="s">
        <v>1476</v>
      </c>
      <c r="F432" t="s">
        <v>1477</v>
      </c>
      <c r="G432" t="s">
        <v>1467</v>
      </c>
      <c r="H432" t="s">
        <v>51</v>
      </c>
      <c r="I432" t="s">
        <v>1468</v>
      </c>
      <c r="J432" t="s">
        <v>1469</v>
      </c>
      <c r="L432" t="s">
        <v>54</v>
      </c>
    </row>
    <row r="433" spans="1:12" x14ac:dyDescent="0.25">
      <c r="A433" t="s">
        <v>1478</v>
      </c>
      <c r="B433" t="s">
        <v>1479</v>
      </c>
      <c r="C433" t="s">
        <v>1480</v>
      </c>
      <c r="F433" t="s">
        <v>1481</v>
      </c>
      <c r="G433" t="s">
        <v>1467</v>
      </c>
      <c r="H433" t="s">
        <v>51</v>
      </c>
      <c r="I433" t="s">
        <v>1468</v>
      </c>
      <c r="J433" t="s">
        <v>1469</v>
      </c>
      <c r="L433" t="s">
        <v>54</v>
      </c>
    </row>
    <row r="434" spans="1:12" x14ac:dyDescent="0.25">
      <c r="A434" t="s">
        <v>1482</v>
      </c>
      <c r="B434" t="s">
        <v>1483</v>
      </c>
      <c r="C434" t="s">
        <v>1484</v>
      </c>
      <c r="F434" t="s">
        <v>1485</v>
      </c>
      <c r="G434" t="s">
        <v>1467</v>
      </c>
      <c r="H434" t="s">
        <v>51</v>
      </c>
      <c r="I434" t="s">
        <v>1468</v>
      </c>
      <c r="J434" t="s">
        <v>1469</v>
      </c>
      <c r="L434" t="s">
        <v>54</v>
      </c>
    </row>
    <row r="435" spans="1:12" x14ac:dyDescent="0.25">
      <c r="A435" t="s">
        <v>1486</v>
      </c>
      <c r="B435" t="s">
        <v>1487</v>
      </c>
      <c r="C435" t="s">
        <v>1488</v>
      </c>
      <c r="F435" t="s">
        <v>1489</v>
      </c>
      <c r="G435" t="s">
        <v>1467</v>
      </c>
      <c r="H435" t="s">
        <v>51</v>
      </c>
      <c r="I435" t="s">
        <v>1468</v>
      </c>
      <c r="J435" t="s">
        <v>1469</v>
      </c>
      <c r="L435" t="s">
        <v>54</v>
      </c>
    </row>
    <row r="436" spans="1:12" x14ac:dyDescent="0.25">
      <c r="A436" t="s">
        <v>1490</v>
      </c>
      <c r="B436" t="s">
        <v>1491</v>
      </c>
      <c r="C436" t="s">
        <v>1492</v>
      </c>
      <c r="F436" t="s">
        <v>1493</v>
      </c>
      <c r="G436" t="s">
        <v>1467</v>
      </c>
      <c r="H436" t="s">
        <v>51</v>
      </c>
      <c r="I436" t="s">
        <v>1468</v>
      </c>
      <c r="J436" t="s">
        <v>1469</v>
      </c>
      <c r="L436" t="s">
        <v>54</v>
      </c>
    </row>
    <row r="437" spans="1:12" x14ac:dyDescent="0.25">
      <c r="A437" t="s">
        <v>1494</v>
      </c>
      <c r="B437" t="s">
        <v>1495</v>
      </c>
      <c r="C437" t="s">
        <v>1496</v>
      </c>
      <c r="F437" t="s">
        <v>1497</v>
      </c>
      <c r="G437" t="s">
        <v>1467</v>
      </c>
      <c r="H437" t="s">
        <v>51</v>
      </c>
      <c r="I437" t="s">
        <v>1468</v>
      </c>
      <c r="J437" t="s">
        <v>1469</v>
      </c>
      <c r="L437" t="s">
        <v>54</v>
      </c>
    </row>
    <row r="438" spans="1:12" x14ac:dyDescent="0.25">
      <c r="A438" t="s">
        <v>1498</v>
      </c>
      <c r="B438" t="s">
        <v>1499</v>
      </c>
      <c r="C438" t="s">
        <v>1500</v>
      </c>
      <c r="F438" t="s">
        <v>1501</v>
      </c>
      <c r="G438" t="s">
        <v>1467</v>
      </c>
      <c r="H438" t="s">
        <v>51</v>
      </c>
      <c r="I438" t="s">
        <v>1468</v>
      </c>
      <c r="J438" t="s">
        <v>1469</v>
      </c>
      <c r="L438" t="s">
        <v>54</v>
      </c>
    </row>
    <row r="439" spans="1:12" x14ac:dyDescent="0.25">
      <c r="A439" t="s">
        <v>1502</v>
      </c>
      <c r="B439" t="s">
        <v>1503</v>
      </c>
      <c r="C439" t="s">
        <v>1504</v>
      </c>
      <c r="F439" t="s">
        <v>1505</v>
      </c>
      <c r="G439" t="s">
        <v>1467</v>
      </c>
      <c r="H439" t="s">
        <v>51</v>
      </c>
      <c r="I439" t="s">
        <v>1468</v>
      </c>
      <c r="J439" t="s">
        <v>1469</v>
      </c>
      <c r="L439" t="s">
        <v>54</v>
      </c>
    </row>
    <row r="440" spans="1:12" x14ac:dyDescent="0.25">
      <c r="A440" t="s">
        <v>1506</v>
      </c>
      <c r="B440" t="s">
        <v>1507</v>
      </c>
      <c r="C440" t="s">
        <v>1508</v>
      </c>
      <c r="F440" t="s">
        <v>1509</v>
      </c>
      <c r="G440" t="s">
        <v>1467</v>
      </c>
      <c r="H440" t="s">
        <v>51</v>
      </c>
      <c r="I440" t="s">
        <v>1468</v>
      </c>
      <c r="J440" t="s">
        <v>1469</v>
      </c>
      <c r="L440" t="s">
        <v>54</v>
      </c>
    </row>
    <row r="441" spans="1:12" x14ac:dyDescent="0.25">
      <c r="A441" t="s">
        <v>1510</v>
      </c>
      <c r="B441" t="s">
        <v>1511</v>
      </c>
      <c r="C441" t="s">
        <v>1512</v>
      </c>
      <c r="F441" t="s">
        <v>1513</v>
      </c>
      <c r="G441" t="s">
        <v>1467</v>
      </c>
      <c r="H441" t="s">
        <v>51</v>
      </c>
      <c r="I441" t="s">
        <v>1468</v>
      </c>
      <c r="J441" t="s">
        <v>1469</v>
      </c>
      <c r="L441" t="s">
        <v>54</v>
      </c>
    </row>
    <row r="442" spans="1:12" x14ac:dyDescent="0.25">
      <c r="A442" t="s">
        <v>1514</v>
      </c>
      <c r="B442" t="s">
        <v>1515</v>
      </c>
      <c r="F442" t="s">
        <v>1516</v>
      </c>
      <c r="G442" t="s">
        <v>1467</v>
      </c>
      <c r="H442" t="s">
        <v>51</v>
      </c>
      <c r="I442" t="s">
        <v>1468</v>
      </c>
      <c r="J442" t="s">
        <v>1469</v>
      </c>
      <c r="L442" t="s">
        <v>54</v>
      </c>
    </row>
    <row r="443" spans="1:12" x14ac:dyDescent="0.25">
      <c r="A443" t="s">
        <v>1517</v>
      </c>
      <c r="B443" t="s">
        <v>1518</v>
      </c>
      <c r="C443" t="s">
        <v>1519</v>
      </c>
      <c r="F443" t="s">
        <v>1520</v>
      </c>
      <c r="G443" t="s">
        <v>1467</v>
      </c>
      <c r="H443" t="s">
        <v>51</v>
      </c>
      <c r="I443" t="s">
        <v>1468</v>
      </c>
      <c r="J443" t="s">
        <v>1469</v>
      </c>
      <c r="L443" t="s">
        <v>54</v>
      </c>
    </row>
    <row r="444" spans="1:12" x14ac:dyDescent="0.25">
      <c r="A444" t="s">
        <v>1521</v>
      </c>
      <c r="B444" t="s">
        <v>1522</v>
      </c>
      <c r="F444" t="s">
        <v>1523</v>
      </c>
      <c r="G444" t="s">
        <v>1467</v>
      </c>
      <c r="H444" t="s">
        <v>51</v>
      </c>
      <c r="I444" t="s">
        <v>1468</v>
      </c>
      <c r="J444" t="s">
        <v>1469</v>
      </c>
      <c r="L444" t="s">
        <v>54</v>
      </c>
    </row>
    <row r="445" spans="1:12" x14ac:dyDescent="0.25">
      <c r="A445" t="s">
        <v>1524</v>
      </c>
      <c r="B445" t="s">
        <v>1525</v>
      </c>
      <c r="F445" t="s">
        <v>1526</v>
      </c>
      <c r="G445" t="s">
        <v>1467</v>
      </c>
      <c r="H445" t="s">
        <v>51</v>
      </c>
      <c r="I445" t="s">
        <v>1468</v>
      </c>
      <c r="J445" t="s">
        <v>1469</v>
      </c>
      <c r="L445" t="s">
        <v>54</v>
      </c>
    </row>
    <row r="446" spans="1:12" x14ac:dyDescent="0.25">
      <c r="A446" t="s">
        <v>1527</v>
      </c>
      <c r="B446" t="s">
        <v>1528</v>
      </c>
      <c r="F446" t="s">
        <v>1529</v>
      </c>
      <c r="G446" t="s">
        <v>1467</v>
      </c>
      <c r="H446" t="s">
        <v>51</v>
      </c>
      <c r="I446" t="s">
        <v>1468</v>
      </c>
      <c r="J446" t="s">
        <v>1469</v>
      </c>
      <c r="L446" t="s">
        <v>54</v>
      </c>
    </row>
    <row r="447" spans="1:12" x14ac:dyDescent="0.25">
      <c r="A447" t="s">
        <v>1530</v>
      </c>
      <c r="B447" t="s">
        <v>1531</v>
      </c>
      <c r="F447" t="s">
        <v>1532</v>
      </c>
      <c r="G447" t="s">
        <v>1467</v>
      </c>
      <c r="H447" t="s">
        <v>51</v>
      </c>
      <c r="I447" t="s">
        <v>1468</v>
      </c>
      <c r="J447" t="s">
        <v>1469</v>
      </c>
      <c r="L447" t="s">
        <v>54</v>
      </c>
    </row>
    <row r="448" spans="1:12" x14ac:dyDescent="0.25">
      <c r="A448" t="s">
        <v>1533</v>
      </c>
      <c r="B448" t="s">
        <v>1534</v>
      </c>
      <c r="F448" t="s">
        <v>1535</v>
      </c>
      <c r="G448" t="s">
        <v>1467</v>
      </c>
      <c r="H448" t="s">
        <v>51</v>
      </c>
      <c r="I448" t="s">
        <v>1468</v>
      </c>
      <c r="J448" t="s">
        <v>1469</v>
      </c>
      <c r="L448" t="s">
        <v>54</v>
      </c>
    </row>
    <row r="449" spans="1:12" x14ac:dyDescent="0.25">
      <c r="A449" t="s">
        <v>1536</v>
      </c>
      <c r="E449" t="s">
        <v>1537</v>
      </c>
      <c r="F449" t="s">
        <v>1538</v>
      </c>
      <c r="G449" t="s">
        <v>1467</v>
      </c>
      <c r="H449" t="s">
        <v>51</v>
      </c>
      <c r="I449" t="s">
        <v>1468</v>
      </c>
      <c r="J449" t="s">
        <v>1469</v>
      </c>
      <c r="L449" t="s">
        <v>54</v>
      </c>
    </row>
    <row r="450" spans="1:12" x14ac:dyDescent="0.25">
      <c r="A450" t="s">
        <v>1539</v>
      </c>
      <c r="B450" t="s">
        <v>1540</v>
      </c>
      <c r="F450" t="s">
        <v>1541</v>
      </c>
      <c r="G450" t="s">
        <v>1467</v>
      </c>
      <c r="H450" t="s">
        <v>51</v>
      </c>
      <c r="I450" t="s">
        <v>1468</v>
      </c>
      <c r="J450" t="s">
        <v>1469</v>
      </c>
      <c r="L450" t="s">
        <v>54</v>
      </c>
    </row>
    <row r="451" spans="1:12" x14ac:dyDescent="0.25">
      <c r="A451" t="s">
        <v>1542</v>
      </c>
      <c r="B451" t="s">
        <v>1543</v>
      </c>
      <c r="F451" t="s">
        <v>1532</v>
      </c>
      <c r="G451" t="s">
        <v>1467</v>
      </c>
      <c r="H451" t="s">
        <v>51</v>
      </c>
      <c r="I451" t="s">
        <v>1468</v>
      </c>
      <c r="J451" t="s">
        <v>1469</v>
      </c>
      <c r="L451" t="s">
        <v>54</v>
      </c>
    </row>
    <row r="452" spans="1:12" x14ac:dyDescent="0.25">
      <c r="A452" t="s">
        <v>1544</v>
      </c>
      <c r="B452" t="s">
        <v>1545</v>
      </c>
      <c r="F452" t="s">
        <v>1546</v>
      </c>
      <c r="G452" t="s">
        <v>1467</v>
      </c>
      <c r="H452" t="s">
        <v>51</v>
      </c>
      <c r="I452" t="s">
        <v>1468</v>
      </c>
      <c r="J452" t="s">
        <v>1469</v>
      </c>
      <c r="L452" t="s">
        <v>54</v>
      </c>
    </row>
    <row r="453" spans="1:12" x14ac:dyDescent="0.25">
      <c r="A453" t="s">
        <v>1547</v>
      </c>
      <c r="B453" t="s">
        <v>1548</v>
      </c>
      <c r="F453" t="s">
        <v>1549</v>
      </c>
      <c r="G453" t="s">
        <v>1467</v>
      </c>
      <c r="H453" t="s">
        <v>51</v>
      </c>
      <c r="I453" t="s">
        <v>1468</v>
      </c>
      <c r="J453" t="s">
        <v>1469</v>
      </c>
      <c r="L453" t="s">
        <v>54</v>
      </c>
    </row>
    <row r="454" spans="1:12" x14ac:dyDescent="0.25">
      <c r="A454" t="s">
        <v>1550</v>
      </c>
      <c r="B454" t="s">
        <v>1551</v>
      </c>
      <c r="F454" t="s">
        <v>1552</v>
      </c>
      <c r="G454" t="s">
        <v>1467</v>
      </c>
      <c r="H454" t="s">
        <v>51</v>
      </c>
      <c r="I454" t="s">
        <v>1468</v>
      </c>
      <c r="J454" t="s">
        <v>1469</v>
      </c>
      <c r="L454" t="s">
        <v>54</v>
      </c>
    </row>
    <row r="455" spans="1:12" x14ac:dyDescent="0.25">
      <c r="A455" t="s">
        <v>1553</v>
      </c>
      <c r="B455" t="s">
        <v>1554</v>
      </c>
      <c r="F455" t="s">
        <v>1541</v>
      </c>
      <c r="G455" t="s">
        <v>1467</v>
      </c>
      <c r="H455" t="s">
        <v>51</v>
      </c>
      <c r="I455" t="s">
        <v>1468</v>
      </c>
      <c r="J455" t="s">
        <v>1469</v>
      </c>
      <c r="L455" t="s">
        <v>54</v>
      </c>
    </row>
    <row r="456" spans="1:12" x14ac:dyDescent="0.25">
      <c r="A456" t="s">
        <v>1555</v>
      </c>
      <c r="B456" t="s">
        <v>1556</v>
      </c>
      <c r="F456" t="s">
        <v>1541</v>
      </c>
      <c r="G456" t="s">
        <v>1467</v>
      </c>
      <c r="H456" t="s">
        <v>51</v>
      </c>
      <c r="I456" t="s">
        <v>1468</v>
      </c>
      <c r="J456" t="s">
        <v>1469</v>
      </c>
      <c r="L456" t="s">
        <v>54</v>
      </c>
    </row>
    <row r="457" spans="1:12" x14ac:dyDescent="0.25">
      <c r="A457" t="s">
        <v>1557</v>
      </c>
      <c r="B457" t="s">
        <v>1558</v>
      </c>
      <c r="F457" t="s">
        <v>1559</v>
      </c>
      <c r="G457" t="s">
        <v>1467</v>
      </c>
      <c r="H457" t="s">
        <v>51</v>
      </c>
      <c r="I457" t="s">
        <v>1468</v>
      </c>
      <c r="J457" t="s">
        <v>1469</v>
      </c>
      <c r="L457" t="s">
        <v>54</v>
      </c>
    </row>
    <row r="458" spans="1:12" x14ac:dyDescent="0.25">
      <c r="A458" t="s">
        <v>1560</v>
      </c>
      <c r="B458" t="s">
        <v>1561</v>
      </c>
      <c r="F458" t="s">
        <v>1562</v>
      </c>
      <c r="G458" t="s">
        <v>1467</v>
      </c>
      <c r="H458" t="s">
        <v>51</v>
      </c>
      <c r="I458" t="s">
        <v>1468</v>
      </c>
      <c r="J458" t="s">
        <v>1469</v>
      </c>
      <c r="L458" t="s">
        <v>54</v>
      </c>
    </row>
    <row r="459" spans="1:12" x14ac:dyDescent="0.25">
      <c r="A459" t="s">
        <v>1563</v>
      </c>
      <c r="B459" t="s">
        <v>1564</v>
      </c>
      <c r="F459" t="s">
        <v>1565</v>
      </c>
      <c r="G459" t="s">
        <v>1467</v>
      </c>
      <c r="H459" t="s">
        <v>51</v>
      </c>
      <c r="I459" t="s">
        <v>1468</v>
      </c>
      <c r="J459" t="s">
        <v>1469</v>
      </c>
      <c r="L459" t="s">
        <v>54</v>
      </c>
    </row>
    <row r="460" spans="1:12" x14ac:dyDescent="0.25">
      <c r="A460" t="s">
        <v>1566</v>
      </c>
      <c r="B460" t="s">
        <v>1567</v>
      </c>
      <c r="F460" t="s">
        <v>1568</v>
      </c>
      <c r="G460" t="s">
        <v>1467</v>
      </c>
      <c r="H460" t="s">
        <v>51</v>
      </c>
      <c r="I460" t="s">
        <v>1468</v>
      </c>
      <c r="J460" t="s">
        <v>1469</v>
      </c>
      <c r="L460" t="s">
        <v>54</v>
      </c>
    </row>
    <row r="461" spans="1:12" x14ac:dyDescent="0.25">
      <c r="A461" t="s">
        <v>1569</v>
      </c>
      <c r="B461" t="s">
        <v>1570</v>
      </c>
      <c r="F461" t="s">
        <v>1571</v>
      </c>
      <c r="G461" t="s">
        <v>1467</v>
      </c>
      <c r="H461" t="s">
        <v>51</v>
      </c>
      <c r="I461" t="s">
        <v>1468</v>
      </c>
      <c r="J461" t="s">
        <v>1469</v>
      </c>
      <c r="L461" t="s">
        <v>54</v>
      </c>
    </row>
    <row r="462" spans="1:12" x14ac:dyDescent="0.25">
      <c r="A462" t="s">
        <v>1572</v>
      </c>
      <c r="E462" t="s">
        <v>1573</v>
      </c>
      <c r="F462" t="s">
        <v>1574</v>
      </c>
      <c r="G462" t="s">
        <v>1467</v>
      </c>
      <c r="H462" t="s">
        <v>51</v>
      </c>
      <c r="I462" t="s">
        <v>1468</v>
      </c>
      <c r="J462" t="s">
        <v>1469</v>
      </c>
      <c r="L462" t="s">
        <v>54</v>
      </c>
    </row>
    <row r="463" spans="1:12" x14ac:dyDescent="0.25">
      <c r="A463" t="s">
        <v>1575</v>
      </c>
      <c r="C463" t="s">
        <v>1576</v>
      </c>
      <c r="E463" t="s">
        <v>1577</v>
      </c>
      <c r="F463" t="s">
        <v>1578</v>
      </c>
      <c r="G463" t="s">
        <v>1467</v>
      </c>
      <c r="H463" t="s">
        <v>51</v>
      </c>
      <c r="I463" t="s">
        <v>1468</v>
      </c>
      <c r="J463" t="s">
        <v>1469</v>
      </c>
      <c r="L463" t="s">
        <v>54</v>
      </c>
    </row>
    <row r="464" spans="1:12" x14ac:dyDescent="0.25">
      <c r="A464" t="s">
        <v>1579</v>
      </c>
      <c r="E464" t="s">
        <v>1580</v>
      </c>
      <c r="F464" t="s">
        <v>1581</v>
      </c>
      <c r="G464" t="s">
        <v>1467</v>
      </c>
      <c r="H464" t="s">
        <v>51</v>
      </c>
      <c r="I464" t="s">
        <v>1468</v>
      </c>
      <c r="J464" t="s">
        <v>1469</v>
      </c>
      <c r="L464" t="s">
        <v>54</v>
      </c>
    </row>
    <row r="465" spans="1:12" x14ac:dyDescent="0.25">
      <c r="A465" t="s">
        <v>1582</v>
      </c>
      <c r="B465" t="s">
        <v>1583</v>
      </c>
      <c r="F465" t="s">
        <v>1584</v>
      </c>
      <c r="G465" t="s">
        <v>1585</v>
      </c>
      <c r="H465" t="s">
        <v>51</v>
      </c>
      <c r="I465" t="s">
        <v>1586</v>
      </c>
      <c r="J465" t="s">
        <v>1587</v>
      </c>
      <c r="L465" t="s">
        <v>1271</v>
      </c>
    </row>
    <row r="466" spans="1:12" x14ac:dyDescent="0.25">
      <c r="A466" t="s">
        <v>1588</v>
      </c>
      <c r="B466" t="s">
        <v>1589</v>
      </c>
      <c r="F466" t="s">
        <v>1590</v>
      </c>
      <c r="G466" t="s">
        <v>123</v>
      </c>
      <c r="H466" t="s">
        <v>51</v>
      </c>
      <c r="I466" t="s">
        <v>124</v>
      </c>
      <c r="J466" t="s">
        <v>125</v>
      </c>
      <c r="L466" t="s">
        <v>126</v>
      </c>
    </row>
    <row r="467" spans="1:12" x14ac:dyDescent="0.25">
      <c r="A467" t="s">
        <v>1591</v>
      </c>
      <c r="B467" t="s">
        <v>1592</v>
      </c>
      <c r="F467" t="s">
        <v>1593</v>
      </c>
      <c r="G467" t="s">
        <v>123</v>
      </c>
      <c r="H467" t="s">
        <v>51</v>
      </c>
      <c r="I467" t="s">
        <v>124</v>
      </c>
      <c r="J467" t="s">
        <v>125</v>
      </c>
      <c r="L467" t="s">
        <v>126</v>
      </c>
    </row>
    <row r="468" spans="1:12" x14ac:dyDescent="0.25">
      <c r="A468" t="s">
        <v>1594</v>
      </c>
      <c r="B468" t="s">
        <v>1595</v>
      </c>
      <c r="F468" t="s">
        <v>1596</v>
      </c>
      <c r="G468" t="s">
        <v>123</v>
      </c>
      <c r="H468" t="s">
        <v>51</v>
      </c>
      <c r="I468" t="s">
        <v>124</v>
      </c>
      <c r="J468" t="s">
        <v>125</v>
      </c>
      <c r="L468" t="s">
        <v>126</v>
      </c>
    </row>
    <row r="469" spans="1:12" x14ac:dyDescent="0.25">
      <c r="A469" t="s">
        <v>1597</v>
      </c>
      <c r="B469" t="s">
        <v>1598</v>
      </c>
      <c r="F469" t="s">
        <v>1596</v>
      </c>
      <c r="G469" t="s">
        <v>123</v>
      </c>
      <c r="H469" t="s">
        <v>51</v>
      </c>
      <c r="I469" t="s">
        <v>124</v>
      </c>
      <c r="J469" t="s">
        <v>125</v>
      </c>
      <c r="L469" t="s">
        <v>126</v>
      </c>
    </row>
    <row r="470" spans="1:12" x14ac:dyDescent="0.25">
      <c r="A470" t="s">
        <v>1599</v>
      </c>
      <c r="B470" t="s">
        <v>1600</v>
      </c>
      <c r="F470" t="s">
        <v>1601</v>
      </c>
      <c r="G470" t="s">
        <v>123</v>
      </c>
      <c r="H470" t="s">
        <v>51</v>
      </c>
      <c r="I470" t="s">
        <v>124</v>
      </c>
      <c r="J470" t="s">
        <v>125</v>
      </c>
      <c r="L470" t="s">
        <v>126</v>
      </c>
    </row>
    <row r="471" spans="1:12" x14ac:dyDescent="0.25">
      <c r="A471" t="s">
        <v>1602</v>
      </c>
      <c r="B471" t="s">
        <v>1603</v>
      </c>
      <c r="F471" t="s">
        <v>885</v>
      </c>
      <c r="G471" t="s">
        <v>123</v>
      </c>
      <c r="H471" t="s">
        <v>51</v>
      </c>
      <c r="I471" t="s">
        <v>124</v>
      </c>
      <c r="J471" t="s">
        <v>125</v>
      </c>
      <c r="L471" t="s">
        <v>126</v>
      </c>
    </row>
    <row r="472" spans="1:12" x14ac:dyDescent="0.25">
      <c r="A472" t="s">
        <v>1604</v>
      </c>
      <c r="B472" t="s">
        <v>1605</v>
      </c>
      <c r="F472" t="s">
        <v>1601</v>
      </c>
      <c r="G472" t="s">
        <v>123</v>
      </c>
      <c r="H472" t="s">
        <v>51</v>
      </c>
      <c r="I472" t="s">
        <v>124</v>
      </c>
      <c r="J472" t="s">
        <v>125</v>
      </c>
      <c r="L472" t="s">
        <v>126</v>
      </c>
    </row>
    <row r="473" spans="1:12" x14ac:dyDescent="0.25">
      <c r="A473" t="s">
        <v>1606</v>
      </c>
      <c r="B473" t="s">
        <v>1607</v>
      </c>
      <c r="F473" t="s">
        <v>1608</v>
      </c>
      <c r="G473" t="s">
        <v>123</v>
      </c>
      <c r="H473" t="s">
        <v>51</v>
      </c>
      <c r="I473" t="s">
        <v>124</v>
      </c>
      <c r="J473" t="s">
        <v>125</v>
      </c>
      <c r="L473" t="s">
        <v>126</v>
      </c>
    </row>
    <row r="474" spans="1:12" x14ac:dyDescent="0.25">
      <c r="A474" t="s">
        <v>1609</v>
      </c>
      <c r="B474" t="s">
        <v>1610</v>
      </c>
      <c r="F474" t="s">
        <v>932</v>
      </c>
      <c r="G474" t="s">
        <v>123</v>
      </c>
      <c r="H474" t="s">
        <v>51</v>
      </c>
      <c r="I474" t="s">
        <v>124</v>
      </c>
      <c r="J474" t="s">
        <v>125</v>
      </c>
      <c r="L474" t="s">
        <v>126</v>
      </c>
    </row>
    <row r="475" spans="1:12" x14ac:dyDescent="0.25">
      <c r="A475" t="s">
        <v>1611</v>
      </c>
      <c r="B475" t="s">
        <v>1612</v>
      </c>
      <c r="F475" t="s">
        <v>1395</v>
      </c>
      <c r="G475" t="s">
        <v>123</v>
      </c>
      <c r="H475" t="s">
        <v>51</v>
      </c>
      <c r="I475" t="s">
        <v>124</v>
      </c>
      <c r="J475" t="s">
        <v>125</v>
      </c>
      <c r="L475" t="s">
        <v>126</v>
      </c>
    </row>
    <row r="476" spans="1:12" x14ac:dyDescent="0.25">
      <c r="A476" t="s">
        <v>1613</v>
      </c>
      <c r="B476" t="s">
        <v>1614</v>
      </c>
      <c r="F476" t="s">
        <v>1395</v>
      </c>
      <c r="G476" t="s">
        <v>123</v>
      </c>
      <c r="H476" t="s">
        <v>51</v>
      </c>
      <c r="I476" t="s">
        <v>124</v>
      </c>
      <c r="J476" t="s">
        <v>125</v>
      </c>
      <c r="L476" t="s">
        <v>126</v>
      </c>
    </row>
    <row r="477" spans="1:12" x14ac:dyDescent="0.25">
      <c r="A477" t="s">
        <v>1615</v>
      </c>
      <c r="B477" t="s">
        <v>1616</v>
      </c>
      <c r="F477" t="s">
        <v>1617</v>
      </c>
      <c r="G477" t="s">
        <v>123</v>
      </c>
      <c r="H477" t="s">
        <v>51</v>
      </c>
      <c r="I477" t="s">
        <v>124</v>
      </c>
      <c r="J477" t="s">
        <v>125</v>
      </c>
      <c r="L477" t="s">
        <v>126</v>
      </c>
    </row>
    <row r="478" spans="1:12" x14ac:dyDescent="0.25">
      <c r="A478" t="s">
        <v>1618</v>
      </c>
      <c r="B478" t="s">
        <v>1605</v>
      </c>
      <c r="F478" t="s">
        <v>1601</v>
      </c>
      <c r="G478" t="s">
        <v>123</v>
      </c>
      <c r="H478" t="s">
        <v>51</v>
      </c>
      <c r="I478" t="s">
        <v>124</v>
      </c>
      <c r="J478" t="s">
        <v>125</v>
      </c>
      <c r="L478" t="s">
        <v>126</v>
      </c>
    </row>
    <row r="479" spans="1:12" x14ac:dyDescent="0.25">
      <c r="A479" t="s">
        <v>1619</v>
      </c>
      <c r="B479" t="s">
        <v>1620</v>
      </c>
      <c r="F479" t="s">
        <v>703</v>
      </c>
      <c r="G479" t="s">
        <v>123</v>
      </c>
      <c r="H479" t="s">
        <v>51</v>
      </c>
      <c r="I479" t="s">
        <v>124</v>
      </c>
      <c r="J479" t="s">
        <v>125</v>
      </c>
      <c r="L479" t="s">
        <v>126</v>
      </c>
    </row>
    <row r="480" spans="1:12" x14ac:dyDescent="0.25">
      <c r="A480" t="s">
        <v>1621</v>
      </c>
      <c r="B480" t="s">
        <v>1622</v>
      </c>
      <c r="F480" t="s">
        <v>932</v>
      </c>
      <c r="G480" t="s">
        <v>123</v>
      </c>
      <c r="H480" t="s">
        <v>51</v>
      </c>
      <c r="I480" t="s">
        <v>124</v>
      </c>
      <c r="J480" t="s">
        <v>125</v>
      </c>
      <c r="L480" t="s">
        <v>126</v>
      </c>
    </row>
    <row r="481" spans="1:12" x14ac:dyDescent="0.25">
      <c r="A481" t="s">
        <v>1623</v>
      </c>
      <c r="B481" t="s">
        <v>1624</v>
      </c>
      <c r="F481" t="s">
        <v>1625</v>
      </c>
      <c r="G481" t="s">
        <v>123</v>
      </c>
      <c r="H481" t="s">
        <v>51</v>
      </c>
      <c r="I481" t="s">
        <v>124</v>
      </c>
      <c r="J481" t="s">
        <v>125</v>
      </c>
      <c r="L481" t="s">
        <v>126</v>
      </c>
    </row>
    <row r="482" spans="1:12" x14ac:dyDescent="0.25">
      <c r="A482" t="s">
        <v>1626</v>
      </c>
      <c r="B482" t="s">
        <v>1627</v>
      </c>
      <c r="F482" t="s">
        <v>1625</v>
      </c>
      <c r="G482" t="s">
        <v>123</v>
      </c>
      <c r="H482" t="s">
        <v>51</v>
      </c>
      <c r="I482" t="s">
        <v>124</v>
      </c>
      <c r="J482" t="s">
        <v>125</v>
      </c>
      <c r="L482" t="s">
        <v>126</v>
      </c>
    </row>
    <row r="483" spans="1:12" x14ac:dyDescent="0.25">
      <c r="A483" t="s">
        <v>1628</v>
      </c>
      <c r="B483" t="s">
        <v>1629</v>
      </c>
      <c r="F483" t="s">
        <v>1410</v>
      </c>
      <c r="G483" t="s">
        <v>123</v>
      </c>
      <c r="H483" t="s">
        <v>51</v>
      </c>
      <c r="I483" t="s">
        <v>124</v>
      </c>
      <c r="J483" t="s">
        <v>125</v>
      </c>
      <c r="L483" t="s">
        <v>126</v>
      </c>
    </row>
    <row r="484" spans="1:12" x14ac:dyDescent="0.25">
      <c r="A484" t="s">
        <v>1630</v>
      </c>
      <c r="B484" t="s">
        <v>1631</v>
      </c>
      <c r="F484" t="s">
        <v>1632</v>
      </c>
      <c r="G484" t="s">
        <v>123</v>
      </c>
      <c r="H484" t="s">
        <v>51</v>
      </c>
      <c r="I484" t="s">
        <v>124</v>
      </c>
      <c r="J484" t="s">
        <v>125</v>
      </c>
      <c r="L484" t="s">
        <v>126</v>
      </c>
    </row>
    <row r="485" spans="1:12" x14ac:dyDescent="0.25">
      <c r="A485" t="s">
        <v>1633</v>
      </c>
      <c r="B485" t="s">
        <v>1607</v>
      </c>
      <c r="F485" t="s">
        <v>1608</v>
      </c>
      <c r="G485" t="s">
        <v>123</v>
      </c>
      <c r="H485" t="s">
        <v>51</v>
      </c>
      <c r="I485" t="s">
        <v>124</v>
      </c>
      <c r="J485" t="s">
        <v>125</v>
      </c>
      <c r="L485" t="s">
        <v>126</v>
      </c>
    </row>
    <row r="486" spans="1:12" x14ac:dyDescent="0.25">
      <c r="A486" t="s">
        <v>1634</v>
      </c>
      <c r="B486" t="s">
        <v>1635</v>
      </c>
      <c r="F486" t="s">
        <v>1636</v>
      </c>
      <c r="G486" t="s">
        <v>123</v>
      </c>
      <c r="H486" t="s">
        <v>51</v>
      </c>
      <c r="I486" t="s">
        <v>124</v>
      </c>
      <c r="J486" t="s">
        <v>125</v>
      </c>
      <c r="L486" t="s">
        <v>126</v>
      </c>
    </row>
    <row r="487" spans="1:12" x14ac:dyDescent="0.25">
      <c r="A487" t="s">
        <v>1637</v>
      </c>
      <c r="B487" t="s">
        <v>1638</v>
      </c>
      <c r="F487" t="s">
        <v>1596</v>
      </c>
      <c r="G487" t="s">
        <v>123</v>
      </c>
      <c r="H487" t="s">
        <v>51</v>
      </c>
      <c r="I487" t="s">
        <v>124</v>
      </c>
      <c r="J487" t="s">
        <v>125</v>
      </c>
      <c r="L487" t="s">
        <v>126</v>
      </c>
    </row>
    <row r="488" spans="1:12" x14ac:dyDescent="0.25">
      <c r="A488" t="s">
        <v>1639</v>
      </c>
      <c r="B488" t="s">
        <v>1640</v>
      </c>
      <c r="F488" t="s">
        <v>1632</v>
      </c>
      <c r="G488" t="s">
        <v>123</v>
      </c>
      <c r="H488" t="s">
        <v>51</v>
      </c>
      <c r="I488" t="s">
        <v>124</v>
      </c>
      <c r="J488" t="s">
        <v>125</v>
      </c>
      <c r="L488" t="s">
        <v>126</v>
      </c>
    </row>
    <row r="489" spans="1:12" x14ac:dyDescent="0.25">
      <c r="A489" t="s">
        <v>1641</v>
      </c>
      <c r="B489" t="s">
        <v>1642</v>
      </c>
      <c r="F489" t="s">
        <v>1632</v>
      </c>
      <c r="G489" t="s">
        <v>123</v>
      </c>
      <c r="H489" t="s">
        <v>51</v>
      </c>
      <c r="I489" t="s">
        <v>124</v>
      </c>
      <c r="J489" t="s">
        <v>125</v>
      </c>
      <c r="L489" t="s">
        <v>126</v>
      </c>
    </row>
    <row r="490" spans="1:12" x14ac:dyDescent="0.25">
      <c r="A490" t="s">
        <v>1643</v>
      </c>
      <c r="B490" t="s">
        <v>1644</v>
      </c>
      <c r="F490" t="s">
        <v>1632</v>
      </c>
      <c r="G490" t="s">
        <v>123</v>
      </c>
      <c r="H490" t="s">
        <v>51</v>
      </c>
      <c r="I490" t="s">
        <v>124</v>
      </c>
      <c r="J490" t="s">
        <v>125</v>
      </c>
      <c r="L490" t="s">
        <v>126</v>
      </c>
    </row>
    <row r="491" spans="1:12" x14ac:dyDescent="0.25">
      <c r="A491" t="s">
        <v>1645</v>
      </c>
      <c r="B491" t="s">
        <v>1646</v>
      </c>
      <c r="F491" t="s">
        <v>1647</v>
      </c>
      <c r="G491" t="s">
        <v>50</v>
      </c>
      <c r="H491" t="s">
        <v>51</v>
      </c>
      <c r="I491" t="s">
        <v>1648</v>
      </c>
      <c r="J491" t="s">
        <v>1649</v>
      </c>
      <c r="L491" t="s">
        <v>54</v>
      </c>
    </row>
    <row r="492" spans="1:12" x14ac:dyDescent="0.25">
      <c r="A492" t="s">
        <v>1650</v>
      </c>
      <c r="B492" t="s">
        <v>1651</v>
      </c>
      <c r="F492" t="s">
        <v>90</v>
      </c>
      <c r="G492" t="s">
        <v>50</v>
      </c>
      <c r="H492" t="s">
        <v>51</v>
      </c>
      <c r="I492" t="s">
        <v>1652</v>
      </c>
      <c r="J492" t="s">
        <v>945</v>
      </c>
      <c r="L492" t="s">
        <v>1271</v>
      </c>
    </row>
    <row r="493" spans="1:12" x14ac:dyDescent="0.25">
      <c r="A493" t="s">
        <v>1653</v>
      </c>
      <c r="B493" t="s">
        <v>1654</v>
      </c>
      <c r="F493" t="s">
        <v>468</v>
      </c>
      <c r="G493" t="s">
        <v>50</v>
      </c>
      <c r="H493" t="s">
        <v>51</v>
      </c>
      <c r="I493" t="s">
        <v>1655</v>
      </c>
      <c r="J493" t="s">
        <v>1656</v>
      </c>
      <c r="L493" t="s">
        <v>1291</v>
      </c>
    </row>
    <row r="494" spans="1:12" x14ac:dyDescent="0.25">
      <c r="A494" t="s">
        <v>1657</v>
      </c>
      <c r="B494" t="s">
        <v>1658</v>
      </c>
      <c r="F494" t="s">
        <v>310</v>
      </c>
      <c r="G494" t="s">
        <v>50</v>
      </c>
      <c r="H494" t="s">
        <v>51</v>
      </c>
      <c r="I494" t="s">
        <v>1659</v>
      </c>
      <c r="J494" t="s">
        <v>1660</v>
      </c>
      <c r="L494" t="s">
        <v>54</v>
      </c>
    </row>
    <row r="495" spans="1:12" x14ac:dyDescent="0.25">
      <c r="A495" t="s">
        <v>1661</v>
      </c>
      <c r="B495" t="s">
        <v>1662</v>
      </c>
      <c r="F495" t="s">
        <v>703</v>
      </c>
      <c r="G495" t="s">
        <v>1663</v>
      </c>
      <c r="H495" t="s">
        <v>51</v>
      </c>
      <c r="I495" t="s">
        <v>1664</v>
      </c>
      <c r="J495" t="s">
        <v>1665</v>
      </c>
      <c r="L495" t="s">
        <v>1271</v>
      </c>
    </row>
    <row r="496" spans="1:12" x14ac:dyDescent="0.25">
      <c r="A496" t="s">
        <v>1666</v>
      </c>
      <c r="B496" t="s">
        <v>1667</v>
      </c>
      <c r="F496" t="s">
        <v>632</v>
      </c>
      <c r="G496" t="s">
        <v>1663</v>
      </c>
      <c r="H496" t="s">
        <v>51</v>
      </c>
      <c r="I496" t="s">
        <v>1664</v>
      </c>
      <c r="J496" t="s">
        <v>1665</v>
      </c>
      <c r="L496" t="s">
        <v>1271</v>
      </c>
    </row>
    <row r="497" spans="1:12" x14ac:dyDescent="0.25">
      <c r="A497" t="s">
        <v>1668</v>
      </c>
      <c r="B497" t="s">
        <v>1669</v>
      </c>
      <c r="F497" t="s">
        <v>1670</v>
      </c>
      <c r="G497" t="s">
        <v>1663</v>
      </c>
      <c r="H497" t="s">
        <v>51</v>
      </c>
      <c r="I497" t="s">
        <v>1664</v>
      </c>
      <c r="J497" t="s">
        <v>1665</v>
      </c>
      <c r="L497" t="s">
        <v>1271</v>
      </c>
    </row>
    <row r="498" spans="1:12" x14ac:dyDescent="0.25">
      <c r="A498" t="s">
        <v>1671</v>
      </c>
      <c r="B498" t="s">
        <v>1672</v>
      </c>
      <c r="F498" t="s">
        <v>1673</v>
      </c>
      <c r="G498" t="s">
        <v>1663</v>
      </c>
      <c r="H498" t="s">
        <v>51</v>
      </c>
      <c r="I498" t="s">
        <v>1664</v>
      </c>
      <c r="J498" t="s">
        <v>1665</v>
      </c>
      <c r="L498" t="s">
        <v>1271</v>
      </c>
    </row>
    <row r="499" spans="1:12" x14ac:dyDescent="0.25">
      <c r="A499" t="s">
        <v>1674</v>
      </c>
      <c r="B499" t="s">
        <v>1675</v>
      </c>
      <c r="F499" t="s">
        <v>1676</v>
      </c>
      <c r="G499" t="s">
        <v>1663</v>
      </c>
      <c r="H499" t="s">
        <v>51</v>
      </c>
      <c r="I499" t="s">
        <v>1664</v>
      </c>
      <c r="J499" t="s">
        <v>1677</v>
      </c>
      <c r="L499" t="s">
        <v>1271</v>
      </c>
    </row>
    <row r="500" spans="1:12" x14ac:dyDescent="0.25">
      <c r="A500" t="s">
        <v>1678</v>
      </c>
      <c r="B500" t="s">
        <v>1679</v>
      </c>
      <c r="F500" t="s">
        <v>1680</v>
      </c>
      <c r="G500" t="s">
        <v>1681</v>
      </c>
      <c r="H500" t="s">
        <v>51</v>
      </c>
      <c r="I500" t="s">
        <v>1682</v>
      </c>
      <c r="J500" t="s">
        <v>1683</v>
      </c>
      <c r="L500" t="s">
        <v>1684</v>
      </c>
    </row>
    <row r="501" spans="1:12" x14ac:dyDescent="0.25">
      <c r="A501" t="s">
        <v>1685</v>
      </c>
      <c r="B501" t="s">
        <v>1686</v>
      </c>
      <c r="C501" t="s">
        <v>1687</v>
      </c>
      <c r="F501" t="s">
        <v>1459</v>
      </c>
      <c r="G501" t="s">
        <v>1681</v>
      </c>
      <c r="H501" t="s">
        <v>51</v>
      </c>
      <c r="I501" t="s">
        <v>1682</v>
      </c>
      <c r="J501" t="s">
        <v>1683</v>
      </c>
      <c r="L501" t="s">
        <v>1684</v>
      </c>
    </row>
    <row r="502" spans="1:12" x14ac:dyDescent="0.25">
      <c r="A502" t="s">
        <v>1688</v>
      </c>
      <c r="B502" t="s">
        <v>1689</v>
      </c>
      <c r="C502" t="s">
        <v>1690</v>
      </c>
      <c r="F502" t="s">
        <v>1593</v>
      </c>
      <c r="G502" t="s">
        <v>1681</v>
      </c>
      <c r="H502" t="s">
        <v>51</v>
      </c>
      <c r="I502" t="s">
        <v>1682</v>
      </c>
      <c r="J502" t="s">
        <v>1691</v>
      </c>
      <c r="L502" t="s">
        <v>1271</v>
      </c>
    </row>
    <row r="503" spans="1:12" x14ac:dyDescent="0.25">
      <c r="A503" t="s">
        <v>1692</v>
      </c>
      <c r="B503" t="s">
        <v>1693</v>
      </c>
      <c r="C503" t="s">
        <v>1694</v>
      </c>
      <c r="F503" t="s">
        <v>1590</v>
      </c>
      <c r="G503" t="s">
        <v>1681</v>
      </c>
      <c r="H503" t="s">
        <v>51</v>
      </c>
      <c r="I503" t="s">
        <v>1682</v>
      </c>
      <c r="J503" t="s">
        <v>1691</v>
      </c>
      <c r="L503" t="s">
        <v>1271</v>
      </c>
    </row>
    <row r="504" spans="1:12" x14ac:dyDescent="0.25">
      <c r="A504" t="s">
        <v>1695</v>
      </c>
      <c r="B504" t="s">
        <v>1696</v>
      </c>
      <c r="C504" t="s">
        <v>1697</v>
      </c>
      <c r="F504" t="s">
        <v>1698</v>
      </c>
      <c r="G504" t="s">
        <v>1681</v>
      </c>
      <c r="H504" t="s">
        <v>51</v>
      </c>
      <c r="I504" t="s">
        <v>1682</v>
      </c>
      <c r="J504" t="s">
        <v>1683</v>
      </c>
      <c r="L504" t="s">
        <v>1271</v>
      </c>
    </row>
    <row r="505" spans="1:12" x14ac:dyDescent="0.25">
      <c r="A505" t="s">
        <v>1699</v>
      </c>
      <c r="B505" t="s">
        <v>1700</v>
      </c>
      <c r="C505" t="s">
        <v>1701</v>
      </c>
      <c r="F505" t="s">
        <v>1702</v>
      </c>
      <c r="G505" t="s">
        <v>1681</v>
      </c>
      <c r="H505" t="s">
        <v>51</v>
      </c>
      <c r="I505" t="s">
        <v>1682</v>
      </c>
      <c r="J505" t="s">
        <v>1683</v>
      </c>
      <c r="L505" t="s">
        <v>1271</v>
      </c>
    </row>
    <row r="506" spans="1:12" x14ac:dyDescent="0.25">
      <c r="A506" t="s">
        <v>1703</v>
      </c>
      <c r="B506" t="s">
        <v>1704</v>
      </c>
      <c r="C506" t="s">
        <v>1705</v>
      </c>
      <c r="F506" t="s">
        <v>1706</v>
      </c>
      <c r="G506" t="s">
        <v>1681</v>
      </c>
      <c r="H506" t="s">
        <v>51</v>
      </c>
      <c r="I506" t="s">
        <v>1682</v>
      </c>
      <c r="J506" t="s">
        <v>1683</v>
      </c>
      <c r="L506" t="s">
        <v>1429</v>
      </c>
    </row>
    <row r="507" spans="1:12" x14ac:dyDescent="0.25">
      <c r="A507" t="s">
        <v>1707</v>
      </c>
      <c r="B507" t="s">
        <v>1708</v>
      </c>
      <c r="C507" t="s">
        <v>1709</v>
      </c>
      <c r="F507" t="s">
        <v>1706</v>
      </c>
      <c r="G507" t="s">
        <v>1681</v>
      </c>
      <c r="H507" t="s">
        <v>51</v>
      </c>
      <c r="I507" t="s">
        <v>1682</v>
      </c>
      <c r="J507" t="s">
        <v>1683</v>
      </c>
      <c r="L507" t="s">
        <v>1429</v>
      </c>
    </row>
    <row r="508" spans="1:12" x14ac:dyDescent="0.25">
      <c r="A508" t="s">
        <v>1710</v>
      </c>
      <c r="B508" t="s">
        <v>1711</v>
      </c>
      <c r="C508" t="s">
        <v>1712</v>
      </c>
      <c r="F508" t="s">
        <v>1713</v>
      </c>
      <c r="G508" t="s">
        <v>1681</v>
      </c>
      <c r="H508" t="s">
        <v>51</v>
      </c>
      <c r="I508" t="s">
        <v>1682</v>
      </c>
      <c r="J508" t="s">
        <v>1683</v>
      </c>
      <c r="L508" t="s">
        <v>1429</v>
      </c>
    </row>
    <row r="509" spans="1:12" x14ac:dyDescent="0.25">
      <c r="A509" t="s">
        <v>1714</v>
      </c>
      <c r="B509" t="s">
        <v>1715</v>
      </c>
      <c r="C509" t="s">
        <v>1716</v>
      </c>
      <c r="F509" t="s">
        <v>1713</v>
      </c>
      <c r="G509" t="s">
        <v>1681</v>
      </c>
      <c r="H509" t="s">
        <v>51</v>
      </c>
      <c r="I509" t="s">
        <v>1682</v>
      </c>
      <c r="J509" t="s">
        <v>1683</v>
      </c>
      <c r="L509" t="s">
        <v>1429</v>
      </c>
    </row>
    <row r="510" spans="1:12" x14ac:dyDescent="0.25">
      <c r="A510" t="s">
        <v>1717</v>
      </c>
      <c r="B510" t="s">
        <v>1718</v>
      </c>
      <c r="C510" t="s">
        <v>1719</v>
      </c>
      <c r="F510" t="s">
        <v>1706</v>
      </c>
      <c r="G510" t="s">
        <v>1681</v>
      </c>
      <c r="H510" t="s">
        <v>51</v>
      </c>
      <c r="I510" t="s">
        <v>1682</v>
      </c>
      <c r="J510" t="s">
        <v>1683</v>
      </c>
      <c r="L510" t="s">
        <v>1429</v>
      </c>
    </row>
    <row r="511" spans="1:12" x14ac:dyDescent="0.25">
      <c r="A511" t="s">
        <v>1720</v>
      </c>
      <c r="C511" t="s">
        <v>1721</v>
      </c>
      <c r="E511" t="s">
        <v>1573</v>
      </c>
      <c r="F511" t="s">
        <v>1189</v>
      </c>
      <c r="G511" t="s">
        <v>1722</v>
      </c>
      <c r="H511" t="s">
        <v>51</v>
      </c>
      <c r="I511" t="s">
        <v>1723</v>
      </c>
      <c r="J511" t="s">
        <v>1724</v>
      </c>
      <c r="L511" t="s">
        <v>1271</v>
      </c>
    </row>
    <row r="512" spans="1:12" x14ac:dyDescent="0.25">
      <c r="A512" t="s">
        <v>1725</v>
      </c>
      <c r="B512" t="s">
        <v>1726</v>
      </c>
      <c r="C512" t="s">
        <v>1727</v>
      </c>
      <c r="F512" t="s">
        <v>398</v>
      </c>
      <c r="G512" t="s">
        <v>1722</v>
      </c>
      <c r="H512" t="s">
        <v>51</v>
      </c>
      <c r="I512" t="s">
        <v>1723</v>
      </c>
      <c r="J512" t="s">
        <v>1724</v>
      </c>
      <c r="L512" t="s">
        <v>1271</v>
      </c>
    </row>
    <row r="513" spans="1:12" x14ac:dyDescent="0.25">
      <c r="A513" t="s">
        <v>1728</v>
      </c>
      <c r="B513" t="s">
        <v>1729</v>
      </c>
      <c r="C513" t="s">
        <v>1730</v>
      </c>
      <c r="F513" t="s">
        <v>277</v>
      </c>
      <c r="G513" t="s">
        <v>1722</v>
      </c>
      <c r="H513" t="s">
        <v>51</v>
      </c>
      <c r="I513" t="s">
        <v>1723</v>
      </c>
      <c r="J513" t="s">
        <v>1724</v>
      </c>
      <c r="L513" t="s">
        <v>1271</v>
      </c>
    </row>
    <row r="514" spans="1:12" x14ac:dyDescent="0.25">
      <c r="A514" t="s">
        <v>1731</v>
      </c>
      <c r="B514" t="s">
        <v>1732</v>
      </c>
      <c r="C514" t="s">
        <v>1733</v>
      </c>
      <c r="F514" t="s">
        <v>1734</v>
      </c>
      <c r="G514" t="s">
        <v>1722</v>
      </c>
      <c r="H514" t="s">
        <v>51</v>
      </c>
      <c r="I514" t="s">
        <v>1723</v>
      </c>
      <c r="J514" t="s">
        <v>1724</v>
      </c>
      <c r="L514" t="s">
        <v>1271</v>
      </c>
    </row>
    <row r="515" spans="1:12" x14ac:dyDescent="0.25">
      <c r="A515" t="s">
        <v>1735</v>
      </c>
      <c r="C515" t="s">
        <v>1736</v>
      </c>
      <c r="E515" t="s">
        <v>1737</v>
      </c>
      <c r="F515" t="s">
        <v>1738</v>
      </c>
      <c r="G515" t="s">
        <v>1722</v>
      </c>
      <c r="H515" t="s">
        <v>51</v>
      </c>
      <c r="I515" t="s">
        <v>1723</v>
      </c>
      <c r="J515" t="s">
        <v>1724</v>
      </c>
      <c r="L515" t="s">
        <v>1271</v>
      </c>
    </row>
    <row r="516" spans="1:12" x14ac:dyDescent="0.25">
      <c r="A516" t="s">
        <v>1739</v>
      </c>
      <c r="B516" t="s">
        <v>1740</v>
      </c>
      <c r="C516" t="s">
        <v>1741</v>
      </c>
      <c r="F516" t="s">
        <v>1742</v>
      </c>
      <c r="G516" t="s">
        <v>1722</v>
      </c>
      <c r="H516" t="s">
        <v>51</v>
      </c>
      <c r="I516" t="s">
        <v>1723</v>
      </c>
      <c r="J516" t="s">
        <v>1724</v>
      </c>
      <c r="L516" t="s">
        <v>1271</v>
      </c>
    </row>
    <row r="517" spans="1:12" x14ac:dyDescent="0.25">
      <c r="A517" t="s">
        <v>1743</v>
      </c>
      <c r="B517" t="s">
        <v>1744</v>
      </c>
      <c r="F517" t="s">
        <v>1385</v>
      </c>
      <c r="G517" t="s">
        <v>123</v>
      </c>
      <c r="H517" t="s">
        <v>51</v>
      </c>
      <c r="I517" t="s">
        <v>124</v>
      </c>
      <c r="J517" t="s">
        <v>125</v>
      </c>
      <c r="L517" t="s">
        <v>126</v>
      </c>
    </row>
    <row r="518" spans="1:12" x14ac:dyDescent="0.25">
      <c r="A518" t="s">
        <v>1745</v>
      </c>
      <c r="B518" t="s">
        <v>1746</v>
      </c>
      <c r="F518" t="s">
        <v>1385</v>
      </c>
      <c r="G518" t="s">
        <v>123</v>
      </c>
      <c r="H518" t="s">
        <v>51</v>
      </c>
      <c r="I518" t="s">
        <v>124</v>
      </c>
      <c r="J518" t="s">
        <v>125</v>
      </c>
      <c r="L518" t="s">
        <v>126</v>
      </c>
    </row>
    <row r="519" spans="1:12" x14ac:dyDescent="0.25">
      <c r="A519" t="s">
        <v>1747</v>
      </c>
      <c r="B519" t="s">
        <v>1748</v>
      </c>
      <c r="F519" t="s">
        <v>1385</v>
      </c>
      <c r="G519" t="s">
        <v>123</v>
      </c>
      <c r="H519" t="s">
        <v>51</v>
      </c>
      <c r="I519" t="s">
        <v>124</v>
      </c>
      <c r="J519" t="s">
        <v>125</v>
      </c>
      <c r="L519" t="s">
        <v>126</v>
      </c>
    </row>
    <row r="520" spans="1:12" x14ac:dyDescent="0.25">
      <c r="A520" t="s">
        <v>1749</v>
      </c>
      <c r="B520" t="s">
        <v>1750</v>
      </c>
      <c r="F520" t="s">
        <v>1385</v>
      </c>
      <c r="G520" t="s">
        <v>123</v>
      </c>
      <c r="H520" t="s">
        <v>51</v>
      </c>
      <c r="I520" t="s">
        <v>124</v>
      </c>
      <c r="J520" t="s">
        <v>125</v>
      </c>
      <c r="L520" t="s">
        <v>126</v>
      </c>
    </row>
    <row r="521" spans="1:12" x14ac:dyDescent="0.25">
      <c r="A521" t="s">
        <v>1751</v>
      </c>
      <c r="B521" t="s">
        <v>1752</v>
      </c>
      <c r="F521" t="s">
        <v>1385</v>
      </c>
      <c r="G521" t="s">
        <v>123</v>
      </c>
      <c r="H521" t="s">
        <v>51</v>
      </c>
      <c r="I521" t="s">
        <v>124</v>
      </c>
      <c r="J521" t="s">
        <v>125</v>
      </c>
      <c r="L521" t="s">
        <v>126</v>
      </c>
    </row>
    <row r="522" spans="1:12" x14ac:dyDescent="0.25">
      <c r="A522" t="s">
        <v>1753</v>
      </c>
      <c r="B522" t="s">
        <v>1754</v>
      </c>
      <c r="C522" t="s">
        <v>1755</v>
      </c>
      <c r="F522" t="s">
        <v>1756</v>
      </c>
      <c r="G522" t="s">
        <v>1681</v>
      </c>
      <c r="H522" t="s">
        <v>51</v>
      </c>
      <c r="I522" t="s">
        <v>1682</v>
      </c>
      <c r="J522" t="s">
        <v>1691</v>
      </c>
      <c r="L522" t="s">
        <v>1271</v>
      </c>
    </row>
    <row r="523" spans="1:12" x14ac:dyDescent="0.25">
      <c r="A523" t="s">
        <v>1757</v>
      </c>
      <c r="B523" t="s">
        <v>1758</v>
      </c>
      <c r="C523" t="s">
        <v>1759</v>
      </c>
      <c r="F523" t="s">
        <v>1760</v>
      </c>
      <c r="G523" t="s">
        <v>1681</v>
      </c>
      <c r="H523" t="s">
        <v>51</v>
      </c>
      <c r="I523" t="s">
        <v>1682</v>
      </c>
      <c r="J523" t="s">
        <v>1691</v>
      </c>
      <c r="L523" t="s">
        <v>1271</v>
      </c>
    </row>
    <row r="524" spans="1:12" x14ac:dyDescent="0.25">
      <c r="A524" t="s">
        <v>1761</v>
      </c>
      <c r="B524" t="s">
        <v>1762</v>
      </c>
      <c r="C524" t="s">
        <v>1763</v>
      </c>
      <c r="F524" t="s">
        <v>1385</v>
      </c>
      <c r="G524" t="s">
        <v>1681</v>
      </c>
      <c r="H524" t="s">
        <v>51</v>
      </c>
      <c r="I524" t="s">
        <v>1682</v>
      </c>
      <c r="J524" t="s">
        <v>1691</v>
      </c>
      <c r="L524" t="s">
        <v>1271</v>
      </c>
    </row>
    <row r="525" spans="1:12" x14ac:dyDescent="0.25">
      <c r="A525" t="s">
        <v>1764</v>
      </c>
      <c r="B525" t="s">
        <v>1765</v>
      </c>
      <c r="C525" t="s">
        <v>1766</v>
      </c>
      <c r="F525" t="s">
        <v>1767</v>
      </c>
      <c r="G525" t="s">
        <v>1681</v>
      </c>
      <c r="H525" t="s">
        <v>51</v>
      </c>
      <c r="I525" t="s">
        <v>1682</v>
      </c>
      <c r="J525" t="s">
        <v>1691</v>
      </c>
      <c r="L525" t="s">
        <v>1271</v>
      </c>
    </row>
    <row r="526" spans="1:12" x14ac:dyDescent="0.25">
      <c r="A526" t="s">
        <v>1768</v>
      </c>
      <c r="B526" t="s">
        <v>1769</v>
      </c>
      <c r="C526" t="s">
        <v>1770</v>
      </c>
      <c r="F526" t="s">
        <v>1771</v>
      </c>
      <c r="G526" t="s">
        <v>1681</v>
      </c>
      <c r="H526" t="s">
        <v>51</v>
      </c>
      <c r="I526" t="s">
        <v>1682</v>
      </c>
      <c r="J526" t="s">
        <v>1691</v>
      </c>
      <c r="L526" t="s">
        <v>1271</v>
      </c>
    </row>
    <row r="527" spans="1:12" x14ac:dyDescent="0.25">
      <c r="A527" t="s">
        <v>1772</v>
      </c>
      <c r="B527" t="s">
        <v>1773</v>
      </c>
      <c r="C527" t="s">
        <v>1774</v>
      </c>
      <c r="F527" t="s">
        <v>1775</v>
      </c>
      <c r="G527" t="s">
        <v>1681</v>
      </c>
      <c r="H527" t="s">
        <v>51</v>
      </c>
      <c r="I527" t="s">
        <v>1682</v>
      </c>
      <c r="J527" t="s">
        <v>1691</v>
      </c>
      <c r="L527" t="s">
        <v>1271</v>
      </c>
    </row>
    <row r="528" spans="1:12" x14ac:dyDescent="0.25">
      <c r="A528" t="s">
        <v>1776</v>
      </c>
      <c r="B528" t="s">
        <v>1777</v>
      </c>
      <c r="C528" t="s">
        <v>1778</v>
      </c>
      <c r="F528" t="s">
        <v>1779</v>
      </c>
      <c r="G528" t="s">
        <v>1681</v>
      </c>
      <c r="H528" t="s">
        <v>51</v>
      </c>
      <c r="I528" t="s">
        <v>1682</v>
      </c>
      <c r="J528" t="s">
        <v>1691</v>
      </c>
      <c r="L528" t="s">
        <v>1271</v>
      </c>
    </row>
    <row r="529" spans="1:12" x14ac:dyDescent="0.25">
      <c r="A529" t="s">
        <v>1780</v>
      </c>
      <c r="B529" t="s">
        <v>1781</v>
      </c>
      <c r="F529" t="s">
        <v>1593</v>
      </c>
      <c r="G529" t="s">
        <v>1681</v>
      </c>
      <c r="H529" t="s">
        <v>51</v>
      </c>
      <c r="I529" t="s">
        <v>1682</v>
      </c>
      <c r="J529" t="s">
        <v>1691</v>
      </c>
      <c r="L529" t="s">
        <v>1271</v>
      </c>
    </row>
    <row r="530" spans="1:12" x14ac:dyDescent="0.25">
      <c r="A530" t="s">
        <v>1782</v>
      </c>
      <c r="B530" t="s">
        <v>1783</v>
      </c>
      <c r="C530" t="s">
        <v>1784</v>
      </c>
      <c r="F530" t="s">
        <v>1680</v>
      </c>
      <c r="G530" t="s">
        <v>1681</v>
      </c>
      <c r="H530" t="s">
        <v>51</v>
      </c>
      <c r="I530" t="s">
        <v>1682</v>
      </c>
      <c r="J530" t="s">
        <v>1691</v>
      </c>
      <c r="L530" t="s">
        <v>1271</v>
      </c>
    </row>
    <row r="531" spans="1:12" x14ac:dyDescent="0.25">
      <c r="A531" t="s">
        <v>1785</v>
      </c>
      <c r="B531" t="s">
        <v>1786</v>
      </c>
      <c r="C531" t="s">
        <v>1787</v>
      </c>
      <c r="F531" t="s">
        <v>1771</v>
      </c>
      <c r="G531" t="s">
        <v>1681</v>
      </c>
      <c r="H531" t="s">
        <v>51</v>
      </c>
      <c r="I531" t="s">
        <v>1682</v>
      </c>
      <c r="J531" t="s">
        <v>1691</v>
      </c>
      <c r="L531" t="s">
        <v>1271</v>
      </c>
    </row>
    <row r="532" spans="1:12" x14ac:dyDescent="0.25">
      <c r="A532" t="s">
        <v>1788</v>
      </c>
      <c r="B532" t="s">
        <v>1789</v>
      </c>
      <c r="C532" t="s">
        <v>1790</v>
      </c>
      <c r="F532" t="s">
        <v>1791</v>
      </c>
      <c r="G532" t="s">
        <v>1681</v>
      </c>
      <c r="H532" t="s">
        <v>51</v>
      </c>
      <c r="I532" t="s">
        <v>1682</v>
      </c>
      <c r="J532" t="s">
        <v>1691</v>
      </c>
      <c r="L532" t="s">
        <v>1271</v>
      </c>
    </row>
    <row r="533" spans="1:12" x14ac:dyDescent="0.25">
      <c r="A533" t="s">
        <v>1792</v>
      </c>
      <c r="B533" t="s">
        <v>1793</v>
      </c>
      <c r="C533" t="s">
        <v>1794</v>
      </c>
      <c r="F533" t="s">
        <v>1795</v>
      </c>
      <c r="G533" t="s">
        <v>1681</v>
      </c>
      <c r="H533" t="s">
        <v>51</v>
      </c>
      <c r="I533" t="s">
        <v>1682</v>
      </c>
      <c r="J533" t="s">
        <v>1691</v>
      </c>
      <c r="L533" t="s">
        <v>1271</v>
      </c>
    </row>
    <row r="534" spans="1:12" x14ac:dyDescent="0.25">
      <c r="A534" t="s">
        <v>1796</v>
      </c>
      <c r="B534" t="s">
        <v>1797</v>
      </c>
      <c r="C534" t="s">
        <v>1798</v>
      </c>
      <c r="F534" t="s">
        <v>1795</v>
      </c>
      <c r="G534" t="s">
        <v>1681</v>
      </c>
      <c r="H534" t="s">
        <v>51</v>
      </c>
      <c r="I534" t="s">
        <v>1682</v>
      </c>
      <c r="J534" t="s">
        <v>1691</v>
      </c>
      <c r="L534" t="s">
        <v>1271</v>
      </c>
    </row>
    <row r="535" spans="1:12" x14ac:dyDescent="0.25">
      <c r="A535" t="s">
        <v>1799</v>
      </c>
      <c r="B535" t="s">
        <v>1800</v>
      </c>
      <c r="C535" t="s">
        <v>1801</v>
      </c>
      <c r="F535" t="s">
        <v>1795</v>
      </c>
      <c r="G535" t="s">
        <v>1681</v>
      </c>
      <c r="H535" t="s">
        <v>51</v>
      </c>
      <c r="I535" t="s">
        <v>1682</v>
      </c>
      <c r="J535" t="s">
        <v>1691</v>
      </c>
      <c r="L535" t="s">
        <v>1271</v>
      </c>
    </row>
    <row r="536" spans="1:12" x14ac:dyDescent="0.25">
      <c r="A536" t="s">
        <v>1802</v>
      </c>
      <c r="B536" t="s">
        <v>1803</v>
      </c>
      <c r="C536" t="s">
        <v>1804</v>
      </c>
      <c r="F536" t="s">
        <v>1795</v>
      </c>
      <c r="G536" t="s">
        <v>1681</v>
      </c>
      <c r="H536" t="s">
        <v>51</v>
      </c>
      <c r="I536" t="s">
        <v>1682</v>
      </c>
      <c r="J536" t="s">
        <v>1691</v>
      </c>
      <c r="L536" t="s">
        <v>1271</v>
      </c>
    </row>
    <row r="537" spans="1:12" x14ac:dyDescent="0.25">
      <c r="A537" t="s">
        <v>1805</v>
      </c>
      <c r="B537" t="s">
        <v>1806</v>
      </c>
      <c r="F537" t="s">
        <v>1374</v>
      </c>
      <c r="G537" t="s">
        <v>123</v>
      </c>
      <c r="H537" t="s">
        <v>51</v>
      </c>
      <c r="I537" t="s">
        <v>124</v>
      </c>
      <c r="J537" t="s">
        <v>125</v>
      </c>
      <c r="L537" t="s">
        <v>126</v>
      </c>
    </row>
    <row r="538" spans="1:12" x14ac:dyDescent="0.25">
      <c r="A538" t="s">
        <v>1807</v>
      </c>
      <c r="B538" t="s">
        <v>1808</v>
      </c>
      <c r="F538" t="s">
        <v>1809</v>
      </c>
      <c r="G538" t="s">
        <v>123</v>
      </c>
      <c r="H538" t="s">
        <v>51</v>
      </c>
      <c r="I538" t="s">
        <v>124</v>
      </c>
      <c r="J538" t="s">
        <v>125</v>
      </c>
      <c r="L538" t="s">
        <v>126</v>
      </c>
    </row>
    <row r="539" spans="1:12" x14ac:dyDescent="0.25">
      <c r="A539" t="s">
        <v>1810</v>
      </c>
      <c r="B539" t="s">
        <v>1744</v>
      </c>
      <c r="F539" t="s">
        <v>1385</v>
      </c>
      <c r="G539" t="s">
        <v>123</v>
      </c>
      <c r="H539" t="s">
        <v>51</v>
      </c>
      <c r="I539" t="s">
        <v>124</v>
      </c>
      <c r="J539" t="s">
        <v>125</v>
      </c>
      <c r="L539" t="s">
        <v>126</v>
      </c>
    </row>
    <row r="540" spans="1:12" x14ac:dyDescent="0.25">
      <c r="A540" t="s">
        <v>1811</v>
      </c>
      <c r="B540" t="s">
        <v>1812</v>
      </c>
      <c r="F540" t="s">
        <v>966</v>
      </c>
      <c r="G540" t="s">
        <v>123</v>
      </c>
      <c r="H540" t="s">
        <v>51</v>
      </c>
      <c r="I540" t="s">
        <v>124</v>
      </c>
      <c r="J540" t="s">
        <v>125</v>
      </c>
      <c r="L540" t="s">
        <v>126</v>
      </c>
    </row>
    <row r="541" spans="1:12" x14ac:dyDescent="0.25">
      <c r="A541" t="s">
        <v>1813</v>
      </c>
      <c r="B541" t="s">
        <v>1814</v>
      </c>
      <c r="F541" t="s">
        <v>1815</v>
      </c>
      <c r="G541" t="s">
        <v>123</v>
      </c>
      <c r="H541" t="s">
        <v>51</v>
      </c>
      <c r="I541" t="s">
        <v>124</v>
      </c>
      <c r="J541" t="s">
        <v>125</v>
      </c>
      <c r="L541" t="s">
        <v>126</v>
      </c>
    </row>
    <row r="542" spans="1:12" x14ac:dyDescent="0.25">
      <c r="A542" t="s">
        <v>1816</v>
      </c>
      <c r="B542" t="s">
        <v>1817</v>
      </c>
      <c r="F542" t="s">
        <v>966</v>
      </c>
      <c r="G542" t="s">
        <v>123</v>
      </c>
      <c r="H542" t="s">
        <v>51</v>
      </c>
      <c r="I542" t="s">
        <v>124</v>
      </c>
      <c r="J542" t="s">
        <v>125</v>
      </c>
      <c r="L542" t="s">
        <v>126</v>
      </c>
    </row>
    <row r="543" spans="1:12" x14ac:dyDescent="0.25">
      <c r="A543" t="s">
        <v>1818</v>
      </c>
      <c r="B543" t="s">
        <v>1819</v>
      </c>
      <c r="C543" t="s">
        <v>1820</v>
      </c>
      <c r="F543" t="s">
        <v>1821</v>
      </c>
      <c r="G543" t="s">
        <v>1681</v>
      </c>
      <c r="H543" t="s">
        <v>51</v>
      </c>
      <c r="I543" t="s">
        <v>1682</v>
      </c>
      <c r="J543" t="s">
        <v>1691</v>
      </c>
      <c r="L543" t="s">
        <v>1271</v>
      </c>
    </row>
    <row r="544" spans="1:12" x14ac:dyDescent="0.25">
      <c r="A544" t="s">
        <v>1822</v>
      </c>
      <c r="B544" t="s">
        <v>1823</v>
      </c>
      <c r="C544" t="s">
        <v>1824</v>
      </c>
      <c r="F544" t="s">
        <v>1809</v>
      </c>
      <c r="G544" t="s">
        <v>1681</v>
      </c>
      <c r="H544" t="s">
        <v>51</v>
      </c>
      <c r="I544" t="s">
        <v>1682</v>
      </c>
      <c r="J544" t="s">
        <v>1691</v>
      </c>
      <c r="L544" t="s">
        <v>1271</v>
      </c>
    </row>
    <row r="545" spans="1:12" x14ac:dyDescent="0.25">
      <c r="A545" t="s">
        <v>1825</v>
      </c>
      <c r="B545" t="s">
        <v>1826</v>
      </c>
      <c r="C545" t="s">
        <v>1827</v>
      </c>
      <c r="F545" t="s">
        <v>1828</v>
      </c>
      <c r="G545" t="s">
        <v>1681</v>
      </c>
      <c r="H545" t="s">
        <v>51</v>
      </c>
      <c r="I545" t="s">
        <v>1682</v>
      </c>
      <c r="J545" t="s">
        <v>1683</v>
      </c>
      <c r="L545" t="s">
        <v>1271</v>
      </c>
    </row>
    <row r="546" spans="1:12" x14ac:dyDescent="0.25">
      <c r="A546" t="s">
        <v>1829</v>
      </c>
      <c r="B546" t="s">
        <v>1830</v>
      </c>
      <c r="C546" t="s">
        <v>1831</v>
      </c>
      <c r="F546" t="s">
        <v>1593</v>
      </c>
      <c r="G546" t="s">
        <v>1681</v>
      </c>
      <c r="H546" t="s">
        <v>51</v>
      </c>
      <c r="I546" t="s">
        <v>1682</v>
      </c>
      <c r="J546" t="s">
        <v>1683</v>
      </c>
      <c r="L546" t="s">
        <v>1271</v>
      </c>
    </row>
    <row r="547" spans="1:12" x14ac:dyDescent="0.25">
      <c r="A547" t="s">
        <v>1832</v>
      </c>
      <c r="B547" t="s">
        <v>1700</v>
      </c>
      <c r="C547" t="s">
        <v>1701</v>
      </c>
      <c r="F547" t="s">
        <v>1702</v>
      </c>
      <c r="G547" t="s">
        <v>1681</v>
      </c>
      <c r="H547" t="s">
        <v>51</v>
      </c>
      <c r="I547" t="s">
        <v>1682</v>
      </c>
      <c r="J547" t="s">
        <v>1683</v>
      </c>
      <c r="L547" t="s">
        <v>1271</v>
      </c>
    </row>
    <row r="548" spans="1:12" x14ac:dyDescent="0.25">
      <c r="A548" t="s">
        <v>1833</v>
      </c>
      <c r="E548" t="s">
        <v>1834</v>
      </c>
      <c r="F548" t="s">
        <v>1835</v>
      </c>
      <c r="G548" t="s">
        <v>1836</v>
      </c>
      <c r="H548" t="s">
        <v>51</v>
      </c>
      <c r="I548" t="s">
        <v>1837</v>
      </c>
      <c r="J548" t="s">
        <v>1838</v>
      </c>
      <c r="L548" t="s">
        <v>1839</v>
      </c>
    </row>
    <row r="549" spans="1:12" x14ac:dyDescent="0.25">
      <c r="A549" t="s">
        <v>1840</v>
      </c>
      <c r="E549" t="s">
        <v>1841</v>
      </c>
      <c r="F549" t="s">
        <v>1842</v>
      </c>
      <c r="G549" t="s">
        <v>1836</v>
      </c>
      <c r="H549" t="s">
        <v>51</v>
      </c>
      <c r="I549" t="s">
        <v>1837</v>
      </c>
      <c r="J549" t="s">
        <v>1838</v>
      </c>
      <c r="L549" t="s">
        <v>1839</v>
      </c>
    </row>
    <row r="550" spans="1:12" x14ac:dyDescent="0.25">
      <c r="A550" t="s">
        <v>1843</v>
      </c>
      <c r="E550" t="s">
        <v>1844</v>
      </c>
      <c r="F550" t="s">
        <v>1845</v>
      </c>
      <c r="G550" t="s">
        <v>1836</v>
      </c>
      <c r="H550" t="s">
        <v>51</v>
      </c>
      <c r="I550" t="s">
        <v>1837</v>
      </c>
      <c r="J550" t="s">
        <v>1838</v>
      </c>
      <c r="L550" t="s">
        <v>1839</v>
      </c>
    </row>
    <row r="551" spans="1:12" x14ac:dyDescent="0.25">
      <c r="A551" t="s">
        <v>1846</v>
      </c>
      <c r="E551" t="s">
        <v>1847</v>
      </c>
      <c r="F551" t="s">
        <v>1848</v>
      </c>
      <c r="G551" t="s">
        <v>1836</v>
      </c>
      <c r="H551" t="s">
        <v>51</v>
      </c>
      <c r="I551" t="s">
        <v>1837</v>
      </c>
      <c r="J551" t="s">
        <v>1838</v>
      </c>
      <c r="L551" t="s">
        <v>1839</v>
      </c>
    </row>
    <row r="552" spans="1:12" x14ac:dyDescent="0.25">
      <c r="A552" t="s">
        <v>1849</v>
      </c>
      <c r="E552" t="s">
        <v>1850</v>
      </c>
      <c r="F552" t="s">
        <v>1851</v>
      </c>
      <c r="G552" t="s">
        <v>1836</v>
      </c>
      <c r="H552" t="s">
        <v>51</v>
      </c>
      <c r="I552" t="s">
        <v>1837</v>
      </c>
      <c r="J552" t="s">
        <v>1838</v>
      </c>
      <c r="L552" t="s">
        <v>1839</v>
      </c>
    </row>
    <row r="553" spans="1:12" x14ac:dyDescent="0.25">
      <c r="A553" t="s">
        <v>1852</v>
      </c>
      <c r="E553" t="s">
        <v>1853</v>
      </c>
      <c r="F553" t="s">
        <v>115</v>
      </c>
      <c r="G553" t="s">
        <v>1836</v>
      </c>
      <c r="H553" t="s">
        <v>51</v>
      </c>
      <c r="I553" t="s">
        <v>1837</v>
      </c>
      <c r="J553" t="s">
        <v>1854</v>
      </c>
      <c r="L553" t="s">
        <v>1855</v>
      </c>
    </row>
    <row r="554" spans="1:12" x14ac:dyDescent="0.25">
      <c r="A554" t="s">
        <v>1856</v>
      </c>
      <c r="E554" t="s">
        <v>1857</v>
      </c>
      <c r="F554" t="s">
        <v>1127</v>
      </c>
      <c r="G554" t="s">
        <v>1836</v>
      </c>
      <c r="H554" t="s">
        <v>51</v>
      </c>
      <c r="I554" t="s">
        <v>1837</v>
      </c>
      <c r="J554" t="s">
        <v>1854</v>
      </c>
      <c r="L554" t="s">
        <v>1855</v>
      </c>
    </row>
    <row r="555" spans="1:12" x14ac:dyDescent="0.25">
      <c r="A555" t="s">
        <v>1858</v>
      </c>
      <c r="E555" t="s">
        <v>89</v>
      </c>
      <c r="F555" t="s">
        <v>943</v>
      </c>
      <c r="G555" t="s">
        <v>1836</v>
      </c>
      <c r="H555" t="s">
        <v>51</v>
      </c>
      <c r="I555" t="s">
        <v>1837</v>
      </c>
      <c r="J555" t="s">
        <v>1854</v>
      </c>
      <c r="L555" t="s">
        <v>1855</v>
      </c>
    </row>
    <row r="556" spans="1:12" x14ac:dyDescent="0.25">
      <c r="A556" t="s">
        <v>1859</v>
      </c>
      <c r="E556" t="s">
        <v>1860</v>
      </c>
      <c r="F556" t="s">
        <v>859</v>
      </c>
      <c r="G556" t="s">
        <v>1836</v>
      </c>
      <c r="H556" t="s">
        <v>51</v>
      </c>
      <c r="I556" t="s">
        <v>1837</v>
      </c>
      <c r="J556" t="s">
        <v>1854</v>
      </c>
      <c r="L556" t="s">
        <v>1855</v>
      </c>
    </row>
    <row r="557" spans="1:12" x14ac:dyDescent="0.25">
      <c r="A557" t="s">
        <v>1861</v>
      </c>
      <c r="E557" t="s">
        <v>1862</v>
      </c>
      <c r="F557" t="s">
        <v>1842</v>
      </c>
      <c r="G557" t="s">
        <v>1836</v>
      </c>
      <c r="H557" t="s">
        <v>51</v>
      </c>
      <c r="I557" t="s">
        <v>1837</v>
      </c>
      <c r="J557" t="s">
        <v>1854</v>
      </c>
      <c r="L557" t="s">
        <v>1855</v>
      </c>
    </row>
    <row r="558" spans="1:12" x14ac:dyDescent="0.25">
      <c r="A558" t="s">
        <v>1863</v>
      </c>
      <c r="E558" t="s">
        <v>1844</v>
      </c>
      <c r="F558" t="s">
        <v>1864</v>
      </c>
      <c r="G558" t="s">
        <v>1836</v>
      </c>
      <c r="H558" t="s">
        <v>51</v>
      </c>
      <c r="I558" t="s">
        <v>1837</v>
      </c>
      <c r="J558" t="s">
        <v>1854</v>
      </c>
      <c r="L558" t="s">
        <v>1855</v>
      </c>
    </row>
    <row r="559" spans="1:12" x14ac:dyDescent="0.25">
      <c r="A559" t="s">
        <v>1865</v>
      </c>
      <c r="E559" t="s">
        <v>1844</v>
      </c>
      <c r="F559" t="s">
        <v>1864</v>
      </c>
      <c r="G559" t="s">
        <v>1836</v>
      </c>
      <c r="H559" t="s">
        <v>51</v>
      </c>
      <c r="I559" t="s">
        <v>1837</v>
      </c>
      <c r="J559" t="s">
        <v>1854</v>
      </c>
      <c r="L559" t="s">
        <v>1855</v>
      </c>
    </row>
    <row r="560" spans="1:12" x14ac:dyDescent="0.25">
      <c r="A560" t="s">
        <v>1866</v>
      </c>
      <c r="E560" t="s">
        <v>1844</v>
      </c>
      <c r="F560" t="s">
        <v>160</v>
      </c>
      <c r="G560" t="s">
        <v>1836</v>
      </c>
      <c r="H560" t="s">
        <v>51</v>
      </c>
      <c r="I560" t="s">
        <v>1837</v>
      </c>
      <c r="J560" t="s">
        <v>1854</v>
      </c>
      <c r="L560" t="s">
        <v>1855</v>
      </c>
    </row>
    <row r="561" spans="1:12" x14ac:dyDescent="0.25">
      <c r="A561" t="s">
        <v>1867</v>
      </c>
      <c r="E561" t="s">
        <v>1868</v>
      </c>
      <c r="F561" t="s">
        <v>394</v>
      </c>
      <c r="G561" t="s">
        <v>1836</v>
      </c>
      <c r="H561" t="s">
        <v>51</v>
      </c>
      <c r="I561" t="s">
        <v>1837</v>
      </c>
      <c r="J561" t="s">
        <v>1854</v>
      </c>
      <c r="L561" t="s">
        <v>1855</v>
      </c>
    </row>
    <row r="562" spans="1:12" x14ac:dyDescent="0.25">
      <c r="A562" t="s">
        <v>1869</v>
      </c>
      <c r="E562" t="s">
        <v>1868</v>
      </c>
      <c r="F562" t="s">
        <v>58</v>
      </c>
      <c r="G562" t="s">
        <v>1836</v>
      </c>
      <c r="H562" t="s">
        <v>51</v>
      </c>
      <c r="I562" t="s">
        <v>1837</v>
      </c>
      <c r="J562" t="s">
        <v>1854</v>
      </c>
      <c r="L562" t="s">
        <v>1855</v>
      </c>
    </row>
    <row r="563" spans="1:12" x14ac:dyDescent="0.25">
      <c r="A563" t="s">
        <v>1870</v>
      </c>
      <c r="E563" t="s">
        <v>1844</v>
      </c>
      <c r="F563" t="s">
        <v>1032</v>
      </c>
      <c r="G563" t="s">
        <v>1836</v>
      </c>
      <c r="H563" t="s">
        <v>51</v>
      </c>
      <c r="I563" t="s">
        <v>1837</v>
      </c>
      <c r="J563" t="s">
        <v>1854</v>
      </c>
      <c r="L563" t="s">
        <v>1855</v>
      </c>
    </row>
    <row r="564" spans="1:12" x14ac:dyDescent="0.25">
      <c r="A564" t="s">
        <v>1871</v>
      </c>
      <c r="E564" t="s">
        <v>1872</v>
      </c>
      <c r="F564" t="s">
        <v>1873</v>
      </c>
      <c r="G564" t="s">
        <v>1836</v>
      </c>
      <c r="H564" t="s">
        <v>51</v>
      </c>
      <c r="I564" t="s">
        <v>1837</v>
      </c>
      <c r="J564" t="s">
        <v>1838</v>
      </c>
      <c r="L564" t="s">
        <v>1874</v>
      </c>
    </row>
    <row r="565" spans="1:12" x14ac:dyDescent="0.25">
      <c r="A565" t="s">
        <v>1875</v>
      </c>
      <c r="E565" t="s">
        <v>1876</v>
      </c>
      <c r="F565" t="s">
        <v>1851</v>
      </c>
      <c r="G565" t="s">
        <v>1836</v>
      </c>
      <c r="H565" t="s">
        <v>51</v>
      </c>
      <c r="I565" t="s">
        <v>1837</v>
      </c>
      <c r="J565" t="s">
        <v>1838</v>
      </c>
      <c r="L565" t="s">
        <v>1874</v>
      </c>
    </row>
    <row r="566" spans="1:12" x14ac:dyDescent="0.25">
      <c r="A566" t="s">
        <v>1877</v>
      </c>
      <c r="E566" t="s">
        <v>1862</v>
      </c>
      <c r="F566" t="s">
        <v>943</v>
      </c>
      <c r="G566" t="s">
        <v>1836</v>
      </c>
      <c r="H566" t="s">
        <v>51</v>
      </c>
      <c r="I566" t="s">
        <v>1837</v>
      </c>
      <c r="J566" t="s">
        <v>1838</v>
      </c>
      <c r="L566" t="s">
        <v>1874</v>
      </c>
    </row>
    <row r="567" spans="1:12" x14ac:dyDescent="0.25">
      <c r="A567" t="s">
        <v>1878</v>
      </c>
      <c r="E567" t="s">
        <v>1879</v>
      </c>
      <c r="F567" t="s">
        <v>1127</v>
      </c>
      <c r="G567" t="s">
        <v>1836</v>
      </c>
      <c r="H567" t="s">
        <v>51</v>
      </c>
      <c r="I567" t="s">
        <v>1837</v>
      </c>
      <c r="J567" t="s">
        <v>1838</v>
      </c>
      <c r="L567" t="s">
        <v>1874</v>
      </c>
    </row>
    <row r="568" spans="1:12" x14ac:dyDescent="0.25">
      <c r="A568" t="s">
        <v>1880</v>
      </c>
      <c r="E568" t="s">
        <v>1881</v>
      </c>
      <c r="F568" t="s">
        <v>1882</v>
      </c>
      <c r="G568" t="s">
        <v>1836</v>
      </c>
      <c r="H568" t="s">
        <v>51</v>
      </c>
      <c r="I568" t="s">
        <v>1837</v>
      </c>
      <c r="J568" t="s">
        <v>1838</v>
      </c>
      <c r="L568" t="s">
        <v>1874</v>
      </c>
    </row>
    <row r="569" spans="1:12" x14ac:dyDescent="0.25">
      <c r="A569" t="s">
        <v>1883</v>
      </c>
      <c r="E569" t="s">
        <v>1881</v>
      </c>
      <c r="F569" t="s">
        <v>1884</v>
      </c>
      <c r="G569" t="s">
        <v>1836</v>
      </c>
      <c r="H569" t="s">
        <v>51</v>
      </c>
      <c r="I569" t="s">
        <v>1837</v>
      </c>
      <c r="J569" t="s">
        <v>1838</v>
      </c>
      <c r="L569" t="s">
        <v>1874</v>
      </c>
    </row>
    <row r="570" spans="1:12" x14ac:dyDescent="0.25">
      <c r="A570" t="s">
        <v>1885</v>
      </c>
      <c r="E570" t="s">
        <v>1857</v>
      </c>
      <c r="F570" t="s">
        <v>485</v>
      </c>
      <c r="G570" t="s">
        <v>1836</v>
      </c>
      <c r="H570" t="s">
        <v>51</v>
      </c>
      <c r="I570" t="s">
        <v>1837</v>
      </c>
      <c r="J570" t="s">
        <v>1838</v>
      </c>
      <c r="L570" t="s">
        <v>1874</v>
      </c>
    </row>
    <row r="571" spans="1:12" x14ac:dyDescent="0.25">
      <c r="A571" t="s">
        <v>1886</v>
      </c>
      <c r="E571" t="s">
        <v>1857</v>
      </c>
      <c r="F571" t="s">
        <v>1842</v>
      </c>
      <c r="G571" t="s">
        <v>1836</v>
      </c>
      <c r="H571" t="s">
        <v>51</v>
      </c>
      <c r="I571" t="s">
        <v>1837</v>
      </c>
      <c r="J571" t="s">
        <v>1838</v>
      </c>
      <c r="L571" t="s">
        <v>1874</v>
      </c>
    </row>
    <row r="572" spans="1:12" x14ac:dyDescent="0.25">
      <c r="A572" t="s">
        <v>1887</v>
      </c>
      <c r="E572" t="s">
        <v>1888</v>
      </c>
      <c r="F572" t="s">
        <v>1889</v>
      </c>
      <c r="G572" t="s">
        <v>1836</v>
      </c>
      <c r="H572" t="s">
        <v>51</v>
      </c>
      <c r="I572" t="s">
        <v>1837</v>
      </c>
      <c r="J572" t="s">
        <v>1854</v>
      </c>
      <c r="L572" t="s">
        <v>1855</v>
      </c>
    </row>
    <row r="573" spans="1:12" x14ac:dyDescent="0.25">
      <c r="A573" t="s">
        <v>1890</v>
      </c>
      <c r="E573" t="s">
        <v>1872</v>
      </c>
      <c r="F573" t="s">
        <v>1160</v>
      </c>
      <c r="G573" t="s">
        <v>1836</v>
      </c>
      <c r="H573" t="s">
        <v>51</v>
      </c>
      <c r="I573" t="s">
        <v>1837</v>
      </c>
      <c r="J573" t="s">
        <v>1854</v>
      </c>
      <c r="L573" t="s">
        <v>1855</v>
      </c>
    </row>
    <row r="574" spans="1:12" x14ac:dyDescent="0.25">
      <c r="A574" t="s">
        <v>1891</v>
      </c>
      <c r="E574" t="s">
        <v>1872</v>
      </c>
      <c r="F574" t="s">
        <v>115</v>
      </c>
      <c r="G574" t="s">
        <v>1836</v>
      </c>
      <c r="H574" t="s">
        <v>51</v>
      </c>
      <c r="I574" t="s">
        <v>1837</v>
      </c>
      <c r="J574" t="s">
        <v>1854</v>
      </c>
      <c r="L574" t="s">
        <v>1855</v>
      </c>
    </row>
    <row r="575" spans="1:12" x14ac:dyDescent="0.25">
      <c r="A575" t="s">
        <v>1892</v>
      </c>
      <c r="E575" t="s">
        <v>1872</v>
      </c>
      <c r="F575" t="s">
        <v>58</v>
      </c>
      <c r="G575" t="s">
        <v>1836</v>
      </c>
      <c r="H575" t="s">
        <v>51</v>
      </c>
      <c r="I575" t="s">
        <v>1837</v>
      </c>
      <c r="J575" t="s">
        <v>1854</v>
      </c>
      <c r="L575" t="s">
        <v>1855</v>
      </c>
    </row>
    <row r="576" spans="1:12" x14ac:dyDescent="0.25">
      <c r="A576" t="s">
        <v>1893</v>
      </c>
      <c r="E576" t="s">
        <v>1872</v>
      </c>
      <c r="F576" t="s">
        <v>115</v>
      </c>
      <c r="G576" t="s">
        <v>1836</v>
      </c>
      <c r="H576" t="s">
        <v>51</v>
      </c>
      <c r="I576" t="s">
        <v>1837</v>
      </c>
      <c r="J576" t="s">
        <v>1854</v>
      </c>
      <c r="L576" t="s">
        <v>1855</v>
      </c>
    </row>
    <row r="577" spans="1:12" x14ac:dyDescent="0.25">
      <c r="A577" t="s">
        <v>1894</v>
      </c>
      <c r="E577" t="s">
        <v>1895</v>
      </c>
      <c r="F577" t="s">
        <v>438</v>
      </c>
      <c r="G577" t="s">
        <v>1836</v>
      </c>
      <c r="H577" t="s">
        <v>51</v>
      </c>
      <c r="I577" t="s">
        <v>1837</v>
      </c>
      <c r="J577" t="s">
        <v>1854</v>
      </c>
      <c r="L577" t="s">
        <v>1855</v>
      </c>
    </row>
    <row r="578" spans="1:12" x14ac:dyDescent="0.25">
      <c r="A578" t="s">
        <v>1896</v>
      </c>
      <c r="E578" t="s">
        <v>1895</v>
      </c>
      <c r="F578" t="s">
        <v>115</v>
      </c>
      <c r="G578" t="s">
        <v>1836</v>
      </c>
      <c r="H578" t="s">
        <v>51</v>
      </c>
      <c r="I578" t="s">
        <v>1837</v>
      </c>
      <c r="J578" t="s">
        <v>1854</v>
      </c>
      <c r="L578" t="s">
        <v>1855</v>
      </c>
    </row>
    <row r="579" spans="1:12" x14ac:dyDescent="0.25">
      <c r="A579" t="s">
        <v>1897</v>
      </c>
      <c r="E579" t="s">
        <v>1850</v>
      </c>
      <c r="F579" t="s">
        <v>277</v>
      </c>
      <c r="G579" t="s">
        <v>1836</v>
      </c>
      <c r="H579" t="s">
        <v>51</v>
      </c>
      <c r="I579" t="s">
        <v>1837</v>
      </c>
      <c r="J579" t="s">
        <v>1854</v>
      </c>
      <c r="L579" t="s">
        <v>1898</v>
      </c>
    </row>
    <row r="580" spans="1:12" x14ac:dyDescent="0.25">
      <c r="A580" t="s">
        <v>1899</v>
      </c>
      <c r="E580" t="s">
        <v>1857</v>
      </c>
      <c r="F580" t="s">
        <v>1884</v>
      </c>
      <c r="G580" t="s">
        <v>1836</v>
      </c>
      <c r="H580" t="s">
        <v>51</v>
      </c>
      <c r="I580" t="s">
        <v>1837</v>
      </c>
      <c r="J580" t="s">
        <v>1838</v>
      </c>
      <c r="L580" t="s">
        <v>1900</v>
      </c>
    </row>
    <row r="581" spans="1:12" x14ac:dyDescent="0.25">
      <c r="A581" t="s">
        <v>1901</v>
      </c>
      <c r="E581" t="s">
        <v>1902</v>
      </c>
      <c r="F581" t="s">
        <v>86</v>
      </c>
      <c r="G581" t="s">
        <v>1836</v>
      </c>
      <c r="H581" t="s">
        <v>51</v>
      </c>
      <c r="I581" t="s">
        <v>1837</v>
      </c>
      <c r="J581" t="s">
        <v>1838</v>
      </c>
      <c r="L581" t="s">
        <v>1900</v>
      </c>
    </row>
    <row r="582" spans="1:12" x14ac:dyDescent="0.25">
      <c r="A582" t="s">
        <v>1903</v>
      </c>
      <c r="E582" t="s">
        <v>1902</v>
      </c>
      <c r="F582" t="s">
        <v>743</v>
      </c>
      <c r="G582" t="s">
        <v>1836</v>
      </c>
      <c r="H582" t="s">
        <v>51</v>
      </c>
      <c r="I582" t="s">
        <v>1837</v>
      </c>
      <c r="J582" t="s">
        <v>1838</v>
      </c>
      <c r="L582" t="s">
        <v>1900</v>
      </c>
    </row>
    <row r="583" spans="1:12" x14ac:dyDescent="0.25">
      <c r="A583" t="s">
        <v>1904</v>
      </c>
      <c r="E583" t="s">
        <v>1905</v>
      </c>
      <c r="F583" t="s">
        <v>1851</v>
      </c>
      <c r="G583" t="s">
        <v>1836</v>
      </c>
      <c r="H583" t="s">
        <v>51</v>
      </c>
      <c r="I583" t="s">
        <v>1837</v>
      </c>
      <c r="J583" t="s">
        <v>1838</v>
      </c>
      <c r="L583" t="s">
        <v>1900</v>
      </c>
    </row>
    <row r="584" spans="1:12" x14ac:dyDescent="0.25">
      <c r="A584" t="s">
        <v>1906</v>
      </c>
      <c r="E584" t="s">
        <v>1907</v>
      </c>
      <c r="F584" t="s">
        <v>115</v>
      </c>
      <c r="G584" t="s">
        <v>1836</v>
      </c>
      <c r="H584" t="s">
        <v>51</v>
      </c>
      <c r="I584" t="s">
        <v>1837</v>
      </c>
      <c r="J584" t="s">
        <v>1908</v>
      </c>
      <c r="L584" t="s">
        <v>1909</v>
      </c>
    </row>
    <row r="585" spans="1:12" x14ac:dyDescent="0.25">
      <c r="A585" t="s">
        <v>1910</v>
      </c>
      <c r="E585" t="s">
        <v>1911</v>
      </c>
      <c r="F585" t="s">
        <v>86</v>
      </c>
      <c r="G585" t="s">
        <v>1836</v>
      </c>
      <c r="H585" t="s">
        <v>51</v>
      </c>
      <c r="I585" t="s">
        <v>1837</v>
      </c>
      <c r="J585" t="s">
        <v>1908</v>
      </c>
      <c r="L585" t="s">
        <v>1909</v>
      </c>
    </row>
    <row r="586" spans="1:12" x14ac:dyDescent="0.25">
      <c r="A586" t="s">
        <v>1912</v>
      </c>
      <c r="E586" t="s">
        <v>1913</v>
      </c>
      <c r="F586" t="s">
        <v>1914</v>
      </c>
      <c r="G586" t="s">
        <v>1836</v>
      </c>
      <c r="H586" t="s">
        <v>51</v>
      </c>
      <c r="I586" t="s">
        <v>1837</v>
      </c>
      <c r="J586" t="s">
        <v>1854</v>
      </c>
      <c r="L586" t="s">
        <v>1855</v>
      </c>
    </row>
    <row r="587" spans="1:12" x14ac:dyDescent="0.25">
      <c r="A587" t="s">
        <v>1915</v>
      </c>
      <c r="E587" t="s">
        <v>1916</v>
      </c>
      <c r="F587" t="s">
        <v>1917</v>
      </c>
      <c r="G587" t="s">
        <v>1836</v>
      </c>
      <c r="H587" t="s">
        <v>51</v>
      </c>
      <c r="I587" t="s">
        <v>1837</v>
      </c>
      <c r="J587" t="s">
        <v>1854</v>
      </c>
      <c r="L587" t="s">
        <v>1855</v>
      </c>
    </row>
    <row r="588" spans="1:12" x14ac:dyDescent="0.25">
      <c r="A588" t="s">
        <v>1918</v>
      </c>
      <c r="E588" t="s">
        <v>1919</v>
      </c>
      <c r="F588" t="s">
        <v>1917</v>
      </c>
      <c r="G588" t="s">
        <v>1836</v>
      </c>
      <c r="H588" t="s">
        <v>51</v>
      </c>
      <c r="I588" t="s">
        <v>1837</v>
      </c>
      <c r="J588" t="s">
        <v>1908</v>
      </c>
      <c r="L588" t="s">
        <v>1855</v>
      </c>
    </row>
    <row r="589" spans="1:12" x14ac:dyDescent="0.25">
      <c r="A589" t="s">
        <v>1920</v>
      </c>
      <c r="E589" t="s">
        <v>1905</v>
      </c>
      <c r="F589" t="s">
        <v>1921</v>
      </c>
      <c r="G589" t="s">
        <v>1836</v>
      </c>
      <c r="H589" t="s">
        <v>51</v>
      </c>
      <c r="I589" t="s">
        <v>1837</v>
      </c>
      <c r="J589" t="s">
        <v>1908</v>
      </c>
      <c r="L589" t="s">
        <v>1855</v>
      </c>
    </row>
    <row r="590" spans="1:12" x14ac:dyDescent="0.25">
      <c r="A590" t="s">
        <v>1922</v>
      </c>
      <c r="B590" t="s">
        <v>1923</v>
      </c>
      <c r="C590" t="s">
        <v>1924</v>
      </c>
      <c r="F590" t="s">
        <v>1925</v>
      </c>
      <c r="G590" t="s">
        <v>1681</v>
      </c>
      <c r="H590" t="s">
        <v>51</v>
      </c>
      <c r="I590" t="s">
        <v>1682</v>
      </c>
      <c r="J590" t="s">
        <v>1683</v>
      </c>
      <c r="L590" t="s">
        <v>1271</v>
      </c>
    </row>
    <row r="591" spans="1:12" x14ac:dyDescent="0.25">
      <c r="A591" t="s">
        <v>1926</v>
      </c>
      <c r="B591" t="s">
        <v>1927</v>
      </c>
      <c r="C591" t="s">
        <v>1928</v>
      </c>
      <c r="F591" t="s">
        <v>1929</v>
      </c>
      <c r="G591" t="s">
        <v>1681</v>
      </c>
      <c r="H591" t="s">
        <v>51</v>
      </c>
      <c r="I591" t="s">
        <v>1682</v>
      </c>
      <c r="J591" t="s">
        <v>1683</v>
      </c>
      <c r="L591" t="s">
        <v>1271</v>
      </c>
    </row>
    <row r="592" spans="1:12" x14ac:dyDescent="0.25">
      <c r="A592" t="s">
        <v>1930</v>
      </c>
      <c r="B592" t="s">
        <v>1931</v>
      </c>
      <c r="C592" t="s">
        <v>1932</v>
      </c>
      <c r="F592" t="s">
        <v>515</v>
      </c>
      <c r="G592" t="s">
        <v>1681</v>
      </c>
      <c r="H592" t="s">
        <v>51</v>
      </c>
      <c r="I592" t="s">
        <v>1682</v>
      </c>
      <c r="J592" t="s">
        <v>1683</v>
      </c>
      <c r="L592" t="s">
        <v>1271</v>
      </c>
    </row>
    <row r="593" spans="1:12" x14ac:dyDescent="0.25">
      <c r="A593" t="s">
        <v>1933</v>
      </c>
      <c r="B593" t="s">
        <v>1934</v>
      </c>
      <c r="C593" t="s">
        <v>1935</v>
      </c>
      <c r="F593" t="s">
        <v>1936</v>
      </c>
      <c r="G593" t="s">
        <v>1681</v>
      </c>
      <c r="H593" t="s">
        <v>51</v>
      </c>
      <c r="I593" t="s">
        <v>1682</v>
      </c>
      <c r="J593" t="s">
        <v>1683</v>
      </c>
      <c r="L593" t="s">
        <v>1271</v>
      </c>
    </row>
    <row r="594" spans="1:12" x14ac:dyDescent="0.25">
      <c r="A594" t="s">
        <v>1937</v>
      </c>
      <c r="E594" t="s">
        <v>1857</v>
      </c>
      <c r="F594" t="s">
        <v>1884</v>
      </c>
      <c r="G594" t="s">
        <v>1836</v>
      </c>
      <c r="H594" t="s">
        <v>51</v>
      </c>
      <c r="I594" t="s">
        <v>1837</v>
      </c>
      <c r="J594" t="s">
        <v>1838</v>
      </c>
      <c r="L594" t="s">
        <v>1938</v>
      </c>
    </row>
    <row r="595" spans="1:12" x14ac:dyDescent="0.25">
      <c r="A595" t="s">
        <v>1939</v>
      </c>
      <c r="E595" t="s">
        <v>1911</v>
      </c>
      <c r="F595" t="s">
        <v>1940</v>
      </c>
      <c r="G595" t="s">
        <v>1836</v>
      </c>
      <c r="H595" t="s">
        <v>51</v>
      </c>
      <c r="I595" t="s">
        <v>1837</v>
      </c>
      <c r="J595" t="s">
        <v>1838</v>
      </c>
      <c r="L595" t="s">
        <v>1938</v>
      </c>
    </row>
    <row r="596" spans="1:12" x14ac:dyDescent="0.25">
      <c r="A596" t="s">
        <v>1941</v>
      </c>
      <c r="E596" t="s">
        <v>1916</v>
      </c>
      <c r="F596" t="s">
        <v>1917</v>
      </c>
      <c r="G596" t="s">
        <v>1836</v>
      </c>
      <c r="H596" t="s">
        <v>51</v>
      </c>
      <c r="I596" t="s">
        <v>1837</v>
      </c>
      <c r="J596" t="s">
        <v>1854</v>
      </c>
      <c r="L596" t="s">
        <v>1942</v>
      </c>
    </row>
    <row r="597" spans="1:12" x14ac:dyDescent="0.25">
      <c r="A597" t="s">
        <v>1943</v>
      </c>
      <c r="E597" t="s">
        <v>1944</v>
      </c>
      <c r="F597" t="s">
        <v>100</v>
      </c>
      <c r="G597" t="s">
        <v>1836</v>
      </c>
      <c r="H597" t="s">
        <v>51</v>
      </c>
      <c r="I597" t="s">
        <v>1837</v>
      </c>
      <c r="J597" t="s">
        <v>1908</v>
      </c>
      <c r="L597" t="s">
        <v>1945</v>
      </c>
    </row>
    <row r="598" spans="1:12" x14ac:dyDescent="0.25">
      <c r="A598" t="s">
        <v>1946</v>
      </c>
      <c r="E598" t="s">
        <v>1916</v>
      </c>
      <c r="F598" t="s">
        <v>1947</v>
      </c>
      <c r="G598" t="s">
        <v>1836</v>
      </c>
      <c r="H598" t="s">
        <v>51</v>
      </c>
      <c r="I598" t="s">
        <v>1837</v>
      </c>
      <c r="J598" t="s">
        <v>1838</v>
      </c>
      <c r="L598" t="s">
        <v>1948</v>
      </c>
    </row>
    <row r="599" spans="1:12" x14ac:dyDescent="0.25">
      <c r="A599" t="s">
        <v>1949</v>
      </c>
      <c r="E599" t="s">
        <v>1950</v>
      </c>
      <c r="F599" t="s">
        <v>1160</v>
      </c>
      <c r="G599" t="s">
        <v>1836</v>
      </c>
      <c r="H599" t="s">
        <v>51</v>
      </c>
      <c r="I599" t="s">
        <v>1837</v>
      </c>
      <c r="J599" t="s">
        <v>1838</v>
      </c>
      <c r="L599" t="s">
        <v>1948</v>
      </c>
    </row>
    <row r="600" spans="1:12" x14ac:dyDescent="0.25">
      <c r="A600" t="s">
        <v>1951</v>
      </c>
      <c r="E600" t="s">
        <v>1952</v>
      </c>
      <c r="F600" t="s">
        <v>1127</v>
      </c>
      <c r="G600" t="s">
        <v>1836</v>
      </c>
      <c r="H600" t="s">
        <v>51</v>
      </c>
      <c r="I600" t="s">
        <v>1837</v>
      </c>
      <c r="J600" t="s">
        <v>1838</v>
      </c>
      <c r="L600" t="s">
        <v>1948</v>
      </c>
    </row>
    <row r="601" spans="1:12" x14ac:dyDescent="0.25">
      <c r="A601" t="s">
        <v>1953</v>
      </c>
      <c r="E601" t="s">
        <v>1902</v>
      </c>
      <c r="F601" t="s">
        <v>78</v>
      </c>
      <c r="G601" t="s">
        <v>1836</v>
      </c>
      <c r="H601" t="s">
        <v>51</v>
      </c>
      <c r="I601" t="s">
        <v>1837</v>
      </c>
      <c r="J601" t="s">
        <v>1908</v>
      </c>
      <c r="L601" t="s">
        <v>1954</v>
      </c>
    </row>
    <row r="602" spans="1:12" x14ac:dyDescent="0.25">
      <c r="A602" t="s">
        <v>1955</v>
      </c>
      <c r="E602" t="s">
        <v>1857</v>
      </c>
      <c r="F602" t="s">
        <v>1956</v>
      </c>
      <c r="G602" t="s">
        <v>1836</v>
      </c>
      <c r="H602" t="s">
        <v>51</v>
      </c>
      <c r="I602" t="s">
        <v>1837</v>
      </c>
      <c r="J602" t="s">
        <v>1838</v>
      </c>
      <c r="L602" t="s">
        <v>1957</v>
      </c>
    </row>
    <row r="603" spans="1:12" x14ac:dyDescent="0.25">
      <c r="A603" t="s">
        <v>1958</v>
      </c>
      <c r="E603" t="s">
        <v>1902</v>
      </c>
      <c r="F603" t="s">
        <v>100</v>
      </c>
      <c r="G603" t="s">
        <v>1836</v>
      </c>
      <c r="H603" t="s">
        <v>51</v>
      </c>
      <c r="I603" t="s">
        <v>1837</v>
      </c>
      <c r="J603" t="s">
        <v>1838</v>
      </c>
      <c r="L603" t="s">
        <v>1957</v>
      </c>
    </row>
    <row r="604" spans="1:12" x14ac:dyDescent="0.25">
      <c r="A604" t="s">
        <v>1959</v>
      </c>
      <c r="E604" t="s">
        <v>1960</v>
      </c>
      <c r="F604" t="s">
        <v>1842</v>
      </c>
      <c r="G604" t="s">
        <v>1836</v>
      </c>
      <c r="H604" t="s">
        <v>51</v>
      </c>
      <c r="I604" t="s">
        <v>1837</v>
      </c>
      <c r="J604" t="s">
        <v>1838</v>
      </c>
      <c r="L604" t="s">
        <v>1957</v>
      </c>
    </row>
    <row r="605" spans="1:12" x14ac:dyDescent="0.25">
      <c r="A605" t="s">
        <v>1961</v>
      </c>
      <c r="E605" t="s">
        <v>1962</v>
      </c>
      <c r="F605" t="s">
        <v>1140</v>
      </c>
      <c r="G605" t="s">
        <v>1836</v>
      </c>
      <c r="H605" t="s">
        <v>51</v>
      </c>
      <c r="I605" t="s">
        <v>1837</v>
      </c>
      <c r="J605" t="s">
        <v>1908</v>
      </c>
      <c r="L605" t="s">
        <v>1963</v>
      </c>
    </row>
    <row r="606" spans="1:12" x14ac:dyDescent="0.25">
      <c r="A606" t="s">
        <v>1964</v>
      </c>
      <c r="E606" t="s">
        <v>1965</v>
      </c>
      <c r="F606" t="s">
        <v>115</v>
      </c>
      <c r="G606" t="s">
        <v>1836</v>
      </c>
      <c r="H606" t="s">
        <v>51</v>
      </c>
      <c r="I606" t="s">
        <v>1837</v>
      </c>
      <c r="J606" t="s">
        <v>1908</v>
      </c>
      <c r="L606" t="s">
        <v>1966</v>
      </c>
    </row>
    <row r="607" spans="1:12" x14ac:dyDescent="0.25">
      <c r="A607" t="s">
        <v>1967</v>
      </c>
      <c r="E607" t="s">
        <v>1965</v>
      </c>
      <c r="F607" t="s">
        <v>1330</v>
      </c>
      <c r="G607" t="s">
        <v>1836</v>
      </c>
      <c r="H607" t="s">
        <v>51</v>
      </c>
      <c r="I607" t="s">
        <v>1837</v>
      </c>
      <c r="J607" t="s">
        <v>1908</v>
      </c>
      <c r="L607" t="s">
        <v>1968</v>
      </c>
    </row>
    <row r="608" spans="1:12" x14ac:dyDescent="0.25">
      <c r="A608" t="s">
        <v>1969</v>
      </c>
      <c r="E608" t="s">
        <v>89</v>
      </c>
      <c r="F608" t="s">
        <v>1127</v>
      </c>
      <c r="G608" t="s">
        <v>1836</v>
      </c>
      <c r="H608" t="s">
        <v>51</v>
      </c>
      <c r="I608" t="s">
        <v>1837</v>
      </c>
      <c r="J608" t="s">
        <v>1908</v>
      </c>
      <c r="L608" t="s">
        <v>1968</v>
      </c>
    </row>
    <row r="609" spans="1:12" x14ac:dyDescent="0.25">
      <c r="A609" t="s">
        <v>1970</v>
      </c>
      <c r="E609" t="s">
        <v>89</v>
      </c>
      <c r="F609" t="s">
        <v>943</v>
      </c>
      <c r="G609" t="s">
        <v>1836</v>
      </c>
      <c r="H609" t="s">
        <v>51</v>
      </c>
      <c r="I609" t="s">
        <v>1837</v>
      </c>
      <c r="J609" t="s">
        <v>1838</v>
      </c>
      <c r="L609" t="s">
        <v>1971</v>
      </c>
    </row>
    <row r="610" spans="1:12" x14ac:dyDescent="0.25">
      <c r="A610" t="s">
        <v>1972</v>
      </c>
      <c r="E610" t="s">
        <v>1973</v>
      </c>
      <c r="F610" t="s">
        <v>115</v>
      </c>
      <c r="G610" t="s">
        <v>1836</v>
      </c>
      <c r="H610" t="s">
        <v>51</v>
      </c>
      <c r="I610" t="s">
        <v>1837</v>
      </c>
      <c r="J610" t="s">
        <v>1838</v>
      </c>
      <c r="L610" t="s">
        <v>1971</v>
      </c>
    </row>
    <row r="611" spans="1:12" x14ac:dyDescent="0.25">
      <c r="A611" t="s">
        <v>1974</v>
      </c>
      <c r="E611" t="s">
        <v>1975</v>
      </c>
      <c r="F611" t="s">
        <v>100</v>
      </c>
      <c r="G611" t="s">
        <v>1836</v>
      </c>
      <c r="H611" t="s">
        <v>51</v>
      </c>
      <c r="I611" t="s">
        <v>1837</v>
      </c>
      <c r="J611" t="s">
        <v>1838</v>
      </c>
      <c r="L611" t="s">
        <v>1976</v>
      </c>
    </row>
    <row r="612" spans="1:12" x14ac:dyDescent="0.25">
      <c r="A612" t="s">
        <v>1977</v>
      </c>
      <c r="E612" t="s">
        <v>1978</v>
      </c>
      <c r="F612" t="s">
        <v>1339</v>
      </c>
      <c r="G612" t="s">
        <v>1836</v>
      </c>
      <c r="H612" t="s">
        <v>51</v>
      </c>
      <c r="I612" t="s">
        <v>1837</v>
      </c>
      <c r="J612" t="s">
        <v>1838</v>
      </c>
      <c r="L612" t="s">
        <v>1976</v>
      </c>
    </row>
    <row r="613" spans="1:12" x14ac:dyDescent="0.25">
      <c r="A613" t="s">
        <v>1979</v>
      </c>
      <c r="E613" t="s">
        <v>1916</v>
      </c>
      <c r="F613" t="s">
        <v>1917</v>
      </c>
      <c r="G613" t="s">
        <v>1836</v>
      </c>
      <c r="H613" t="s">
        <v>51</v>
      </c>
      <c r="I613" t="s">
        <v>1837</v>
      </c>
      <c r="J613" t="s">
        <v>1838</v>
      </c>
      <c r="L613" t="s">
        <v>1980</v>
      </c>
    </row>
    <row r="614" spans="1:12" x14ac:dyDescent="0.25">
      <c r="A614" t="s">
        <v>1981</v>
      </c>
      <c r="E614" t="s">
        <v>1950</v>
      </c>
      <c r="F614" t="s">
        <v>1982</v>
      </c>
      <c r="G614" t="s">
        <v>1836</v>
      </c>
      <c r="H614" t="s">
        <v>51</v>
      </c>
      <c r="I614" t="s">
        <v>1837</v>
      </c>
      <c r="J614" t="s">
        <v>1838</v>
      </c>
      <c r="L614" t="s">
        <v>1983</v>
      </c>
    </row>
    <row r="615" spans="1:12" x14ac:dyDescent="0.25">
      <c r="A615" t="s">
        <v>1984</v>
      </c>
      <c r="E615" t="s">
        <v>1857</v>
      </c>
      <c r="F615" t="s">
        <v>438</v>
      </c>
      <c r="G615" t="s">
        <v>1836</v>
      </c>
      <c r="H615" t="s">
        <v>51</v>
      </c>
      <c r="I615" t="s">
        <v>1837</v>
      </c>
      <c r="J615" t="s">
        <v>1838</v>
      </c>
      <c r="L615" t="s">
        <v>1983</v>
      </c>
    </row>
    <row r="616" spans="1:12" x14ac:dyDescent="0.25">
      <c r="A616" t="s">
        <v>1985</v>
      </c>
      <c r="E616" t="s">
        <v>1950</v>
      </c>
      <c r="F616" t="s">
        <v>1986</v>
      </c>
      <c r="G616" t="s">
        <v>1836</v>
      </c>
      <c r="H616" t="s">
        <v>51</v>
      </c>
      <c r="I616" t="s">
        <v>1837</v>
      </c>
      <c r="J616" t="s">
        <v>1838</v>
      </c>
      <c r="L616" t="s">
        <v>1983</v>
      </c>
    </row>
    <row r="617" spans="1:12" x14ac:dyDescent="0.25">
      <c r="A617" t="s">
        <v>1987</v>
      </c>
      <c r="E617" t="s">
        <v>1962</v>
      </c>
      <c r="F617" t="s">
        <v>277</v>
      </c>
      <c r="G617" t="s">
        <v>1836</v>
      </c>
      <c r="H617" t="s">
        <v>51</v>
      </c>
      <c r="I617" t="s">
        <v>1837</v>
      </c>
      <c r="J617" t="s">
        <v>1908</v>
      </c>
      <c r="L617" t="s">
        <v>1988</v>
      </c>
    </row>
    <row r="618" spans="1:12" x14ac:dyDescent="0.25">
      <c r="A618" t="s">
        <v>1989</v>
      </c>
      <c r="E618" t="s">
        <v>1916</v>
      </c>
      <c r="F618" t="s">
        <v>1990</v>
      </c>
      <c r="G618" t="s">
        <v>1836</v>
      </c>
      <c r="H618" t="s">
        <v>51</v>
      </c>
      <c r="I618" t="s">
        <v>1837</v>
      </c>
      <c r="J618" t="s">
        <v>1838</v>
      </c>
      <c r="L618" t="s">
        <v>1976</v>
      </c>
    </row>
    <row r="619" spans="1:12" x14ac:dyDescent="0.25">
      <c r="A619" t="s">
        <v>1991</v>
      </c>
      <c r="E619" t="s">
        <v>1992</v>
      </c>
      <c r="F619" t="s">
        <v>703</v>
      </c>
      <c r="G619" t="s">
        <v>1836</v>
      </c>
      <c r="H619" t="s">
        <v>51</v>
      </c>
      <c r="I619" t="s">
        <v>1837</v>
      </c>
      <c r="J619" t="s">
        <v>1908</v>
      </c>
      <c r="L619" t="s">
        <v>1983</v>
      </c>
    </row>
    <row r="620" spans="1:12" x14ac:dyDescent="0.25">
      <c r="A620" t="s">
        <v>1993</v>
      </c>
      <c r="B620" t="s">
        <v>1994</v>
      </c>
      <c r="C620" t="s">
        <v>1995</v>
      </c>
      <c r="F620" t="s">
        <v>1996</v>
      </c>
      <c r="G620" t="s">
        <v>1681</v>
      </c>
      <c r="H620" t="s">
        <v>51</v>
      </c>
      <c r="I620" t="s">
        <v>1682</v>
      </c>
      <c r="J620" t="s">
        <v>1683</v>
      </c>
      <c r="L620" t="s">
        <v>1271</v>
      </c>
    </row>
    <row r="621" spans="1:12" x14ac:dyDescent="0.25">
      <c r="A621" t="s">
        <v>1997</v>
      </c>
      <c r="B621" t="s">
        <v>1998</v>
      </c>
      <c r="C621" t="s">
        <v>1999</v>
      </c>
      <c r="F621" t="s">
        <v>2000</v>
      </c>
      <c r="G621" t="s">
        <v>1681</v>
      </c>
      <c r="H621" t="s">
        <v>51</v>
      </c>
      <c r="I621" t="s">
        <v>1682</v>
      </c>
      <c r="J621" t="s">
        <v>1683</v>
      </c>
      <c r="L621" t="s">
        <v>1271</v>
      </c>
    </row>
    <row r="622" spans="1:12" x14ac:dyDescent="0.25">
      <c r="A622" t="s">
        <v>2001</v>
      </c>
      <c r="B622" t="s">
        <v>2002</v>
      </c>
      <c r="C622" t="s">
        <v>2003</v>
      </c>
      <c r="F622" t="s">
        <v>2004</v>
      </c>
      <c r="G622" t="s">
        <v>1681</v>
      </c>
      <c r="H622" t="s">
        <v>51</v>
      </c>
      <c r="I622" t="s">
        <v>1682</v>
      </c>
      <c r="J622" t="s">
        <v>1683</v>
      </c>
      <c r="L622" t="s">
        <v>1271</v>
      </c>
    </row>
    <row r="623" spans="1:12" x14ac:dyDescent="0.25">
      <c r="A623" t="s">
        <v>2005</v>
      </c>
      <c r="E623" t="s">
        <v>1850</v>
      </c>
      <c r="F623" t="s">
        <v>277</v>
      </c>
      <c r="G623" t="s">
        <v>1836</v>
      </c>
      <c r="H623" t="s">
        <v>51</v>
      </c>
      <c r="I623" t="s">
        <v>1837</v>
      </c>
      <c r="J623" t="s">
        <v>1838</v>
      </c>
      <c r="L623" t="s">
        <v>1980</v>
      </c>
    </row>
    <row r="624" spans="1:12" x14ac:dyDescent="0.25">
      <c r="A624" t="s">
        <v>2006</v>
      </c>
      <c r="E624" t="s">
        <v>1973</v>
      </c>
      <c r="F624" t="s">
        <v>2007</v>
      </c>
      <c r="G624" t="s">
        <v>1836</v>
      </c>
      <c r="H624" t="s">
        <v>51</v>
      </c>
      <c r="I624" t="s">
        <v>1837</v>
      </c>
      <c r="J624" t="s">
        <v>1838</v>
      </c>
      <c r="L624" t="s">
        <v>1980</v>
      </c>
    </row>
    <row r="625" spans="1:12" x14ac:dyDescent="0.25">
      <c r="A625" t="s">
        <v>2008</v>
      </c>
      <c r="E625" t="s">
        <v>1857</v>
      </c>
      <c r="F625" t="s">
        <v>1884</v>
      </c>
      <c r="G625" t="s">
        <v>1836</v>
      </c>
      <c r="H625" t="s">
        <v>51</v>
      </c>
      <c r="I625" t="s">
        <v>1837</v>
      </c>
      <c r="J625" t="s">
        <v>1838</v>
      </c>
      <c r="L625" t="s">
        <v>2009</v>
      </c>
    </row>
    <row r="626" spans="1:12" x14ac:dyDescent="0.25">
      <c r="A626" t="s">
        <v>2010</v>
      </c>
      <c r="E626" t="s">
        <v>1950</v>
      </c>
      <c r="F626" t="s">
        <v>1982</v>
      </c>
      <c r="G626" t="s">
        <v>1836</v>
      </c>
      <c r="H626" t="s">
        <v>51</v>
      </c>
      <c r="I626" t="s">
        <v>1837</v>
      </c>
      <c r="J626" t="s">
        <v>1838</v>
      </c>
      <c r="L626" t="s">
        <v>1909</v>
      </c>
    </row>
    <row r="627" spans="1:12" x14ac:dyDescent="0.25">
      <c r="A627" t="s">
        <v>2011</v>
      </c>
      <c r="E627" t="s">
        <v>1992</v>
      </c>
      <c r="F627" t="s">
        <v>2012</v>
      </c>
      <c r="G627" t="s">
        <v>1836</v>
      </c>
      <c r="H627" t="s">
        <v>51</v>
      </c>
      <c r="I627" t="s">
        <v>1837</v>
      </c>
      <c r="J627" t="s">
        <v>1908</v>
      </c>
      <c r="L627" t="s">
        <v>2013</v>
      </c>
    </row>
    <row r="628" spans="1:12" x14ac:dyDescent="0.25">
      <c r="A628" t="s">
        <v>2014</v>
      </c>
      <c r="E628" t="s">
        <v>2015</v>
      </c>
      <c r="F628" t="s">
        <v>1066</v>
      </c>
      <c r="G628" t="s">
        <v>1836</v>
      </c>
      <c r="H628" t="s">
        <v>51</v>
      </c>
      <c r="I628" t="s">
        <v>1837</v>
      </c>
      <c r="J628" t="s">
        <v>1838</v>
      </c>
      <c r="L628" t="s">
        <v>1898</v>
      </c>
    </row>
    <row r="629" spans="1:12" x14ac:dyDescent="0.25">
      <c r="A629" t="s">
        <v>2016</v>
      </c>
      <c r="E629" t="s">
        <v>2017</v>
      </c>
      <c r="F629" t="s">
        <v>438</v>
      </c>
      <c r="G629" t="s">
        <v>1836</v>
      </c>
      <c r="H629" t="s">
        <v>51</v>
      </c>
      <c r="I629" t="s">
        <v>1837</v>
      </c>
      <c r="J629" t="s">
        <v>1854</v>
      </c>
      <c r="L629" t="s">
        <v>2013</v>
      </c>
    </row>
    <row r="630" spans="1:12" x14ac:dyDescent="0.25">
      <c r="A630" t="s">
        <v>2018</v>
      </c>
      <c r="E630" t="s">
        <v>2019</v>
      </c>
      <c r="F630" t="s">
        <v>111</v>
      </c>
      <c r="G630" t="s">
        <v>1836</v>
      </c>
      <c r="H630" t="s">
        <v>51</v>
      </c>
      <c r="I630" t="s">
        <v>1837</v>
      </c>
      <c r="J630" t="s">
        <v>1854</v>
      </c>
      <c r="L630" t="s">
        <v>2013</v>
      </c>
    </row>
    <row r="631" spans="1:12" x14ac:dyDescent="0.25">
      <c r="A631" t="s">
        <v>2020</v>
      </c>
      <c r="E631" t="s">
        <v>1895</v>
      </c>
      <c r="F631" t="s">
        <v>66</v>
      </c>
      <c r="G631" t="s">
        <v>1836</v>
      </c>
      <c r="H631" t="s">
        <v>51</v>
      </c>
      <c r="I631" t="s">
        <v>1837</v>
      </c>
      <c r="J631" t="s">
        <v>1854</v>
      </c>
      <c r="L631" t="s">
        <v>2013</v>
      </c>
    </row>
    <row r="632" spans="1:12" x14ac:dyDescent="0.25">
      <c r="A632" t="s">
        <v>2021</v>
      </c>
      <c r="E632" t="s">
        <v>2022</v>
      </c>
      <c r="F632" t="s">
        <v>703</v>
      </c>
      <c r="G632" t="s">
        <v>1836</v>
      </c>
      <c r="H632" t="s">
        <v>51</v>
      </c>
      <c r="I632" t="s">
        <v>1837</v>
      </c>
      <c r="J632" t="s">
        <v>1908</v>
      </c>
      <c r="L632" t="s">
        <v>2023</v>
      </c>
    </row>
    <row r="633" spans="1:12" x14ac:dyDescent="0.25">
      <c r="A633" t="s">
        <v>2024</v>
      </c>
      <c r="B633" t="s">
        <v>2025</v>
      </c>
      <c r="C633" t="s">
        <v>2026</v>
      </c>
      <c r="F633" t="s">
        <v>1459</v>
      </c>
      <c r="G633" t="s">
        <v>1681</v>
      </c>
      <c r="H633" t="s">
        <v>51</v>
      </c>
      <c r="I633" t="s">
        <v>1682</v>
      </c>
      <c r="J633" t="s">
        <v>1683</v>
      </c>
      <c r="L633" t="s">
        <v>1271</v>
      </c>
    </row>
    <row r="634" spans="1:12" x14ac:dyDescent="0.25">
      <c r="A634" t="s">
        <v>2027</v>
      </c>
      <c r="B634" t="s">
        <v>2028</v>
      </c>
      <c r="C634" t="s">
        <v>2029</v>
      </c>
      <c r="F634" t="s">
        <v>1459</v>
      </c>
      <c r="G634" t="s">
        <v>1681</v>
      </c>
      <c r="H634" t="s">
        <v>51</v>
      </c>
      <c r="I634" t="s">
        <v>1682</v>
      </c>
      <c r="J634" t="s">
        <v>1683</v>
      </c>
      <c r="L634" t="s">
        <v>1271</v>
      </c>
    </row>
    <row r="635" spans="1:12" x14ac:dyDescent="0.25">
      <c r="A635" t="s">
        <v>2030</v>
      </c>
      <c r="B635" t="s">
        <v>2031</v>
      </c>
      <c r="C635" t="s">
        <v>2032</v>
      </c>
      <c r="F635" t="s">
        <v>1459</v>
      </c>
      <c r="G635" t="s">
        <v>1681</v>
      </c>
      <c r="H635" t="s">
        <v>51</v>
      </c>
      <c r="I635" t="s">
        <v>1682</v>
      </c>
      <c r="J635" t="s">
        <v>1683</v>
      </c>
      <c r="L635" t="s">
        <v>1271</v>
      </c>
    </row>
    <row r="636" spans="1:12" x14ac:dyDescent="0.25">
      <c r="A636" t="s">
        <v>2033</v>
      </c>
      <c r="B636" t="s">
        <v>2034</v>
      </c>
      <c r="C636" t="s">
        <v>2035</v>
      </c>
      <c r="F636" t="s">
        <v>1459</v>
      </c>
      <c r="G636" t="s">
        <v>1681</v>
      </c>
      <c r="H636" t="s">
        <v>51</v>
      </c>
      <c r="I636" t="s">
        <v>1682</v>
      </c>
      <c r="J636" t="s">
        <v>1683</v>
      </c>
      <c r="L636" t="s">
        <v>1271</v>
      </c>
    </row>
    <row r="637" spans="1:12" x14ac:dyDescent="0.25">
      <c r="A637" t="s">
        <v>2036</v>
      </c>
      <c r="E637" t="s">
        <v>2022</v>
      </c>
      <c r="F637" t="s">
        <v>1848</v>
      </c>
      <c r="G637" t="s">
        <v>1836</v>
      </c>
      <c r="H637" t="s">
        <v>51</v>
      </c>
      <c r="I637" t="s">
        <v>1837</v>
      </c>
      <c r="J637" t="s">
        <v>1908</v>
      </c>
      <c r="L637" t="s">
        <v>2037</v>
      </c>
    </row>
    <row r="638" spans="1:12" x14ac:dyDescent="0.25">
      <c r="A638" t="s">
        <v>2038</v>
      </c>
      <c r="E638" t="s">
        <v>1888</v>
      </c>
      <c r="F638" t="s">
        <v>2039</v>
      </c>
      <c r="G638" t="s">
        <v>1836</v>
      </c>
      <c r="H638" t="s">
        <v>51</v>
      </c>
      <c r="I638" t="s">
        <v>1837</v>
      </c>
      <c r="J638" t="s">
        <v>1854</v>
      </c>
      <c r="L638" t="s">
        <v>1942</v>
      </c>
    </row>
    <row r="639" spans="1:12" x14ac:dyDescent="0.25">
      <c r="A639" t="s">
        <v>2040</v>
      </c>
      <c r="E639" t="s">
        <v>1857</v>
      </c>
      <c r="F639" t="s">
        <v>292</v>
      </c>
      <c r="G639" t="s">
        <v>1836</v>
      </c>
      <c r="H639" t="s">
        <v>51</v>
      </c>
      <c r="I639" t="s">
        <v>1837</v>
      </c>
      <c r="J639" t="s">
        <v>1838</v>
      </c>
      <c r="L639" t="s">
        <v>2041</v>
      </c>
    </row>
    <row r="640" spans="1:12" x14ac:dyDescent="0.25">
      <c r="A640" t="s">
        <v>2042</v>
      </c>
      <c r="E640" t="s">
        <v>1960</v>
      </c>
      <c r="F640" t="s">
        <v>603</v>
      </c>
      <c r="G640" t="s">
        <v>1836</v>
      </c>
      <c r="H640" t="s">
        <v>51</v>
      </c>
      <c r="I640" t="s">
        <v>1837</v>
      </c>
      <c r="J640" t="s">
        <v>1908</v>
      </c>
      <c r="L640" t="s">
        <v>2043</v>
      </c>
    </row>
    <row r="641" spans="1:12" x14ac:dyDescent="0.25">
      <c r="A641" t="s">
        <v>2044</v>
      </c>
      <c r="E641" t="s">
        <v>1857</v>
      </c>
      <c r="F641" t="s">
        <v>1884</v>
      </c>
      <c r="G641" t="s">
        <v>1836</v>
      </c>
      <c r="H641" t="s">
        <v>51</v>
      </c>
      <c r="I641" t="s">
        <v>1837</v>
      </c>
      <c r="J641" t="s">
        <v>1838</v>
      </c>
      <c r="L641" t="s">
        <v>1874</v>
      </c>
    </row>
    <row r="642" spans="1:12" x14ac:dyDescent="0.25">
      <c r="A642" t="s">
        <v>2045</v>
      </c>
      <c r="B642" t="s">
        <v>2046</v>
      </c>
      <c r="F642" t="s">
        <v>1756</v>
      </c>
      <c r="G642" t="s">
        <v>1681</v>
      </c>
      <c r="H642" t="s">
        <v>51</v>
      </c>
      <c r="I642" t="s">
        <v>1682</v>
      </c>
      <c r="J642" t="s">
        <v>1691</v>
      </c>
      <c r="L642" t="s">
        <v>1271</v>
      </c>
    </row>
    <row r="643" spans="1:12" x14ac:dyDescent="0.25">
      <c r="A643" t="s">
        <v>2047</v>
      </c>
      <c r="B643" t="s">
        <v>1781</v>
      </c>
      <c r="C643" t="s">
        <v>2048</v>
      </c>
      <c r="F643" t="s">
        <v>1593</v>
      </c>
      <c r="G643" t="s">
        <v>1681</v>
      </c>
      <c r="H643" t="s">
        <v>51</v>
      </c>
      <c r="I643" t="s">
        <v>1682</v>
      </c>
      <c r="J643" t="s">
        <v>1691</v>
      </c>
      <c r="L643" t="s">
        <v>1271</v>
      </c>
    </row>
    <row r="644" spans="1:12" x14ac:dyDescent="0.25">
      <c r="A644" t="s">
        <v>2049</v>
      </c>
      <c r="B644" t="s">
        <v>1800</v>
      </c>
      <c r="C644" t="s">
        <v>2050</v>
      </c>
      <c r="F644" t="s">
        <v>1795</v>
      </c>
      <c r="G644" t="s">
        <v>1681</v>
      </c>
      <c r="H644" t="s">
        <v>51</v>
      </c>
      <c r="I644" t="s">
        <v>1682</v>
      </c>
      <c r="J644" t="s">
        <v>1691</v>
      </c>
      <c r="L644" t="s">
        <v>1271</v>
      </c>
    </row>
    <row r="645" spans="1:12" x14ac:dyDescent="0.25">
      <c r="A645" t="s">
        <v>2051</v>
      </c>
      <c r="B645" t="s">
        <v>2052</v>
      </c>
      <c r="C645" t="s">
        <v>2053</v>
      </c>
      <c r="F645" t="s">
        <v>1593</v>
      </c>
      <c r="G645" t="s">
        <v>1681</v>
      </c>
      <c r="H645" t="s">
        <v>51</v>
      </c>
      <c r="I645" t="s">
        <v>1682</v>
      </c>
      <c r="J645" t="s">
        <v>1691</v>
      </c>
      <c r="L645" t="s">
        <v>1271</v>
      </c>
    </row>
    <row r="646" spans="1:12" x14ac:dyDescent="0.25">
      <c r="A646" t="s">
        <v>2054</v>
      </c>
      <c r="B646" t="s">
        <v>2055</v>
      </c>
      <c r="C646" t="s">
        <v>2056</v>
      </c>
      <c r="F646" t="s">
        <v>1795</v>
      </c>
      <c r="G646" t="s">
        <v>1681</v>
      </c>
      <c r="H646" t="s">
        <v>51</v>
      </c>
      <c r="I646" t="s">
        <v>1682</v>
      </c>
      <c r="J646" t="s">
        <v>1691</v>
      </c>
      <c r="L646" t="s">
        <v>1271</v>
      </c>
    </row>
    <row r="647" spans="1:12" x14ac:dyDescent="0.25">
      <c r="A647" t="s">
        <v>2057</v>
      </c>
      <c r="B647" t="s">
        <v>2058</v>
      </c>
      <c r="C647" t="s">
        <v>2059</v>
      </c>
      <c r="F647" t="s">
        <v>1795</v>
      </c>
      <c r="G647" t="s">
        <v>1681</v>
      </c>
      <c r="H647" t="s">
        <v>51</v>
      </c>
      <c r="I647" t="s">
        <v>1682</v>
      </c>
      <c r="J647" t="s">
        <v>1691</v>
      </c>
      <c r="L647" t="s">
        <v>1271</v>
      </c>
    </row>
    <row r="648" spans="1:12" x14ac:dyDescent="0.25">
      <c r="A648" t="s">
        <v>2060</v>
      </c>
      <c r="B648" t="s">
        <v>2061</v>
      </c>
      <c r="C648" t="s">
        <v>2062</v>
      </c>
      <c r="F648" t="s">
        <v>1795</v>
      </c>
      <c r="G648" t="s">
        <v>1681</v>
      </c>
      <c r="H648" t="s">
        <v>51</v>
      </c>
      <c r="I648" t="s">
        <v>1682</v>
      </c>
      <c r="J648" t="s">
        <v>1691</v>
      </c>
      <c r="L648" t="s">
        <v>1271</v>
      </c>
    </row>
    <row r="649" spans="1:12" x14ac:dyDescent="0.25">
      <c r="A649" t="s">
        <v>2063</v>
      </c>
      <c r="B649" t="s">
        <v>2064</v>
      </c>
      <c r="C649" t="s">
        <v>2065</v>
      </c>
      <c r="F649" t="s">
        <v>1795</v>
      </c>
      <c r="G649" t="s">
        <v>1681</v>
      </c>
      <c r="H649" t="s">
        <v>51</v>
      </c>
      <c r="I649" t="s">
        <v>1682</v>
      </c>
      <c r="J649" t="s">
        <v>1691</v>
      </c>
      <c r="L649" t="s">
        <v>1271</v>
      </c>
    </row>
    <row r="650" spans="1:12" x14ac:dyDescent="0.25">
      <c r="A650" t="s">
        <v>2066</v>
      </c>
      <c r="E650" t="s">
        <v>1857</v>
      </c>
      <c r="F650" t="s">
        <v>1884</v>
      </c>
      <c r="G650" t="s">
        <v>1836</v>
      </c>
      <c r="H650" t="s">
        <v>51</v>
      </c>
      <c r="I650" t="s">
        <v>1837</v>
      </c>
      <c r="J650" t="s">
        <v>1838</v>
      </c>
      <c r="L650" t="s">
        <v>2023</v>
      </c>
    </row>
    <row r="651" spans="1:12" x14ac:dyDescent="0.25">
      <c r="A651" t="s">
        <v>2067</v>
      </c>
      <c r="E651" t="s">
        <v>2068</v>
      </c>
      <c r="F651" t="s">
        <v>1127</v>
      </c>
      <c r="G651" t="s">
        <v>1836</v>
      </c>
      <c r="H651" t="s">
        <v>51</v>
      </c>
      <c r="I651" t="s">
        <v>1837</v>
      </c>
      <c r="J651" t="s">
        <v>1838</v>
      </c>
      <c r="L651" t="s">
        <v>2023</v>
      </c>
    </row>
    <row r="652" spans="1:12" x14ac:dyDescent="0.25">
      <c r="A652" t="s">
        <v>2069</v>
      </c>
      <c r="E652" t="s">
        <v>1911</v>
      </c>
      <c r="F652" t="s">
        <v>1940</v>
      </c>
      <c r="G652" t="s">
        <v>1836</v>
      </c>
      <c r="H652" t="s">
        <v>51</v>
      </c>
      <c r="I652" t="s">
        <v>1837</v>
      </c>
      <c r="J652" t="s">
        <v>1838</v>
      </c>
      <c r="L652" t="s">
        <v>2023</v>
      </c>
    </row>
    <row r="653" spans="1:12" x14ac:dyDescent="0.25">
      <c r="A653" t="s">
        <v>2070</v>
      </c>
      <c r="E653" t="s">
        <v>1973</v>
      </c>
      <c r="F653" t="s">
        <v>115</v>
      </c>
      <c r="G653" t="s">
        <v>1836</v>
      </c>
      <c r="H653" t="s">
        <v>51</v>
      </c>
      <c r="I653" t="s">
        <v>1837</v>
      </c>
      <c r="J653" t="s">
        <v>1838</v>
      </c>
      <c r="L653" t="s">
        <v>2023</v>
      </c>
    </row>
    <row r="654" spans="1:12" x14ac:dyDescent="0.25">
      <c r="A654" t="s">
        <v>2071</v>
      </c>
      <c r="E654" t="s">
        <v>1916</v>
      </c>
      <c r="F654" t="s">
        <v>1917</v>
      </c>
      <c r="G654" t="s">
        <v>1836</v>
      </c>
      <c r="H654" t="s">
        <v>51</v>
      </c>
      <c r="I654" t="s">
        <v>1837</v>
      </c>
      <c r="J654" t="s">
        <v>1854</v>
      </c>
      <c r="L654" t="s">
        <v>2013</v>
      </c>
    </row>
    <row r="655" spans="1:12" x14ac:dyDescent="0.25">
      <c r="A655" t="s">
        <v>2072</v>
      </c>
      <c r="E655" t="s">
        <v>1950</v>
      </c>
      <c r="F655" t="s">
        <v>2073</v>
      </c>
      <c r="G655" t="s">
        <v>1836</v>
      </c>
      <c r="H655" t="s">
        <v>51</v>
      </c>
      <c r="I655" t="s">
        <v>1837</v>
      </c>
      <c r="J655" t="s">
        <v>1838</v>
      </c>
      <c r="L655" t="s">
        <v>1954</v>
      </c>
    </row>
    <row r="656" spans="1:12" x14ac:dyDescent="0.25">
      <c r="A656" t="s">
        <v>2074</v>
      </c>
      <c r="E656" t="s">
        <v>2075</v>
      </c>
      <c r="F656" t="s">
        <v>115</v>
      </c>
      <c r="G656" t="s">
        <v>1836</v>
      </c>
      <c r="H656" t="s">
        <v>51</v>
      </c>
      <c r="I656" t="s">
        <v>1837</v>
      </c>
      <c r="J656" t="s">
        <v>1838</v>
      </c>
      <c r="L656" t="s">
        <v>1954</v>
      </c>
    </row>
    <row r="657" spans="1:12" x14ac:dyDescent="0.25">
      <c r="A657" t="s">
        <v>2076</v>
      </c>
      <c r="E657" t="s">
        <v>1916</v>
      </c>
      <c r="F657" t="s">
        <v>1917</v>
      </c>
      <c r="G657" t="s">
        <v>1836</v>
      </c>
      <c r="H657" t="s">
        <v>51</v>
      </c>
      <c r="I657" t="s">
        <v>1837</v>
      </c>
      <c r="J657" t="s">
        <v>1838</v>
      </c>
      <c r="L657" t="s">
        <v>2077</v>
      </c>
    </row>
    <row r="658" spans="1:12" x14ac:dyDescent="0.25">
      <c r="A658" t="s">
        <v>2078</v>
      </c>
      <c r="E658" t="s">
        <v>1950</v>
      </c>
      <c r="F658" t="s">
        <v>1940</v>
      </c>
      <c r="G658" t="s">
        <v>1836</v>
      </c>
      <c r="H658" t="s">
        <v>51</v>
      </c>
      <c r="I658" t="s">
        <v>1837</v>
      </c>
      <c r="J658" t="s">
        <v>1838</v>
      </c>
      <c r="L658" t="s">
        <v>2077</v>
      </c>
    </row>
    <row r="659" spans="1:12" x14ac:dyDescent="0.25">
      <c r="A659" t="s">
        <v>2079</v>
      </c>
      <c r="E659" t="s">
        <v>1960</v>
      </c>
      <c r="F659" t="s">
        <v>394</v>
      </c>
      <c r="G659" t="s">
        <v>1836</v>
      </c>
      <c r="H659" t="s">
        <v>51</v>
      </c>
      <c r="I659" t="s">
        <v>1837</v>
      </c>
      <c r="J659" t="s">
        <v>1838</v>
      </c>
      <c r="L659" t="s">
        <v>1954</v>
      </c>
    </row>
    <row r="660" spans="1:12" x14ac:dyDescent="0.25">
      <c r="A660" t="s">
        <v>2080</v>
      </c>
      <c r="E660" t="s">
        <v>1973</v>
      </c>
      <c r="F660" t="s">
        <v>1851</v>
      </c>
      <c r="G660" t="s">
        <v>1836</v>
      </c>
      <c r="H660" t="s">
        <v>51</v>
      </c>
      <c r="I660" t="s">
        <v>1837</v>
      </c>
      <c r="J660" t="s">
        <v>1854</v>
      </c>
      <c r="L660" t="s">
        <v>2081</v>
      </c>
    </row>
    <row r="661" spans="1:12" x14ac:dyDescent="0.25">
      <c r="A661" t="s">
        <v>2082</v>
      </c>
      <c r="E661" t="s">
        <v>1844</v>
      </c>
      <c r="F661" t="s">
        <v>2083</v>
      </c>
      <c r="G661" t="s">
        <v>1836</v>
      </c>
      <c r="H661" t="s">
        <v>51</v>
      </c>
      <c r="I661" t="s">
        <v>1837</v>
      </c>
      <c r="J661" t="s">
        <v>1854</v>
      </c>
      <c r="L661" t="s">
        <v>2081</v>
      </c>
    </row>
    <row r="662" spans="1:12" x14ac:dyDescent="0.25">
      <c r="A662" t="s">
        <v>2084</v>
      </c>
      <c r="E662" t="s">
        <v>2085</v>
      </c>
      <c r="F662" t="s">
        <v>1889</v>
      </c>
      <c r="G662" t="s">
        <v>1836</v>
      </c>
      <c r="H662" t="s">
        <v>51</v>
      </c>
      <c r="I662" t="s">
        <v>1837</v>
      </c>
      <c r="J662" t="s">
        <v>1854</v>
      </c>
      <c r="L662" t="s">
        <v>2081</v>
      </c>
    </row>
    <row r="663" spans="1:12" x14ac:dyDescent="0.25">
      <c r="A663" t="s">
        <v>2086</v>
      </c>
      <c r="E663" t="s">
        <v>1879</v>
      </c>
      <c r="F663" t="s">
        <v>1127</v>
      </c>
      <c r="G663" t="s">
        <v>1836</v>
      </c>
      <c r="H663" t="s">
        <v>51</v>
      </c>
      <c r="I663" t="s">
        <v>1837</v>
      </c>
      <c r="J663" t="s">
        <v>1838</v>
      </c>
      <c r="L663" t="s">
        <v>2087</v>
      </c>
    </row>
    <row r="664" spans="1:12" x14ac:dyDescent="0.25">
      <c r="A664" t="s">
        <v>2088</v>
      </c>
      <c r="E664" t="s">
        <v>1973</v>
      </c>
      <c r="F664" t="s">
        <v>115</v>
      </c>
      <c r="G664" t="s">
        <v>1836</v>
      </c>
      <c r="H664" t="s">
        <v>51</v>
      </c>
      <c r="I664" t="s">
        <v>1837</v>
      </c>
      <c r="J664" t="s">
        <v>1838</v>
      </c>
      <c r="L664" t="s">
        <v>2089</v>
      </c>
    </row>
    <row r="665" spans="1:12" x14ac:dyDescent="0.25">
      <c r="A665" t="s">
        <v>2090</v>
      </c>
      <c r="B665" t="s">
        <v>2091</v>
      </c>
      <c r="C665" t="s">
        <v>2092</v>
      </c>
      <c r="F665" t="s">
        <v>1925</v>
      </c>
      <c r="G665" t="s">
        <v>1681</v>
      </c>
      <c r="H665" t="s">
        <v>51</v>
      </c>
      <c r="I665" t="s">
        <v>1682</v>
      </c>
      <c r="J665" t="s">
        <v>1691</v>
      </c>
      <c r="L665" t="s">
        <v>1271</v>
      </c>
    </row>
    <row r="666" spans="1:12" x14ac:dyDescent="0.25">
      <c r="A666" t="s">
        <v>2093</v>
      </c>
      <c r="B666" t="s">
        <v>2094</v>
      </c>
      <c r="C666" t="s">
        <v>2095</v>
      </c>
      <c r="F666" t="s">
        <v>1385</v>
      </c>
      <c r="G666" t="s">
        <v>1681</v>
      </c>
      <c r="H666" t="s">
        <v>51</v>
      </c>
      <c r="I666" t="s">
        <v>1682</v>
      </c>
      <c r="J666" t="s">
        <v>1691</v>
      </c>
      <c r="L666" t="s">
        <v>1271</v>
      </c>
    </row>
    <row r="667" spans="1:12" x14ac:dyDescent="0.25">
      <c r="A667" t="s">
        <v>2096</v>
      </c>
      <c r="B667" t="s">
        <v>2097</v>
      </c>
      <c r="C667" t="s">
        <v>2098</v>
      </c>
      <c r="F667" t="s">
        <v>2099</v>
      </c>
      <c r="G667" t="s">
        <v>1681</v>
      </c>
      <c r="H667" t="s">
        <v>51</v>
      </c>
      <c r="I667" t="s">
        <v>1682</v>
      </c>
      <c r="J667" t="s">
        <v>1691</v>
      </c>
      <c r="L667" t="s">
        <v>1271</v>
      </c>
    </row>
    <row r="668" spans="1:12" x14ac:dyDescent="0.25">
      <c r="A668" t="s">
        <v>2100</v>
      </c>
      <c r="E668" t="s">
        <v>1850</v>
      </c>
      <c r="F668" t="s">
        <v>277</v>
      </c>
      <c r="G668" t="s">
        <v>1836</v>
      </c>
      <c r="H668" t="s">
        <v>51</v>
      </c>
      <c r="I668" t="s">
        <v>1837</v>
      </c>
      <c r="J668" t="s">
        <v>1854</v>
      </c>
      <c r="L668" t="s">
        <v>2013</v>
      </c>
    </row>
    <row r="669" spans="1:12" x14ac:dyDescent="0.25">
      <c r="A669" t="s">
        <v>2101</v>
      </c>
      <c r="E669" t="s">
        <v>1952</v>
      </c>
      <c r="F669" t="s">
        <v>277</v>
      </c>
      <c r="G669" t="s">
        <v>1836</v>
      </c>
      <c r="H669" t="s">
        <v>51</v>
      </c>
      <c r="I669" t="s">
        <v>1837</v>
      </c>
      <c r="J669" t="s">
        <v>1838</v>
      </c>
      <c r="L669" t="s">
        <v>2102</v>
      </c>
    </row>
    <row r="670" spans="1:12" x14ac:dyDescent="0.25">
      <c r="A670" t="s">
        <v>2103</v>
      </c>
      <c r="E670" t="s">
        <v>2104</v>
      </c>
      <c r="F670" t="s">
        <v>438</v>
      </c>
      <c r="G670" t="s">
        <v>1836</v>
      </c>
      <c r="H670" t="s">
        <v>51</v>
      </c>
      <c r="I670" t="s">
        <v>1837</v>
      </c>
      <c r="J670" t="s">
        <v>1838</v>
      </c>
      <c r="L670" t="s">
        <v>2081</v>
      </c>
    </row>
    <row r="671" spans="1:12" x14ac:dyDescent="0.25">
      <c r="A671" t="s">
        <v>2105</v>
      </c>
      <c r="E671" t="s">
        <v>1857</v>
      </c>
      <c r="F671" t="s">
        <v>1884</v>
      </c>
      <c r="G671" t="s">
        <v>1836</v>
      </c>
      <c r="H671" t="s">
        <v>51</v>
      </c>
      <c r="I671" t="s">
        <v>1837</v>
      </c>
      <c r="J671" t="s">
        <v>1838</v>
      </c>
      <c r="L671" t="s">
        <v>2013</v>
      </c>
    </row>
    <row r="672" spans="1:12" x14ac:dyDescent="0.25">
      <c r="A672" t="s">
        <v>2106</v>
      </c>
      <c r="E672" t="s">
        <v>1944</v>
      </c>
      <c r="F672" t="s">
        <v>438</v>
      </c>
      <c r="G672" t="s">
        <v>1836</v>
      </c>
      <c r="H672" t="s">
        <v>51</v>
      </c>
      <c r="I672" t="s">
        <v>1837</v>
      </c>
      <c r="J672" t="s">
        <v>1838</v>
      </c>
      <c r="L672" t="s">
        <v>2013</v>
      </c>
    </row>
    <row r="673" spans="1:12" x14ac:dyDescent="0.25">
      <c r="A673" t="s">
        <v>2107</v>
      </c>
      <c r="E673" t="s">
        <v>2108</v>
      </c>
      <c r="F673" t="s">
        <v>86</v>
      </c>
      <c r="G673" t="s">
        <v>1836</v>
      </c>
      <c r="H673" t="s">
        <v>51</v>
      </c>
      <c r="I673" t="s">
        <v>1837</v>
      </c>
      <c r="J673" t="s">
        <v>1908</v>
      </c>
      <c r="L673" t="s">
        <v>2089</v>
      </c>
    </row>
    <row r="674" spans="1:12" x14ac:dyDescent="0.25">
      <c r="A674" t="s">
        <v>2109</v>
      </c>
      <c r="E674" t="s">
        <v>2110</v>
      </c>
      <c r="F674" t="s">
        <v>1842</v>
      </c>
      <c r="G674" t="s">
        <v>1836</v>
      </c>
      <c r="H674" t="s">
        <v>51</v>
      </c>
      <c r="I674" t="s">
        <v>1837</v>
      </c>
      <c r="J674" t="s">
        <v>1908</v>
      </c>
      <c r="L674" t="s">
        <v>2089</v>
      </c>
    </row>
    <row r="675" spans="1:12" x14ac:dyDescent="0.25">
      <c r="A675" t="s">
        <v>2111</v>
      </c>
      <c r="E675" t="s">
        <v>1944</v>
      </c>
      <c r="F675" t="s">
        <v>405</v>
      </c>
      <c r="G675" t="s">
        <v>1836</v>
      </c>
      <c r="H675" t="s">
        <v>51</v>
      </c>
      <c r="I675" t="s">
        <v>1837</v>
      </c>
      <c r="J675" t="s">
        <v>1854</v>
      </c>
      <c r="L675" t="s">
        <v>2081</v>
      </c>
    </row>
    <row r="676" spans="1:12" x14ac:dyDescent="0.25">
      <c r="A676" t="s">
        <v>2112</v>
      </c>
      <c r="E676" t="s">
        <v>1916</v>
      </c>
      <c r="F676" t="s">
        <v>1848</v>
      </c>
      <c r="G676" t="s">
        <v>1836</v>
      </c>
      <c r="H676" t="s">
        <v>51</v>
      </c>
      <c r="I676" t="s">
        <v>1837</v>
      </c>
      <c r="J676" t="s">
        <v>1838</v>
      </c>
      <c r="L676" t="s">
        <v>2081</v>
      </c>
    </row>
    <row r="677" spans="1:12" x14ac:dyDescent="0.25">
      <c r="A677" t="s">
        <v>2113</v>
      </c>
      <c r="E677" t="s">
        <v>1916</v>
      </c>
      <c r="F677" t="s">
        <v>1947</v>
      </c>
      <c r="G677" t="s">
        <v>1836</v>
      </c>
      <c r="H677" t="s">
        <v>51</v>
      </c>
      <c r="I677" t="s">
        <v>1837</v>
      </c>
      <c r="J677" t="s">
        <v>1854</v>
      </c>
      <c r="L677" t="s">
        <v>2081</v>
      </c>
    </row>
    <row r="678" spans="1:12" x14ac:dyDescent="0.25">
      <c r="A678" t="s">
        <v>2114</v>
      </c>
      <c r="E678" t="s">
        <v>1950</v>
      </c>
      <c r="F678" t="s">
        <v>1986</v>
      </c>
      <c r="G678" t="s">
        <v>1836</v>
      </c>
      <c r="H678" t="s">
        <v>51</v>
      </c>
      <c r="I678" t="s">
        <v>1837</v>
      </c>
      <c r="J678" t="s">
        <v>1838</v>
      </c>
      <c r="L678" t="s">
        <v>1898</v>
      </c>
    </row>
    <row r="679" spans="1:12" x14ac:dyDescent="0.25">
      <c r="A679" t="s">
        <v>2115</v>
      </c>
      <c r="E679" t="s">
        <v>2116</v>
      </c>
      <c r="F679" t="s">
        <v>1160</v>
      </c>
      <c r="G679" t="s">
        <v>1836</v>
      </c>
      <c r="H679" t="s">
        <v>51</v>
      </c>
      <c r="I679" t="s">
        <v>1837</v>
      </c>
      <c r="J679" t="s">
        <v>1838</v>
      </c>
      <c r="L679" t="s">
        <v>2102</v>
      </c>
    </row>
    <row r="680" spans="1:12" x14ac:dyDescent="0.25">
      <c r="A680" t="s">
        <v>2117</v>
      </c>
      <c r="E680" t="s">
        <v>2118</v>
      </c>
      <c r="F680" t="s">
        <v>2119</v>
      </c>
      <c r="G680" t="s">
        <v>1836</v>
      </c>
      <c r="H680" t="s">
        <v>51</v>
      </c>
      <c r="I680" t="s">
        <v>1837</v>
      </c>
      <c r="J680" t="s">
        <v>1838</v>
      </c>
      <c r="L680" t="s">
        <v>2102</v>
      </c>
    </row>
    <row r="681" spans="1:12" x14ac:dyDescent="0.25">
      <c r="A681" t="s">
        <v>2120</v>
      </c>
      <c r="B681" t="s">
        <v>2121</v>
      </c>
      <c r="C681" t="s">
        <v>2122</v>
      </c>
      <c r="F681" t="s">
        <v>2123</v>
      </c>
      <c r="G681" t="s">
        <v>1681</v>
      </c>
      <c r="H681" t="s">
        <v>51</v>
      </c>
      <c r="I681" t="s">
        <v>1682</v>
      </c>
      <c r="J681" t="s">
        <v>1691</v>
      </c>
      <c r="L681" t="s">
        <v>1271</v>
      </c>
    </row>
    <row r="682" spans="1:12" x14ac:dyDescent="0.25">
      <c r="A682" t="s">
        <v>2124</v>
      </c>
      <c r="B682" t="s">
        <v>2125</v>
      </c>
      <c r="C682" t="s">
        <v>2126</v>
      </c>
      <c r="F682" t="s">
        <v>1596</v>
      </c>
      <c r="G682" t="s">
        <v>1681</v>
      </c>
      <c r="H682" t="s">
        <v>51</v>
      </c>
      <c r="I682" t="s">
        <v>1682</v>
      </c>
      <c r="J682" t="s">
        <v>1691</v>
      </c>
      <c r="L682" t="s">
        <v>1271</v>
      </c>
    </row>
    <row r="683" spans="1:12" x14ac:dyDescent="0.25">
      <c r="A683" t="s">
        <v>2127</v>
      </c>
      <c r="B683" t="s">
        <v>2128</v>
      </c>
      <c r="C683" t="s">
        <v>2129</v>
      </c>
      <c r="F683" t="s">
        <v>2123</v>
      </c>
      <c r="G683" t="s">
        <v>1681</v>
      </c>
      <c r="H683" t="s">
        <v>51</v>
      </c>
      <c r="I683" t="s">
        <v>1682</v>
      </c>
      <c r="J683" t="s">
        <v>1691</v>
      </c>
      <c r="L683" t="s">
        <v>1271</v>
      </c>
    </row>
    <row r="684" spans="1:12" x14ac:dyDescent="0.25">
      <c r="A684" t="s">
        <v>2130</v>
      </c>
      <c r="B684" t="s">
        <v>2131</v>
      </c>
      <c r="F684" t="s">
        <v>398</v>
      </c>
      <c r="G684" t="s">
        <v>1836</v>
      </c>
      <c r="H684" t="s">
        <v>51</v>
      </c>
      <c r="I684" t="s">
        <v>1837</v>
      </c>
      <c r="J684" t="s">
        <v>1908</v>
      </c>
      <c r="L684" t="s">
        <v>2132</v>
      </c>
    </row>
    <row r="685" spans="1:12" x14ac:dyDescent="0.25">
      <c r="A685" t="s">
        <v>2133</v>
      </c>
      <c r="B685" t="s">
        <v>2134</v>
      </c>
      <c r="F685" t="s">
        <v>261</v>
      </c>
      <c r="G685" t="s">
        <v>1836</v>
      </c>
      <c r="H685" t="s">
        <v>51</v>
      </c>
      <c r="I685" t="s">
        <v>1837</v>
      </c>
      <c r="J685" t="s">
        <v>1908</v>
      </c>
      <c r="L685" t="s">
        <v>2132</v>
      </c>
    </row>
    <row r="686" spans="1:12" x14ac:dyDescent="0.25">
      <c r="A686" t="s">
        <v>2135</v>
      </c>
      <c r="B686" t="s">
        <v>2136</v>
      </c>
      <c r="F686" t="s">
        <v>1160</v>
      </c>
      <c r="G686" t="s">
        <v>1836</v>
      </c>
      <c r="H686" t="s">
        <v>51</v>
      </c>
      <c r="I686" t="s">
        <v>1837</v>
      </c>
      <c r="J686" t="s">
        <v>1908</v>
      </c>
      <c r="L686" t="s">
        <v>2132</v>
      </c>
    </row>
    <row r="687" spans="1:12" x14ac:dyDescent="0.25">
      <c r="A687" t="s">
        <v>2137</v>
      </c>
      <c r="B687" t="s">
        <v>2138</v>
      </c>
      <c r="F687" t="s">
        <v>468</v>
      </c>
      <c r="G687" t="s">
        <v>1836</v>
      </c>
      <c r="H687" t="s">
        <v>51</v>
      </c>
      <c r="I687" t="s">
        <v>1837</v>
      </c>
      <c r="J687" t="s">
        <v>1908</v>
      </c>
      <c r="L687" t="s">
        <v>2132</v>
      </c>
    </row>
    <row r="688" spans="1:12" x14ac:dyDescent="0.25">
      <c r="A688" t="s">
        <v>2139</v>
      </c>
      <c r="B688" t="s">
        <v>2140</v>
      </c>
      <c r="F688" t="s">
        <v>468</v>
      </c>
      <c r="G688" t="s">
        <v>1836</v>
      </c>
      <c r="H688" t="s">
        <v>51</v>
      </c>
      <c r="I688" t="s">
        <v>1837</v>
      </c>
      <c r="J688" t="s">
        <v>1908</v>
      </c>
      <c r="L688" t="s">
        <v>2132</v>
      </c>
    </row>
    <row r="689" spans="1:12" x14ac:dyDescent="0.25">
      <c r="A689" t="s">
        <v>2141</v>
      </c>
      <c r="B689" t="s">
        <v>2142</v>
      </c>
      <c r="C689" t="s">
        <v>2143</v>
      </c>
      <c r="F689" t="s">
        <v>2144</v>
      </c>
      <c r="G689" t="s">
        <v>1681</v>
      </c>
      <c r="H689" t="s">
        <v>51</v>
      </c>
      <c r="I689" t="s">
        <v>1682</v>
      </c>
      <c r="J689" t="s">
        <v>1691</v>
      </c>
      <c r="L689" t="s">
        <v>1271</v>
      </c>
    </row>
    <row r="690" spans="1:12" x14ac:dyDescent="0.25">
      <c r="A690" t="s">
        <v>2145</v>
      </c>
      <c r="B690" t="s">
        <v>2121</v>
      </c>
      <c r="C690" t="s">
        <v>2146</v>
      </c>
      <c r="F690" t="s">
        <v>2123</v>
      </c>
      <c r="G690" t="s">
        <v>1681</v>
      </c>
      <c r="H690" t="s">
        <v>51</v>
      </c>
      <c r="I690" t="s">
        <v>1682</v>
      </c>
      <c r="J690" t="s">
        <v>1691</v>
      </c>
      <c r="L690" t="s">
        <v>1271</v>
      </c>
    </row>
    <row r="691" spans="1:12" x14ac:dyDescent="0.25">
      <c r="A691" t="s">
        <v>2147</v>
      </c>
      <c r="B691" t="s">
        <v>2148</v>
      </c>
      <c r="C691" t="s">
        <v>2149</v>
      </c>
      <c r="F691" t="s">
        <v>1601</v>
      </c>
      <c r="G691" t="s">
        <v>1681</v>
      </c>
      <c r="H691" t="s">
        <v>51</v>
      </c>
      <c r="I691" t="s">
        <v>1682</v>
      </c>
      <c r="J691" t="s">
        <v>1691</v>
      </c>
      <c r="L691" t="s">
        <v>1271</v>
      </c>
    </row>
    <row r="692" spans="1:12" x14ac:dyDescent="0.25">
      <c r="A692" t="s">
        <v>2150</v>
      </c>
      <c r="B692" t="s">
        <v>2151</v>
      </c>
      <c r="C692" t="s">
        <v>2152</v>
      </c>
      <c r="F692" t="s">
        <v>1596</v>
      </c>
      <c r="G692" t="s">
        <v>1681</v>
      </c>
      <c r="H692" t="s">
        <v>51</v>
      </c>
      <c r="I692" t="s">
        <v>1682</v>
      </c>
      <c r="J692" t="s">
        <v>1691</v>
      </c>
      <c r="L692" t="s">
        <v>1271</v>
      </c>
    </row>
    <row r="693" spans="1:12" x14ac:dyDescent="0.25">
      <c r="A693" t="s">
        <v>2153</v>
      </c>
      <c r="B693" t="s">
        <v>2151</v>
      </c>
      <c r="C693" t="s">
        <v>2154</v>
      </c>
      <c r="F693" t="s">
        <v>1596</v>
      </c>
      <c r="G693" t="s">
        <v>1681</v>
      </c>
      <c r="H693" t="s">
        <v>51</v>
      </c>
      <c r="I693" t="s">
        <v>1682</v>
      </c>
      <c r="J693" t="s">
        <v>1691</v>
      </c>
      <c r="L693" t="s">
        <v>1271</v>
      </c>
    </row>
    <row r="694" spans="1:12" x14ac:dyDescent="0.25">
      <c r="A694" t="s">
        <v>2155</v>
      </c>
      <c r="B694" t="s">
        <v>2121</v>
      </c>
      <c r="C694" t="s">
        <v>2156</v>
      </c>
      <c r="F694" t="s">
        <v>2123</v>
      </c>
      <c r="G694" t="s">
        <v>1681</v>
      </c>
      <c r="H694" t="s">
        <v>51</v>
      </c>
      <c r="I694" t="s">
        <v>1682</v>
      </c>
      <c r="J694" t="s">
        <v>1691</v>
      </c>
      <c r="L694" t="s">
        <v>1271</v>
      </c>
    </row>
    <row r="695" spans="1:12" x14ac:dyDescent="0.25">
      <c r="A695" t="s">
        <v>2157</v>
      </c>
      <c r="B695" t="s">
        <v>2148</v>
      </c>
      <c r="C695" t="s">
        <v>2158</v>
      </c>
      <c r="F695" t="s">
        <v>1601</v>
      </c>
      <c r="G695" t="s">
        <v>1681</v>
      </c>
      <c r="H695" t="s">
        <v>51</v>
      </c>
      <c r="I695" t="s">
        <v>1682</v>
      </c>
      <c r="J695" t="s">
        <v>1691</v>
      </c>
      <c r="L695" t="s">
        <v>1271</v>
      </c>
    </row>
    <row r="696" spans="1:12" x14ac:dyDescent="0.25">
      <c r="A696" t="s">
        <v>2159</v>
      </c>
      <c r="B696" t="s">
        <v>2160</v>
      </c>
      <c r="C696" t="s">
        <v>2161</v>
      </c>
      <c r="F696" t="s">
        <v>1596</v>
      </c>
      <c r="G696" t="s">
        <v>1681</v>
      </c>
      <c r="H696" t="s">
        <v>51</v>
      </c>
      <c r="I696" t="s">
        <v>1682</v>
      </c>
      <c r="J696" t="s">
        <v>1691</v>
      </c>
      <c r="L696" t="s">
        <v>1271</v>
      </c>
    </row>
    <row r="697" spans="1:12" x14ac:dyDescent="0.25">
      <c r="A697" t="s">
        <v>2162</v>
      </c>
      <c r="B697" t="s">
        <v>2160</v>
      </c>
      <c r="C697" t="s">
        <v>2163</v>
      </c>
      <c r="F697" t="s">
        <v>1596</v>
      </c>
      <c r="G697" t="s">
        <v>1681</v>
      </c>
      <c r="H697" t="s">
        <v>51</v>
      </c>
      <c r="I697" t="s">
        <v>1682</v>
      </c>
      <c r="J697" t="s">
        <v>1691</v>
      </c>
      <c r="L697" t="s">
        <v>1271</v>
      </c>
    </row>
    <row r="698" spans="1:12" x14ac:dyDescent="0.25">
      <c r="A698" t="s">
        <v>2164</v>
      </c>
      <c r="B698" t="s">
        <v>2165</v>
      </c>
      <c r="C698" t="s">
        <v>2166</v>
      </c>
      <c r="F698" t="s">
        <v>1593</v>
      </c>
      <c r="G698" t="s">
        <v>1681</v>
      </c>
      <c r="H698" t="s">
        <v>51</v>
      </c>
      <c r="I698" t="s">
        <v>1682</v>
      </c>
      <c r="J698" t="s">
        <v>1691</v>
      </c>
      <c r="L698" t="s">
        <v>1271</v>
      </c>
    </row>
    <row r="699" spans="1:12" x14ac:dyDescent="0.25">
      <c r="A699" t="s">
        <v>2167</v>
      </c>
      <c r="B699" t="s">
        <v>2168</v>
      </c>
      <c r="C699" t="s">
        <v>2169</v>
      </c>
      <c r="F699" t="s">
        <v>2099</v>
      </c>
      <c r="G699" t="s">
        <v>1681</v>
      </c>
      <c r="H699" t="s">
        <v>51</v>
      </c>
      <c r="I699" t="s">
        <v>1682</v>
      </c>
      <c r="J699" t="s">
        <v>1691</v>
      </c>
      <c r="L699" t="s">
        <v>1271</v>
      </c>
    </row>
    <row r="700" spans="1:12" x14ac:dyDescent="0.25">
      <c r="A700" t="s">
        <v>2170</v>
      </c>
      <c r="B700" t="s">
        <v>2125</v>
      </c>
      <c r="C700" t="s">
        <v>2171</v>
      </c>
      <c r="F700" t="s">
        <v>1596</v>
      </c>
      <c r="G700" t="s">
        <v>1681</v>
      </c>
      <c r="H700" t="s">
        <v>51</v>
      </c>
      <c r="I700" t="s">
        <v>1682</v>
      </c>
      <c r="J700" t="s">
        <v>1691</v>
      </c>
      <c r="L700" t="s">
        <v>1271</v>
      </c>
    </row>
    <row r="701" spans="1:12" x14ac:dyDescent="0.25">
      <c r="A701" t="s">
        <v>2172</v>
      </c>
      <c r="B701" t="s">
        <v>2173</v>
      </c>
      <c r="C701" t="s">
        <v>2174</v>
      </c>
      <c r="F701" t="s">
        <v>1632</v>
      </c>
      <c r="G701" t="s">
        <v>1681</v>
      </c>
      <c r="H701" t="s">
        <v>51</v>
      </c>
      <c r="I701" t="s">
        <v>1682</v>
      </c>
      <c r="J701" t="s">
        <v>1691</v>
      </c>
      <c r="L701" t="s">
        <v>1271</v>
      </c>
    </row>
    <row r="702" spans="1:12" x14ac:dyDescent="0.25">
      <c r="A702" t="s">
        <v>2175</v>
      </c>
      <c r="B702" t="s">
        <v>2176</v>
      </c>
      <c r="C702" t="s">
        <v>2177</v>
      </c>
      <c r="F702" t="s">
        <v>2099</v>
      </c>
      <c r="G702" t="s">
        <v>1681</v>
      </c>
      <c r="H702" t="s">
        <v>51</v>
      </c>
      <c r="I702" t="s">
        <v>1682</v>
      </c>
      <c r="J702" t="s">
        <v>1691</v>
      </c>
      <c r="L702" t="s">
        <v>1271</v>
      </c>
    </row>
    <row r="703" spans="1:12" x14ac:dyDescent="0.25">
      <c r="A703" t="s">
        <v>2178</v>
      </c>
      <c r="B703" t="s">
        <v>2173</v>
      </c>
      <c r="C703" t="s">
        <v>2179</v>
      </c>
      <c r="F703" t="s">
        <v>1632</v>
      </c>
      <c r="G703" t="s">
        <v>1681</v>
      </c>
      <c r="H703" t="s">
        <v>51</v>
      </c>
      <c r="I703" t="s">
        <v>1682</v>
      </c>
      <c r="J703" t="s">
        <v>1691</v>
      </c>
      <c r="L703" t="s">
        <v>1271</v>
      </c>
    </row>
    <row r="704" spans="1:12" x14ac:dyDescent="0.25">
      <c r="A704" t="s">
        <v>2180</v>
      </c>
      <c r="B704" t="s">
        <v>2181</v>
      </c>
      <c r="C704" t="s">
        <v>2182</v>
      </c>
      <c r="F704" t="s">
        <v>2183</v>
      </c>
      <c r="G704" t="s">
        <v>1681</v>
      </c>
      <c r="H704" t="s">
        <v>51</v>
      </c>
      <c r="I704" t="s">
        <v>1682</v>
      </c>
      <c r="J704" t="s">
        <v>1691</v>
      </c>
      <c r="L704" t="s">
        <v>1271</v>
      </c>
    </row>
    <row r="705" spans="1:12" x14ac:dyDescent="0.25">
      <c r="A705" t="s">
        <v>2184</v>
      </c>
      <c r="B705" t="s">
        <v>2185</v>
      </c>
      <c r="C705" t="s">
        <v>2186</v>
      </c>
      <c r="F705" t="s">
        <v>2187</v>
      </c>
      <c r="G705" t="s">
        <v>1681</v>
      </c>
      <c r="H705" t="s">
        <v>51</v>
      </c>
      <c r="I705" t="s">
        <v>1682</v>
      </c>
      <c r="J705" t="s">
        <v>1691</v>
      </c>
      <c r="L705" t="s">
        <v>1271</v>
      </c>
    </row>
    <row r="706" spans="1:12" x14ac:dyDescent="0.25">
      <c r="A706" t="s">
        <v>2188</v>
      </c>
      <c r="B706" t="s">
        <v>2189</v>
      </c>
      <c r="C706" t="s">
        <v>2190</v>
      </c>
      <c r="F706" t="s">
        <v>1680</v>
      </c>
      <c r="G706" t="s">
        <v>1681</v>
      </c>
      <c r="H706" t="s">
        <v>51</v>
      </c>
      <c r="I706" t="s">
        <v>1682</v>
      </c>
      <c r="J706" t="s">
        <v>1691</v>
      </c>
      <c r="L706" t="s">
        <v>1271</v>
      </c>
    </row>
    <row r="707" spans="1:12" x14ac:dyDescent="0.25">
      <c r="A707" t="s">
        <v>2191</v>
      </c>
      <c r="B707" t="s">
        <v>2192</v>
      </c>
      <c r="C707" t="s">
        <v>2193</v>
      </c>
      <c r="F707" t="s">
        <v>1374</v>
      </c>
      <c r="G707" t="s">
        <v>1681</v>
      </c>
      <c r="H707" t="s">
        <v>51</v>
      </c>
      <c r="I707" t="s">
        <v>1682</v>
      </c>
      <c r="J707" t="s">
        <v>1691</v>
      </c>
      <c r="L707" t="s">
        <v>1271</v>
      </c>
    </row>
    <row r="708" spans="1:12" x14ac:dyDescent="0.25">
      <c r="A708" t="s">
        <v>2194</v>
      </c>
      <c r="B708" t="s">
        <v>2195</v>
      </c>
      <c r="C708" t="s">
        <v>2196</v>
      </c>
      <c r="F708" t="s">
        <v>885</v>
      </c>
      <c r="G708" t="s">
        <v>1681</v>
      </c>
      <c r="H708" t="s">
        <v>51</v>
      </c>
      <c r="I708" t="s">
        <v>1682</v>
      </c>
      <c r="J708" t="s">
        <v>1691</v>
      </c>
      <c r="L708" t="s">
        <v>1271</v>
      </c>
    </row>
    <row r="709" spans="1:12" x14ac:dyDescent="0.25">
      <c r="A709" t="s">
        <v>2197</v>
      </c>
      <c r="B709" t="s">
        <v>2198</v>
      </c>
      <c r="C709" t="s">
        <v>2199</v>
      </c>
      <c r="F709" t="s">
        <v>2200</v>
      </c>
      <c r="G709" t="s">
        <v>1681</v>
      </c>
      <c r="H709" t="s">
        <v>51</v>
      </c>
      <c r="I709" t="s">
        <v>1682</v>
      </c>
      <c r="J709" t="s">
        <v>1691</v>
      </c>
      <c r="L709" t="s">
        <v>1271</v>
      </c>
    </row>
    <row r="710" spans="1:12" x14ac:dyDescent="0.25">
      <c r="A710" t="s">
        <v>2201</v>
      </c>
      <c r="B710" t="s">
        <v>2202</v>
      </c>
      <c r="C710" t="s">
        <v>2203</v>
      </c>
      <c r="F710" t="s">
        <v>1795</v>
      </c>
      <c r="G710" t="s">
        <v>1681</v>
      </c>
      <c r="H710" t="s">
        <v>51</v>
      </c>
      <c r="I710" t="s">
        <v>1682</v>
      </c>
      <c r="J710" t="s">
        <v>1691</v>
      </c>
      <c r="L710" t="s">
        <v>1271</v>
      </c>
    </row>
    <row r="711" spans="1:12" x14ac:dyDescent="0.25">
      <c r="A711" t="s">
        <v>2204</v>
      </c>
      <c r="B711" t="s">
        <v>2205</v>
      </c>
      <c r="C711" t="s">
        <v>2206</v>
      </c>
      <c r="F711" t="s">
        <v>1756</v>
      </c>
      <c r="G711" t="s">
        <v>1681</v>
      </c>
      <c r="H711" t="s">
        <v>51</v>
      </c>
      <c r="I711" t="s">
        <v>1682</v>
      </c>
      <c r="J711" t="s">
        <v>1691</v>
      </c>
      <c r="L711" t="s">
        <v>1271</v>
      </c>
    </row>
    <row r="712" spans="1:12" x14ac:dyDescent="0.25">
      <c r="A712" t="s">
        <v>2207</v>
      </c>
      <c r="B712" t="s">
        <v>2208</v>
      </c>
      <c r="C712" t="s">
        <v>2209</v>
      </c>
      <c r="F712" t="s">
        <v>1929</v>
      </c>
      <c r="G712" t="s">
        <v>1681</v>
      </c>
      <c r="H712" t="s">
        <v>51</v>
      </c>
      <c r="I712" t="s">
        <v>1682</v>
      </c>
      <c r="J712" t="s">
        <v>1691</v>
      </c>
      <c r="L712" t="s">
        <v>1271</v>
      </c>
    </row>
    <row r="713" spans="1:12" x14ac:dyDescent="0.25">
      <c r="A713" t="s">
        <v>2210</v>
      </c>
      <c r="B713" t="s">
        <v>2211</v>
      </c>
      <c r="C713" t="s">
        <v>2212</v>
      </c>
      <c r="F713" t="s">
        <v>2213</v>
      </c>
      <c r="G713" t="s">
        <v>1681</v>
      </c>
      <c r="H713" t="s">
        <v>51</v>
      </c>
      <c r="I713" t="s">
        <v>1682</v>
      </c>
      <c r="J713" t="s">
        <v>1691</v>
      </c>
      <c r="L713" t="s">
        <v>1271</v>
      </c>
    </row>
    <row r="714" spans="1:12" x14ac:dyDescent="0.25">
      <c r="A714" t="s">
        <v>2214</v>
      </c>
      <c r="E714" t="s">
        <v>1919</v>
      </c>
      <c r="F714" t="s">
        <v>1670</v>
      </c>
      <c r="G714" t="s">
        <v>1836</v>
      </c>
      <c r="H714" t="s">
        <v>51</v>
      </c>
      <c r="I714" t="s">
        <v>1837</v>
      </c>
      <c r="J714" t="s">
        <v>1908</v>
      </c>
      <c r="L714" t="s">
        <v>2215</v>
      </c>
    </row>
    <row r="715" spans="1:12" x14ac:dyDescent="0.25">
      <c r="A715" t="s">
        <v>2216</v>
      </c>
      <c r="B715" t="s">
        <v>2217</v>
      </c>
      <c r="F715" t="s">
        <v>122</v>
      </c>
      <c r="G715" t="s">
        <v>123</v>
      </c>
      <c r="H715" t="s">
        <v>51</v>
      </c>
      <c r="I715" t="s">
        <v>124</v>
      </c>
      <c r="J715" t="s">
        <v>125</v>
      </c>
      <c r="L715" t="s">
        <v>126</v>
      </c>
    </row>
    <row r="716" spans="1:12" x14ac:dyDescent="0.25">
      <c r="A716" t="s">
        <v>2218</v>
      </c>
      <c r="B716" t="s">
        <v>2219</v>
      </c>
      <c r="F716" t="s">
        <v>122</v>
      </c>
      <c r="G716" t="s">
        <v>123</v>
      </c>
      <c r="H716" t="s">
        <v>51</v>
      </c>
      <c r="I716" t="s">
        <v>124</v>
      </c>
      <c r="J716" t="s">
        <v>125</v>
      </c>
      <c r="L716" t="s">
        <v>126</v>
      </c>
    </row>
    <row r="717" spans="1:12" x14ac:dyDescent="0.25">
      <c r="A717" t="s">
        <v>2220</v>
      </c>
      <c r="B717" t="s">
        <v>2221</v>
      </c>
      <c r="F717" t="s">
        <v>515</v>
      </c>
      <c r="G717" t="s">
        <v>123</v>
      </c>
      <c r="H717" t="s">
        <v>51</v>
      </c>
      <c r="I717" t="s">
        <v>124</v>
      </c>
      <c r="J717" t="s">
        <v>125</v>
      </c>
      <c r="L717" t="s">
        <v>126</v>
      </c>
    </row>
    <row r="718" spans="1:12" x14ac:dyDescent="0.25">
      <c r="A718" t="s">
        <v>2222</v>
      </c>
      <c r="B718" t="s">
        <v>2223</v>
      </c>
      <c r="F718" t="s">
        <v>515</v>
      </c>
      <c r="G718" t="s">
        <v>123</v>
      </c>
      <c r="H718" t="s">
        <v>51</v>
      </c>
      <c r="I718" t="s">
        <v>124</v>
      </c>
      <c r="J718" t="s">
        <v>125</v>
      </c>
      <c r="L718" t="s">
        <v>126</v>
      </c>
    </row>
    <row r="719" spans="1:12" x14ac:dyDescent="0.25">
      <c r="A719" t="s">
        <v>2224</v>
      </c>
      <c r="B719" t="s">
        <v>2225</v>
      </c>
      <c r="C719" t="s">
        <v>2226</v>
      </c>
      <c r="F719" t="s">
        <v>2227</v>
      </c>
      <c r="G719" t="s">
        <v>1722</v>
      </c>
      <c r="H719" t="s">
        <v>51</v>
      </c>
      <c r="I719" t="s">
        <v>1723</v>
      </c>
      <c r="J719" t="s">
        <v>1724</v>
      </c>
      <c r="L719" t="s">
        <v>1271</v>
      </c>
    </row>
    <row r="720" spans="1:12" x14ac:dyDescent="0.25">
      <c r="A720" t="s">
        <v>2228</v>
      </c>
      <c r="B720" t="s">
        <v>2229</v>
      </c>
      <c r="C720" t="s">
        <v>2230</v>
      </c>
      <c r="F720" t="s">
        <v>2231</v>
      </c>
      <c r="G720" t="s">
        <v>1722</v>
      </c>
      <c r="H720" t="s">
        <v>51</v>
      </c>
      <c r="I720" t="s">
        <v>1723</v>
      </c>
      <c r="J720" t="s">
        <v>1724</v>
      </c>
      <c r="L720" t="s">
        <v>1271</v>
      </c>
    </row>
    <row r="721" spans="1:12" x14ac:dyDescent="0.25">
      <c r="A721" t="s">
        <v>2232</v>
      </c>
      <c r="B721" t="s">
        <v>2233</v>
      </c>
      <c r="C721" t="s">
        <v>2234</v>
      </c>
      <c r="F721" t="s">
        <v>2235</v>
      </c>
      <c r="G721" t="s">
        <v>1722</v>
      </c>
      <c r="H721" t="s">
        <v>51</v>
      </c>
      <c r="I721" t="s">
        <v>1723</v>
      </c>
      <c r="J721" t="s">
        <v>1724</v>
      </c>
      <c r="L721" t="s">
        <v>1271</v>
      </c>
    </row>
    <row r="722" spans="1:12" x14ac:dyDescent="0.25">
      <c r="A722" t="s">
        <v>2236</v>
      </c>
      <c r="B722" t="s">
        <v>2237</v>
      </c>
      <c r="C722" t="s">
        <v>2238</v>
      </c>
      <c r="F722" t="s">
        <v>2239</v>
      </c>
      <c r="G722" t="s">
        <v>1722</v>
      </c>
      <c r="H722" t="s">
        <v>51</v>
      </c>
      <c r="I722" t="s">
        <v>1723</v>
      </c>
      <c r="J722" t="s">
        <v>1724</v>
      </c>
      <c r="L722" t="s">
        <v>1271</v>
      </c>
    </row>
    <row r="723" spans="1:12" x14ac:dyDescent="0.25">
      <c r="A723" t="s">
        <v>2240</v>
      </c>
      <c r="B723" t="s">
        <v>2241</v>
      </c>
      <c r="C723" t="s">
        <v>2242</v>
      </c>
      <c r="F723" t="s">
        <v>2243</v>
      </c>
      <c r="G723" t="s">
        <v>1722</v>
      </c>
      <c r="H723" t="s">
        <v>51</v>
      </c>
      <c r="I723" t="s">
        <v>1723</v>
      </c>
      <c r="J723" t="s">
        <v>1724</v>
      </c>
      <c r="L723" t="s">
        <v>1271</v>
      </c>
    </row>
    <row r="724" spans="1:12" x14ac:dyDescent="0.25">
      <c r="A724" t="s">
        <v>2244</v>
      </c>
      <c r="B724" t="s">
        <v>2245</v>
      </c>
      <c r="C724" t="s">
        <v>2246</v>
      </c>
      <c r="F724" t="s">
        <v>2247</v>
      </c>
      <c r="G724" t="s">
        <v>1722</v>
      </c>
      <c r="H724" t="s">
        <v>51</v>
      </c>
      <c r="I724" t="s">
        <v>1723</v>
      </c>
      <c r="J724" t="s">
        <v>1724</v>
      </c>
      <c r="L724" t="s">
        <v>1271</v>
      </c>
    </row>
    <row r="725" spans="1:12" x14ac:dyDescent="0.25">
      <c r="A725" t="s">
        <v>2248</v>
      </c>
      <c r="B725" t="s">
        <v>2249</v>
      </c>
      <c r="C725" t="s">
        <v>2250</v>
      </c>
      <c r="F725" t="s">
        <v>2251</v>
      </c>
      <c r="G725" t="s">
        <v>1722</v>
      </c>
      <c r="H725" t="s">
        <v>51</v>
      </c>
      <c r="I725" t="s">
        <v>1723</v>
      </c>
      <c r="J725" t="s">
        <v>1724</v>
      </c>
      <c r="L725" t="s">
        <v>1271</v>
      </c>
    </row>
    <row r="726" spans="1:12" x14ac:dyDescent="0.25">
      <c r="A726" t="s">
        <v>2252</v>
      </c>
      <c r="B726" t="s">
        <v>2253</v>
      </c>
      <c r="C726" t="s">
        <v>2254</v>
      </c>
      <c r="F726" t="s">
        <v>2251</v>
      </c>
      <c r="G726" t="s">
        <v>1722</v>
      </c>
      <c r="H726" t="s">
        <v>51</v>
      </c>
      <c r="I726" t="s">
        <v>1723</v>
      </c>
      <c r="J726" t="s">
        <v>1724</v>
      </c>
      <c r="L726" t="s">
        <v>1271</v>
      </c>
    </row>
    <row r="727" spans="1:12" x14ac:dyDescent="0.25">
      <c r="A727" t="s">
        <v>2255</v>
      </c>
      <c r="B727" t="s">
        <v>2256</v>
      </c>
      <c r="C727" t="s">
        <v>2257</v>
      </c>
      <c r="F727" t="s">
        <v>2251</v>
      </c>
      <c r="G727" t="s">
        <v>1722</v>
      </c>
      <c r="H727" t="s">
        <v>51</v>
      </c>
      <c r="I727" t="s">
        <v>1723</v>
      </c>
      <c r="J727" t="s">
        <v>1724</v>
      </c>
      <c r="L727" t="s">
        <v>1271</v>
      </c>
    </row>
    <row r="728" spans="1:12" x14ac:dyDescent="0.25">
      <c r="A728" t="s">
        <v>2258</v>
      </c>
      <c r="B728" t="s">
        <v>2259</v>
      </c>
      <c r="F728" t="s">
        <v>2260</v>
      </c>
      <c r="G728" t="s">
        <v>123</v>
      </c>
      <c r="H728" t="s">
        <v>51</v>
      </c>
      <c r="I728" t="s">
        <v>124</v>
      </c>
      <c r="J728" t="s">
        <v>125</v>
      </c>
      <c r="L728" t="s">
        <v>126</v>
      </c>
    </row>
    <row r="729" spans="1:12" x14ac:dyDescent="0.25">
      <c r="A729" t="s">
        <v>2261</v>
      </c>
      <c r="B729" t="s">
        <v>2262</v>
      </c>
      <c r="F729" t="s">
        <v>122</v>
      </c>
      <c r="G729" t="s">
        <v>123</v>
      </c>
      <c r="H729" t="s">
        <v>51</v>
      </c>
      <c r="I729" t="s">
        <v>124</v>
      </c>
      <c r="J729" t="s">
        <v>125</v>
      </c>
      <c r="L729" t="s">
        <v>126</v>
      </c>
    </row>
    <row r="730" spans="1:12" x14ac:dyDescent="0.25">
      <c r="A730" t="s">
        <v>2263</v>
      </c>
      <c r="B730" t="s">
        <v>2264</v>
      </c>
      <c r="F730" t="s">
        <v>515</v>
      </c>
      <c r="G730" t="s">
        <v>123</v>
      </c>
      <c r="H730" t="s">
        <v>51</v>
      </c>
      <c r="I730" t="s">
        <v>124</v>
      </c>
      <c r="J730" t="s">
        <v>125</v>
      </c>
      <c r="L730" t="s">
        <v>126</v>
      </c>
    </row>
    <row r="731" spans="1:12" x14ac:dyDescent="0.25">
      <c r="A731" t="s">
        <v>2265</v>
      </c>
      <c r="B731" t="s">
        <v>2266</v>
      </c>
      <c r="F731" t="s">
        <v>2260</v>
      </c>
      <c r="G731" t="s">
        <v>123</v>
      </c>
      <c r="H731" t="s">
        <v>51</v>
      </c>
      <c r="I731" t="s">
        <v>124</v>
      </c>
      <c r="J731" t="s">
        <v>125</v>
      </c>
      <c r="L731" t="s">
        <v>126</v>
      </c>
    </row>
    <row r="732" spans="1:12" x14ac:dyDescent="0.25">
      <c r="A732" t="s">
        <v>2267</v>
      </c>
      <c r="B732" t="s">
        <v>2268</v>
      </c>
      <c r="C732" t="s">
        <v>2269</v>
      </c>
      <c r="F732" t="s">
        <v>2270</v>
      </c>
      <c r="G732" t="s">
        <v>1722</v>
      </c>
      <c r="H732" t="s">
        <v>51</v>
      </c>
      <c r="I732" t="s">
        <v>1723</v>
      </c>
      <c r="J732" t="s">
        <v>1724</v>
      </c>
      <c r="L732" t="s">
        <v>1271</v>
      </c>
    </row>
    <row r="733" spans="1:12" x14ac:dyDescent="0.25">
      <c r="A733" t="s">
        <v>2271</v>
      </c>
      <c r="B733" t="s">
        <v>2272</v>
      </c>
      <c r="C733" t="s">
        <v>2273</v>
      </c>
      <c r="F733" t="s">
        <v>2274</v>
      </c>
      <c r="G733" t="s">
        <v>1722</v>
      </c>
      <c r="H733" t="s">
        <v>51</v>
      </c>
      <c r="I733" t="s">
        <v>1723</v>
      </c>
      <c r="J733" t="s">
        <v>1724</v>
      </c>
      <c r="L733" t="s">
        <v>1271</v>
      </c>
    </row>
    <row r="734" spans="1:12" x14ac:dyDescent="0.25">
      <c r="A734" t="s">
        <v>2275</v>
      </c>
      <c r="B734" t="s">
        <v>2276</v>
      </c>
      <c r="C734" t="s">
        <v>2277</v>
      </c>
      <c r="F734" t="s">
        <v>2278</v>
      </c>
      <c r="G734" t="s">
        <v>1722</v>
      </c>
      <c r="H734" t="s">
        <v>51</v>
      </c>
      <c r="I734" t="s">
        <v>1723</v>
      </c>
      <c r="J734" t="s">
        <v>1724</v>
      </c>
      <c r="L734" t="s">
        <v>1271</v>
      </c>
    </row>
    <row r="735" spans="1:12" x14ac:dyDescent="0.25">
      <c r="A735" t="s">
        <v>2279</v>
      </c>
      <c r="B735" t="s">
        <v>2280</v>
      </c>
      <c r="C735" t="s">
        <v>2281</v>
      </c>
      <c r="F735" t="s">
        <v>2282</v>
      </c>
      <c r="G735" t="s">
        <v>1722</v>
      </c>
      <c r="H735" t="s">
        <v>51</v>
      </c>
      <c r="I735" t="s">
        <v>1723</v>
      </c>
      <c r="J735" t="s">
        <v>1724</v>
      </c>
      <c r="L735" t="s">
        <v>1271</v>
      </c>
    </row>
    <row r="736" spans="1:12" x14ac:dyDescent="0.25">
      <c r="A736" t="s">
        <v>2283</v>
      </c>
      <c r="B736" t="s">
        <v>2284</v>
      </c>
      <c r="C736" t="s">
        <v>2285</v>
      </c>
      <c r="F736" t="s">
        <v>1848</v>
      </c>
      <c r="G736" t="s">
        <v>1722</v>
      </c>
      <c r="H736" t="s">
        <v>51</v>
      </c>
      <c r="I736" t="s">
        <v>1723</v>
      </c>
      <c r="J736" t="s">
        <v>1724</v>
      </c>
      <c r="L736" t="s">
        <v>1271</v>
      </c>
    </row>
    <row r="737" spans="1:12" x14ac:dyDescent="0.25">
      <c r="A737" t="s">
        <v>2286</v>
      </c>
      <c r="B737" t="s">
        <v>2287</v>
      </c>
      <c r="C737" t="s">
        <v>2288</v>
      </c>
      <c r="F737" t="s">
        <v>152</v>
      </c>
      <c r="G737" t="s">
        <v>1722</v>
      </c>
      <c r="H737" t="s">
        <v>51</v>
      </c>
      <c r="I737" t="s">
        <v>1723</v>
      </c>
      <c r="J737" t="s">
        <v>2289</v>
      </c>
      <c r="L737" t="s">
        <v>2290</v>
      </c>
    </row>
    <row r="738" spans="1:12" x14ac:dyDescent="0.25">
      <c r="A738" t="s">
        <v>2291</v>
      </c>
      <c r="B738" t="s">
        <v>2292</v>
      </c>
      <c r="C738" t="s">
        <v>2293</v>
      </c>
      <c r="F738" t="s">
        <v>1670</v>
      </c>
      <c r="G738" t="s">
        <v>1722</v>
      </c>
      <c r="H738" t="s">
        <v>51</v>
      </c>
      <c r="I738" t="s">
        <v>1723</v>
      </c>
      <c r="J738" t="s">
        <v>2289</v>
      </c>
      <c r="L738" t="s">
        <v>2290</v>
      </c>
    </row>
    <row r="739" spans="1:12" x14ac:dyDescent="0.25">
      <c r="A739" t="s">
        <v>2294</v>
      </c>
      <c r="B739" t="s">
        <v>2295</v>
      </c>
      <c r="C739" t="s">
        <v>2296</v>
      </c>
      <c r="F739" t="s">
        <v>2278</v>
      </c>
      <c r="G739" t="s">
        <v>1722</v>
      </c>
      <c r="H739" t="s">
        <v>51</v>
      </c>
      <c r="I739" t="s">
        <v>1723</v>
      </c>
      <c r="J739" t="s">
        <v>2289</v>
      </c>
      <c r="L739" t="s">
        <v>2290</v>
      </c>
    </row>
    <row r="740" spans="1:12" x14ac:dyDescent="0.25">
      <c r="A740" t="s">
        <v>2297</v>
      </c>
      <c r="B740" t="s">
        <v>2298</v>
      </c>
      <c r="C740" t="s">
        <v>2299</v>
      </c>
      <c r="F740" t="s">
        <v>188</v>
      </c>
      <c r="G740" t="s">
        <v>1722</v>
      </c>
      <c r="H740" t="s">
        <v>51</v>
      </c>
      <c r="I740" t="s">
        <v>1723</v>
      </c>
      <c r="J740" t="s">
        <v>2289</v>
      </c>
      <c r="L740" t="s">
        <v>2290</v>
      </c>
    </row>
    <row r="741" spans="1:12" x14ac:dyDescent="0.25">
      <c r="A741" t="s">
        <v>2300</v>
      </c>
      <c r="B741" t="s">
        <v>2301</v>
      </c>
      <c r="C741" t="s">
        <v>2302</v>
      </c>
      <c r="F741" t="s">
        <v>188</v>
      </c>
      <c r="G741" t="s">
        <v>1722</v>
      </c>
      <c r="H741" t="s">
        <v>51</v>
      </c>
      <c r="I741" t="s">
        <v>1723</v>
      </c>
      <c r="J741" t="s">
        <v>2289</v>
      </c>
      <c r="L741" t="s">
        <v>2290</v>
      </c>
    </row>
    <row r="742" spans="1:12" x14ac:dyDescent="0.25">
      <c r="A742" t="s">
        <v>2303</v>
      </c>
      <c r="B742" t="s">
        <v>2304</v>
      </c>
      <c r="C742" t="s">
        <v>2305</v>
      </c>
      <c r="F742" t="s">
        <v>2306</v>
      </c>
      <c r="G742" t="s">
        <v>1722</v>
      </c>
      <c r="H742" t="s">
        <v>51</v>
      </c>
      <c r="I742" t="s">
        <v>1723</v>
      </c>
      <c r="J742" t="s">
        <v>2289</v>
      </c>
      <c r="L742" t="s">
        <v>2290</v>
      </c>
    </row>
    <row r="743" spans="1:12" x14ac:dyDescent="0.25">
      <c r="A743" t="s">
        <v>2307</v>
      </c>
      <c r="B743" t="s">
        <v>2308</v>
      </c>
      <c r="C743" t="s">
        <v>2309</v>
      </c>
      <c r="F743" t="s">
        <v>2310</v>
      </c>
      <c r="G743" t="s">
        <v>1722</v>
      </c>
      <c r="H743" t="s">
        <v>51</v>
      </c>
      <c r="I743" t="s">
        <v>1723</v>
      </c>
      <c r="J743" t="s">
        <v>2289</v>
      </c>
      <c r="L743" t="s">
        <v>2290</v>
      </c>
    </row>
    <row r="744" spans="1:12" x14ac:dyDescent="0.25">
      <c r="A744" t="s">
        <v>2311</v>
      </c>
      <c r="B744" t="s">
        <v>2312</v>
      </c>
      <c r="C744" t="s">
        <v>2313</v>
      </c>
      <c r="F744" t="s">
        <v>2310</v>
      </c>
      <c r="G744" t="s">
        <v>1722</v>
      </c>
      <c r="H744" t="s">
        <v>51</v>
      </c>
      <c r="I744" t="s">
        <v>1723</v>
      </c>
      <c r="J744" t="s">
        <v>2289</v>
      </c>
      <c r="L744" t="s">
        <v>2290</v>
      </c>
    </row>
    <row r="745" spans="1:12" x14ac:dyDescent="0.25">
      <c r="A745" t="s">
        <v>2314</v>
      </c>
      <c r="B745" t="s">
        <v>2315</v>
      </c>
      <c r="C745" t="s">
        <v>2316</v>
      </c>
      <c r="F745" t="s">
        <v>2310</v>
      </c>
      <c r="G745" t="s">
        <v>1722</v>
      </c>
      <c r="H745" t="s">
        <v>51</v>
      </c>
      <c r="I745" t="s">
        <v>1723</v>
      </c>
      <c r="J745" t="s">
        <v>2289</v>
      </c>
      <c r="L745" t="s">
        <v>2290</v>
      </c>
    </row>
    <row r="746" spans="1:12" x14ac:dyDescent="0.25">
      <c r="A746" t="s">
        <v>2317</v>
      </c>
      <c r="B746" t="s">
        <v>2318</v>
      </c>
      <c r="C746" t="s">
        <v>2319</v>
      </c>
      <c r="F746" t="s">
        <v>1917</v>
      </c>
      <c r="G746" t="s">
        <v>1722</v>
      </c>
      <c r="H746" t="s">
        <v>51</v>
      </c>
      <c r="I746" t="s">
        <v>1723</v>
      </c>
      <c r="J746" t="s">
        <v>2289</v>
      </c>
      <c r="L746" t="s">
        <v>2290</v>
      </c>
    </row>
    <row r="747" spans="1:12" x14ac:dyDescent="0.25">
      <c r="A747" t="s">
        <v>2320</v>
      </c>
      <c r="B747" t="s">
        <v>2321</v>
      </c>
      <c r="C747" t="s">
        <v>2322</v>
      </c>
      <c r="F747" t="s">
        <v>1917</v>
      </c>
      <c r="G747" t="s">
        <v>1722</v>
      </c>
      <c r="H747" t="s">
        <v>51</v>
      </c>
      <c r="I747" t="s">
        <v>1723</v>
      </c>
      <c r="J747" t="s">
        <v>2289</v>
      </c>
      <c r="L747" t="s">
        <v>2290</v>
      </c>
    </row>
    <row r="748" spans="1:12" x14ac:dyDescent="0.25">
      <c r="A748" t="s">
        <v>2323</v>
      </c>
      <c r="B748" t="s">
        <v>2324</v>
      </c>
      <c r="C748" t="s">
        <v>2325</v>
      </c>
      <c r="F748" t="s">
        <v>2310</v>
      </c>
      <c r="G748" t="s">
        <v>1722</v>
      </c>
      <c r="H748" t="s">
        <v>51</v>
      </c>
      <c r="I748" t="s">
        <v>1723</v>
      </c>
      <c r="J748" t="s">
        <v>2289</v>
      </c>
      <c r="L748" t="s">
        <v>2290</v>
      </c>
    </row>
    <row r="749" spans="1:12" x14ac:dyDescent="0.25">
      <c r="A749" t="s">
        <v>2326</v>
      </c>
      <c r="B749" t="s">
        <v>2327</v>
      </c>
      <c r="C749" t="s">
        <v>2328</v>
      </c>
      <c r="F749" t="s">
        <v>1917</v>
      </c>
      <c r="G749" t="s">
        <v>1722</v>
      </c>
      <c r="H749" t="s">
        <v>51</v>
      </c>
      <c r="I749" t="s">
        <v>1723</v>
      </c>
      <c r="J749" t="s">
        <v>2289</v>
      </c>
      <c r="L749" t="s">
        <v>2290</v>
      </c>
    </row>
    <row r="750" spans="1:12" x14ac:dyDescent="0.25">
      <c r="A750" t="s">
        <v>2329</v>
      </c>
      <c r="B750" t="s">
        <v>2330</v>
      </c>
      <c r="C750" t="s">
        <v>2331</v>
      </c>
      <c r="F750" t="s">
        <v>1917</v>
      </c>
      <c r="G750" t="s">
        <v>1722</v>
      </c>
      <c r="H750" t="s">
        <v>51</v>
      </c>
      <c r="I750" t="s">
        <v>1723</v>
      </c>
      <c r="J750" t="s">
        <v>2289</v>
      </c>
      <c r="L750" t="s">
        <v>2290</v>
      </c>
    </row>
    <row r="751" spans="1:12" x14ac:dyDescent="0.25">
      <c r="A751" t="s">
        <v>2332</v>
      </c>
      <c r="B751" t="s">
        <v>2333</v>
      </c>
      <c r="C751" t="s">
        <v>2334</v>
      </c>
      <c r="F751" t="s">
        <v>2335</v>
      </c>
      <c r="G751" t="s">
        <v>1722</v>
      </c>
      <c r="H751" t="s">
        <v>51</v>
      </c>
      <c r="I751" t="s">
        <v>1723</v>
      </c>
      <c r="J751" t="s">
        <v>1724</v>
      </c>
      <c r="L751" t="s">
        <v>1271</v>
      </c>
    </row>
    <row r="752" spans="1:12" x14ac:dyDescent="0.25">
      <c r="A752" t="s">
        <v>2336</v>
      </c>
      <c r="B752" t="s">
        <v>2337</v>
      </c>
      <c r="C752" t="s">
        <v>2338</v>
      </c>
      <c r="F752" t="s">
        <v>2335</v>
      </c>
      <c r="G752" t="s">
        <v>1722</v>
      </c>
      <c r="H752" t="s">
        <v>51</v>
      </c>
      <c r="I752" t="s">
        <v>1723</v>
      </c>
      <c r="J752" t="s">
        <v>1724</v>
      </c>
      <c r="L752" t="s">
        <v>1271</v>
      </c>
    </row>
    <row r="753" spans="1:12" x14ac:dyDescent="0.25">
      <c r="A753" t="s">
        <v>2339</v>
      </c>
      <c r="B753" t="s">
        <v>2340</v>
      </c>
      <c r="C753" t="s">
        <v>2341</v>
      </c>
      <c r="F753" t="s">
        <v>2335</v>
      </c>
      <c r="G753" t="s">
        <v>1722</v>
      </c>
      <c r="H753" t="s">
        <v>51</v>
      </c>
      <c r="I753" t="s">
        <v>1723</v>
      </c>
      <c r="J753" t="s">
        <v>1724</v>
      </c>
      <c r="L753" t="s">
        <v>1271</v>
      </c>
    </row>
    <row r="754" spans="1:12" x14ac:dyDescent="0.25">
      <c r="A754" t="s">
        <v>2342</v>
      </c>
      <c r="B754" t="s">
        <v>2343</v>
      </c>
      <c r="C754" t="s">
        <v>2344</v>
      </c>
      <c r="F754" t="s">
        <v>2335</v>
      </c>
      <c r="G754" t="s">
        <v>1722</v>
      </c>
      <c r="H754" t="s">
        <v>51</v>
      </c>
      <c r="I754" t="s">
        <v>1723</v>
      </c>
      <c r="J754" t="s">
        <v>1724</v>
      </c>
      <c r="L754" t="s">
        <v>1271</v>
      </c>
    </row>
    <row r="755" spans="1:12" x14ac:dyDescent="0.25">
      <c r="A755" t="s">
        <v>2345</v>
      </c>
      <c r="B755" t="s">
        <v>2346</v>
      </c>
      <c r="C755" t="s">
        <v>2347</v>
      </c>
      <c r="F755" t="s">
        <v>2335</v>
      </c>
      <c r="G755" t="s">
        <v>1722</v>
      </c>
      <c r="H755" t="s">
        <v>51</v>
      </c>
      <c r="I755" t="s">
        <v>1723</v>
      </c>
      <c r="J755" t="s">
        <v>1724</v>
      </c>
      <c r="L755" t="s">
        <v>1271</v>
      </c>
    </row>
    <row r="756" spans="1:12" x14ac:dyDescent="0.25">
      <c r="A756" t="s">
        <v>2348</v>
      </c>
      <c r="B756" t="s">
        <v>2349</v>
      </c>
      <c r="C756" t="s">
        <v>2350</v>
      </c>
      <c r="F756" t="s">
        <v>2335</v>
      </c>
      <c r="G756" t="s">
        <v>1722</v>
      </c>
      <c r="H756" t="s">
        <v>51</v>
      </c>
      <c r="I756" t="s">
        <v>1723</v>
      </c>
      <c r="J756" t="s">
        <v>1724</v>
      </c>
      <c r="L756" t="s">
        <v>1271</v>
      </c>
    </row>
    <row r="757" spans="1:12" x14ac:dyDescent="0.25">
      <c r="A757" t="s">
        <v>2351</v>
      </c>
      <c r="B757" t="s">
        <v>2352</v>
      </c>
      <c r="C757" t="s">
        <v>2353</v>
      </c>
      <c r="F757" t="s">
        <v>2335</v>
      </c>
      <c r="G757" t="s">
        <v>1722</v>
      </c>
      <c r="H757" t="s">
        <v>51</v>
      </c>
      <c r="I757" t="s">
        <v>1723</v>
      </c>
      <c r="J757" t="s">
        <v>1724</v>
      </c>
      <c r="L757" t="s">
        <v>1271</v>
      </c>
    </row>
    <row r="758" spans="1:12" x14ac:dyDescent="0.25">
      <c r="A758" t="s">
        <v>2354</v>
      </c>
      <c r="B758" t="s">
        <v>2355</v>
      </c>
      <c r="C758" t="s">
        <v>2356</v>
      </c>
      <c r="F758" t="s">
        <v>1851</v>
      </c>
      <c r="G758" t="s">
        <v>1722</v>
      </c>
      <c r="H758" t="s">
        <v>51</v>
      </c>
      <c r="I758" t="s">
        <v>1723</v>
      </c>
      <c r="J758" t="s">
        <v>1724</v>
      </c>
      <c r="L758" t="s">
        <v>1271</v>
      </c>
    </row>
    <row r="759" spans="1:12" x14ac:dyDescent="0.25">
      <c r="A759" t="s">
        <v>2357</v>
      </c>
      <c r="B759" t="s">
        <v>2358</v>
      </c>
      <c r="C759" t="s">
        <v>2359</v>
      </c>
      <c r="F759" t="s">
        <v>1851</v>
      </c>
      <c r="G759" t="s">
        <v>1722</v>
      </c>
      <c r="H759" t="s">
        <v>51</v>
      </c>
      <c r="I759" t="s">
        <v>1723</v>
      </c>
      <c r="J759" t="s">
        <v>1724</v>
      </c>
      <c r="L759" t="s">
        <v>1271</v>
      </c>
    </row>
    <row r="760" spans="1:12" x14ac:dyDescent="0.25">
      <c r="A760" t="s">
        <v>2360</v>
      </c>
      <c r="B760" t="s">
        <v>2361</v>
      </c>
      <c r="C760" t="s">
        <v>2362</v>
      </c>
      <c r="F760" t="s">
        <v>2363</v>
      </c>
      <c r="G760" t="s">
        <v>1722</v>
      </c>
      <c r="H760" t="s">
        <v>51</v>
      </c>
      <c r="I760" t="s">
        <v>1723</v>
      </c>
      <c r="J760" t="s">
        <v>1724</v>
      </c>
      <c r="L760" t="s">
        <v>1271</v>
      </c>
    </row>
    <row r="761" spans="1:12" x14ac:dyDescent="0.25">
      <c r="A761" t="s">
        <v>2364</v>
      </c>
      <c r="B761" t="s">
        <v>2365</v>
      </c>
      <c r="C761" t="s">
        <v>2366</v>
      </c>
      <c r="F761" t="s">
        <v>2363</v>
      </c>
      <c r="G761" t="s">
        <v>1722</v>
      </c>
      <c r="H761" t="s">
        <v>51</v>
      </c>
      <c r="I761" t="s">
        <v>1723</v>
      </c>
      <c r="J761" t="s">
        <v>1724</v>
      </c>
      <c r="L761" t="s">
        <v>1271</v>
      </c>
    </row>
    <row r="762" spans="1:12" x14ac:dyDescent="0.25">
      <c r="A762" t="s">
        <v>2367</v>
      </c>
      <c r="B762" t="s">
        <v>2368</v>
      </c>
      <c r="C762" t="s">
        <v>2369</v>
      </c>
      <c r="F762" t="s">
        <v>2370</v>
      </c>
      <c r="G762" t="s">
        <v>1722</v>
      </c>
      <c r="H762" t="s">
        <v>51</v>
      </c>
      <c r="I762" t="s">
        <v>1723</v>
      </c>
      <c r="J762" t="s">
        <v>1724</v>
      </c>
      <c r="L762" t="s">
        <v>1271</v>
      </c>
    </row>
    <row r="763" spans="1:12" x14ac:dyDescent="0.25">
      <c r="A763" t="s">
        <v>2371</v>
      </c>
      <c r="B763" t="s">
        <v>2372</v>
      </c>
      <c r="C763" t="s">
        <v>2373</v>
      </c>
      <c r="F763" t="s">
        <v>2363</v>
      </c>
      <c r="G763" t="s">
        <v>1722</v>
      </c>
      <c r="H763" t="s">
        <v>51</v>
      </c>
      <c r="I763" t="s">
        <v>1723</v>
      </c>
      <c r="J763" t="s">
        <v>1724</v>
      </c>
      <c r="L763" t="s">
        <v>1271</v>
      </c>
    </row>
    <row r="764" spans="1:12" x14ac:dyDescent="0.25">
      <c r="A764" t="s">
        <v>2374</v>
      </c>
      <c r="B764" t="s">
        <v>2375</v>
      </c>
      <c r="C764" t="s">
        <v>2376</v>
      </c>
      <c r="F764" t="s">
        <v>2377</v>
      </c>
      <c r="G764" t="s">
        <v>1722</v>
      </c>
      <c r="H764" t="s">
        <v>51</v>
      </c>
      <c r="I764" t="s">
        <v>1723</v>
      </c>
      <c r="J764" t="s">
        <v>1724</v>
      </c>
      <c r="L764" t="s">
        <v>1271</v>
      </c>
    </row>
    <row r="765" spans="1:12" x14ac:dyDescent="0.25">
      <c r="A765" t="s">
        <v>2378</v>
      </c>
      <c r="B765" t="s">
        <v>2379</v>
      </c>
      <c r="C765" t="s">
        <v>2380</v>
      </c>
      <c r="F765" t="s">
        <v>2377</v>
      </c>
      <c r="G765" t="s">
        <v>1722</v>
      </c>
      <c r="H765" t="s">
        <v>51</v>
      </c>
      <c r="I765" t="s">
        <v>1723</v>
      </c>
      <c r="J765" t="s">
        <v>1724</v>
      </c>
      <c r="L765" t="s">
        <v>1271</v>
      </c>
    </row>
    <row r="766" spans="1:12" x14ac:dyDescent="0.25">
      <c r="A766" t="s">
        <v>2381</v>
      </c>
      <c r="B766" t="s">
        <v>2382</v>
      </c>
      <c r="C766" t="s">
        <v>2383</v>
      </c>
      <c r="F766" t="s">
        <v>2377</v>
      </c>
      <c r="G766" t="s">
        <v>1722</v>
      </c>
      <c r="H766" t="s">
        <v>51</v>
      </c>
      <c r="I766" t="s">
        <v>1723</v>
      </c>
      <c r="J766" t="s">
        <v>1724</v>
      </c>
      <c r="L766" t="s">
        <v>1271</v>
      </c>
    </row>
    <row r="767" spans="1:12" x14ac:dyDescent="0.25">
      <c r="A767" t="s">
        <v>2384</v>
      </c>
      <c r="B767" t="s">
        <v>2385</v>
      </c>
      <c r="C767" t="s">
        <v>2386</v>
      </c>
      <c r="F767" t="s">
        <v>2227</v>
      </c>
      <c r="G767" t="s">
        <v>1722</v>
      </c>
      <c r="H767" t="s">
        <v>51</v>
      </c>
      <c r="I767" t="s">
        <v>1723</v>
      </c>
      <c r="J767" t="s">
        <v>1724</v>
      </c>
      <c r="L767" t="s">
        <v>1271</v>
      </c>
    </row>
    <row r="768" spans="1:12" x14ac:dyDescent="0.25">
      <c r="A768" t="s">
        <v>2387</v>
      </c>
      <c r="B768" t="s">
        <v>2388</v>
      </c>
      <c r="C768" t="s">
        <v>2380</v>
      </c>
      <c r="F768" t="s">
        <v>2377</v>
      </c>
      <c r="G768" t="s">
        <v>1722</v>
      </c>
      <c r="H768" t="s">
        <v>51</v>
      </c>
      <c r="I768" t="s">
        <v>1723</v>
      </c>
      <c r="J768" t="s">
        <v>1724</v>
      </c>
      <c r="L768" t="s">
        <v>1271</v>
      </c>
    </row>
    <row r="769" spans="1:12" x14ac:dyDescent="0.25">
      <c r="A769" t="s">
        <v>2389</v>
      </c>
      <c r="B769" t="s">
        <v>2390</v>
      </c>
      <c r="C769" t="s">
        <v>2391</v>
      </c>
      <c r="F769" t="s">
        <v>2392</v>
      </c>
      <c r="G769" t="s">
        <v>1722</v>
      </c>
      <c r="H769" t="s">
        <v>51</v>
      </c>
      <c r="I769" t="s">
        <v>1723</v>
      </c>
      <c r="J769" t="s">
        <v>1724</v>
      </c>
      <c r="L769" t="s">
        <v>1271</v>
      </c>
    </row>
    <row r="770" spans="1:12" x14ac:dyDescent="0.25">
      <c r="A770" t="s">
        <v>2393</v>
      </c>
      <c r="B770" t="s">
        <v>2394</v>
      </c>
      <c r="C770" t="s">
        <v>2395</v>
      </c>
      <c r="F770" t="s">
        <v>2396</v>
      </c>
      <c r="G770" t="s">
        <v>1722</v>
      </c>
      <c r="H770" t="s">
        <v>51</v>
      </c>
      <c r="I770" t="s">
        <v>1723</v>
      </c>
      <c r="J770" t="s">
        <v>1724</v>
      </c>
      <c r="L770" t="s">
        <v>1271</v>
      </c>
    </row>
    <row r="771" spans="1:12" x14ac:dyDescent="0.25">
      <c r="A771" t="s">
        <v>2397</v>
      </c>
      <c r="B771" t="s">
        <v>2398</v>
      </c>
      <c r="C771" t="s">
        <v>2399</v>
      </c>
      <c r="F771" t="s">
        <v>2396</v>
      </c>
      <c r="G771" t="s">
        <v>1722</v>
      </c>
      <c r="H771" t="s">
        <v>51</v>
      </c>
      <c r="I771" t="s">
        <v>1723</v>
      </c>
      <c r="J771" t="s">
        <v>1724</v>
      </c>
      <c r="L771" t="s">
        <v>1271</v>
      </c>
    </row>
    <row r="772" spans="1:12" x14ac:dyDescent="0.25">
      <c r="A772" t="s">
        <v>2400</v>
      </c>
      <c r="B772" t="s">
        <v>2401</v>
      </c>
      <c r="C772" t="s">
        <v>2402</v>
      </c>
      <c r="F772" t="s">
        <v>1851</v>
      </c>
      <c r="G772" t="s">
        <v>1722</v>
      </c>
      <c r="H772" t="s">
        <v>51</v>
      </c>
      <c r="I772" t="s">
        <v>1723</v>
      </c>
      <c r="J772" t="s">
        <v>1724</v>
      </c>
      <c r="L772" t="s">
        <v>1271</v>
      </c>
    </row>
    <row r="773" spans="1:12" x14ac:dyDescent="0.25">
      <c r="A773" t="s">
        <v>2403</v>
      </c>
      <c r="B773" t="s">
        <v>2404</v>
      </c>
      <c r="C773" t="s">
        <v>2405</v>
      </c>
      <c r="F773" t="s">
        <v>2406</v>
      </c>
      <c r="G773" t="s">
        <v>1722</v>
      </c>
      <c r="H773" t="s">
        <v>51</v>
      </c>
      <c r="I773" t="s">
        <v>1723</v>
      </c>
      <c r="J773" t="s">
        <v>1724</v>
      </c>
      <c r="L773" t="s">
        <v>1271</v>
      </c>
    </row>
    <row r="774" spans="1:12" x14ac:dyDescent="0.25">
      <c r="A774" t="s">
        <v>2407</v>
      </c>
      <c r="B774" t="s">
        <v>2408</v>
      </c>
      <c r="C774" t="s">
        <v>2409</v>
      </c>
      <c r="F774" t="s">
        <v>2392</v>
      </c>
      <c r="G774" t="s">
        <v>1722</v>
      </c>
      <c r="H774" t="s">
        <v>51</v>
      </c>
      <c r="I774" t="s">
        <v>1723</v>
      </c>
      <c r="J774" t="s">
        <v>1724</v>
      </c>
      <c r="L774" t="s">
        <v>1271</v>
      </c>
    </row>
    <row r="775" spans="1:12" x14ac:dyDescent="0.25">
      <c r="A775" t="s">
        <v>2410</v>
      </c>
      <c r="B775" t="s">
        <v>2411</v>
      </c>
      <c r="C775" t="s">
        <v>2412</v>
      </c>
      <c r="F775" t="s">
        <v>2396</v>
      </c>
      <c r="G775" t="s">
        <v>1722</v>
      </c>
      <c r="H775" t="s">
        <v>51</v>
      </c>
      <c r="I775" t="s">
        <v>1723</v>
      </c>
      <c r="J775" t="s">
        <v>1724</v>
      </c>
      <c r="L775" t="s">
        <v>1271</v>
      </c>
    </row>
    <row r="776" spans="1:12" x14ac:dyDescent="0.25">
      <c r="A776" t="s">
        <v>2413</v>
      </c>
      <c r="B776" t="s">
        <v>2414</v>
      </c>
      <c r="C776" t="s">
        <v>2415</v>
      </c>
      <c r="F776" t="s">
        <v>2406</v>
      </c>
      <c r="G776" t="s">
        <v>1722</v>
      </c>
      <c r="H776" t="s">
        <v>51</v>
      </c>
      <c r="I776" t="s">
        <v>1723</v>
      </c>
      <c r="J776" t="s">
        <v>1724</v>
      </c>
      <c r="L776" t="s">
        <v>1271</v>
      </c>
    </row>
    <row r="777" spans="1:12" x14ac:dyDescent="0.25">
      <c r="A777" t="s">
        <v>2416</v>
      </c>
      <c r="B777" t="s">
        <v>2417</v>
      </c>
      <c r="F777" t="s">
        <v>2418</v>
      </c>
      <c r="G777" t="s">
        <v>2419</v>
      </c>
      <c r="H777" t="s">
        <v>51</v>
      </c>
      <c r="I777" t="s">
        <v>2420</v>
      </c>
      <c r="J777" t="s">
        <v>2421</v>
      </c>
      <c r="L777" t="s">
        <v>1271</v>
      </c>
    </row>
    <row r="778" spans="1:12" x14ac:dyDescent="0.25">
      <c r="A778" t="s">
        <v>2422</v>
      </c>
      <c r="B778" t="s">
        <v>1748</v>
      </c>
      <c r="F778" t="s">
        <v>1385</v>
      </c>
      <c r="G778" t="s">
        <v>123</v>
      </c>
      <c r="H778" t="s">
        <v>51</v>
      </c>
      <c r="I778" t="s">
        <v>124</v>
      </c>
      <c r="J778" t="s">
        <v>125</v>
      </c>
      <c r="L778" t="s">
        <v>126</v>
      </c>
    </row>
    <row r="779" spans="1:12" x14ac:dyDescent="0.25">
      <c r="A779" t="s">
        <v>2423</v>
      </c>
      <c r="B779" t="s">
        <v>2424</v>
      </c>
      <c r="F779" t="s">
        <v>1601</v>
      </c>
      <c r="G779" t="s">
        <v>123</v>
      </c>
      <c r="H779" t="s">
        <v>51</v>
      </c>
      <c r="I779" t="s">
        <v>124</v>
      </c>
      <c r="J779" t="s">
        <v>125</v>
      </c>
      <c r="L779" t="s">
        <v>126</v>
      </c>
    </row>
    <row r="780" spans="1:12" x14ac:dyDescent="0.25">
      <c r="A780" t="s">
        <v>2425</v>
      </c>
      <c r="B780" t="s">
        <v>2426</v>
      </c>
      <c r="F780" t="s">
        <v>2427</v>
      </c>
      <c r="G780" t="s">
        <v>123</v>
      </c>
      <c r="H780" t="s">
        <v>51</v>
      </c>
      <c r="I780" t="s">
        <v>124</v>
      </c>
      <c r="J780" t="s">
        <v>125</v>
      </c>
      <c r="L780" t="s">
        <v>126</v>
      </c>
    </row>
    <row r="781" spans="1:12" x14ac:dyDescent="0.25">
      <c r="A781" t="s">
        <v>2428</v>
      </c>
      <c r="B781" t="s">
        <v>1752</v>
      </c>
      <c r="F781" t="s">
        <v>1385</v>
      </c>
      <c r="G781" t="s">
        <v>123</v>
      </c>
      <c r="H781" t="s">
        <v>51</v>
      </c>
      <c r="I781" t="s">
        <v>124</v>
      </c>
      <c r="J781" t="s">
        <v>125</v>
      </c>
      <c r="L781" t="s">
        <v>126</v>
      </c>
    </row>
    <row r="782" spans="1:12" x14ac:dyDescent="0.25">
      <c r="A782" t="s">
        <v>2429</v>
      </c>
      <c r="B782" t="s">
        <v>2430</v>
      </c>
      <c r="F782" t="s">
        <v>1385</v>
      </c>
      <c r="G782" t="s">
        <v>123</v>
      </c>
      <c r="H782" t="s">
        <v>51</v>
      </c>
      <c r="I782" t="s">
        <v>124</v>
      </c>
      <c r="J782" t="s">
        <v>125</v>
      </c>
      <c r="L782" t="s">
        <v>126</v>
      </c>
    </row>
    <row r="783" spans="1:12" x14ac:dyDescent="0.25">
      <c r="A783" t="s">
        <v>2431</v>
      </c>
      <c r="B783" t="s">
        <v>2432</v>
      </c>
      <c r="F783" t="s">
        <v>1596</v>
      </c>
      <c r="G783" t="s">
        <v>123</v>
      </c>
      <c r="H783" t="s">
        <v>51</v>
      </c>
      <c r="I783" t="s">
        <v>124</v>
      </c>
      <c r="J783" t="s">
        <v>125</v>
      </c>
      <c r="L783" t="s">
        <v>126</v>
      </c>
    </row>
    <row r="784" spans="1:12" x14ac:dyDescent="0.25">
      <c r="A784" t="s">
        <v>2433</v>
      </c>
      <c r="B784" t="s">
        <v>2434</v>
      </c>
      <c r="F784" t="s">
        <v>1940</v>
      </c>
      <c r="G784" t="s">
        <v>2435</v>
      </c>
      <c r="H784" t="s">
        <v>51</v>
      </c>
      <c r="I784" t="s">
        <v>2436</v>
      </c>
      <c r="J784" t="s">
        <v>2437</v>
      </c>
      <c r="L784" t="s">
        <v>1271</v>
      </c>
    </row>
    <row r="785" spans="1:12" x14ac:dyDescent="0.25">
      <c r="A785" t="s">
        <v>2438</v>
      </c>
      <c r="B785" t="s">
        <v>2439</v>
      </c>
      <c r="F785" t="s">
        <v>1940</v>
      </c>
      <c r="G785" t="s">
        <v>2435</v>
      </c>
      <c r="H785" t="s">
        <v>51</v>
      </c>
      <c r="I785" t="s">
        <v>2436</v>
      </c>
      <c r="J785" t="s">
        <v>2437</v>
      </c>
      <c r="L785" t="s">
        <v>1271</v>
      </c>
    </row>
    <row r="786" spans="1:12" x14ac:dyDescent="0.25">
      <c r="A786" t="s">
        <v>2440</v>
      </c>
      <c r="B786" t="s">
        <v>2441</v>
      </c>
      <c r="F786" t="s">
        <v>2442</v>
      </c>
      <c r="G786" t="s">
        <v>2435</v>
      </c>
      <c r="H786" t="s">
        <v>51</v>
      </c>
      <c r="I786" t="s">
        <v>2436</v>
      </c>
      <c r="J786" t="s">
        <v>2437</v>
      </c>
      <c r="L786" t="s">
        <v>1271</v>
      </c>
    </row>
    <row r="787" spans="1:12" x14ac:dyDescent="0.25">
      <c r="A787" t="s">
        <v>2443</v>
      </c>
      <c r="B787" t="s">
        <v>2444</v>
      </c>
      <c r="F787" t="s">
        <v>2445</v>
      </c>
      <c r="G787" t="s">
        <v>123</v>
      </c>
      <c r="H787" t="s">
        <v>51</v>
      </c>
      <c r="I787" t="s">
        <v>2446</v>
      </c>
      <c r="J787" t="s">
        <v>2447</v>
      </c>
      <c r="L787" t="s">
        <v>1271</v>
      </c>
    </row>
    <row r="788" spans="1:12" x14ac:dyDescent="0.25">
      <c r="A788" t="s">
        <v>2448</v>
      </c>
      <c r="B788" t="s">
        <v>2449</v>
      </c>
      <c r="C788" t="s">
        <v>2450</v>
      </c>
      <c r="F788" t="s">
        <v>2451</v>
      </c>
      <c r="G788" t="s">
        <v>1722</v>
      </c>
      <c r="H788" t="s">
        <v>51</v>
      </c>
      <c r="I788" t="s">
        <v>1723</v>
      </c>
      <c r="J788" t="s">
        <v>1724</v>
      </c>
      <c r="L788" t="s">
        <v>1271</v>
      </c>
    </row>
    <row r="789" spans="1:12" x14ac:dyDescent="0.25">
      <c r="A789" t="s">
        <v>2452</v>
      </c>
      <c r="B789" t="s">
        <v>2453</v>
      </c>
      <c r="C789" t="s">
        <v>2454</v>
      </c>
      <c r="F789" t="s">
        <v>2455</v>
      </c>
      <c r="G789" t="s">
        <v>1722</v>
      </c>
      <c r="H789" t="s">
        <v>51</v>
      </c>
      <c r="I789" t="s">
        <v>1723</v>
      </c>
      <c r="J789" t="s">
        <v>1724</v>
      </c>
      <c r="L789" t="s">
        <v>1271</v>
      </c>
    </row>
    <row r="790" spans="1:12" x14ac:dyDescent="0.25">
      <c r="A790" t="s">
        <v>2456</v>
      </c>
      <c r="B790" t="s">
        <v>2457</v>
      </c>
      <c r="C790" t="s">
        <v>2458</v>
      </c>
      <c r="F790" t="s">
        <v>2363</v>
      </c>
      <c r="G790" t="s">
        <v>1722</v>
      </c>
      <c r="H790" t="s">
        <v>51</v>
      </c>
      <c r="I790" t="s">
        <v>1723</v>
      </c>
      <c r="J790" t="s">
        <v>1724</v>
      </c>
      <c r="L790" t="s">
        <v>1271</v>
      </c>
    </row>
    <row r="791" spans="1:12" x14ac:dyDescent="0.25">
      <c r="A791" t="s">
        <v>2459</v>
      </c>
      <c r="B791" t="s">
        <v>2460</v>
      </c>
      <c r="C791" t="s">
        <v>2461</v>
      </c>
      <c r="F791" t="s">
        <v>2451</v>
      </c>
      <c r="G791" t="s">
        <v>1722</v>
      </c>
      <c r="H791" t="s">
        <v>51</v>
      </c>
      <c r="I791" t="s">
        <v>1723</v>
      </c>
      <c r="J791" t="s">
        <v>1724</v>
      </c>
      <c r="L791" t="s">
        <v>1271</v>
      </c>
    </row>
    <row r="792" spans="1:12" x14ac:dyDescent="0.25">
      <c r="A792" t="s">
        <v>2462</v>
      </c>
      <c r="B792" t="s">
        <v>2463</v>
      </c>
      <c r="C792" t="s">
        <v>2464</v>
      </c>
      <c r="F792" t="s">
        <v>2465</v>
      </c>
      <c r="G792" t="s">
        <v>1722</v>
      </c>
      <c r="H792" t="s">
        <v>51</v>
      </c>
      <c r="I792" t="s">
        <v>1723</v>
      </c>
      <c r="J792" t="s">
        <v>1724</v>
      </c>
      <c r="L792" t="s">
        <v>1271</v>
      </c>
    </row>
    <row r="793" spans="1:12" x14ac:dyDescent="0.25">
      <c r="A793" t="s">
        <v>2466</v>
      </c>
      <c r="B793" t="s">
        <v>2467</v>
      </c>
      <c r="C793" t="s">
        <v>2468</v>
      </c>
      <c r="F793" t="s">
        <v>2469</v>
      </c>
      <c r="G793" t="s">
        <v>1722</v>
      </c>
      <c r="H793" t="s">
        <v>51</v>
      </c>
      <c r="I793" t="s">
        <v>1723</v>
      </c>
      <c r="J793" t="s">
        <v>1724</v>
      </c>
      <c r="L793" t="s">
        <v>1271</v>
      </c>
    </row>
    <row r="794" spans="1:12" x14ac:dyDescent="0.25">
      <c r="A794" t="s">
        <v>2470</v>
      </c>
      <c r="B794" t="s">
        <v>2471</v>
      </c>
      <c r="C794" t="s">
        <v>2472</v>
      </c>
      <c r="F794" t="s">
        <v>2473</v>
      </c>
      <c r="G794" t="s">
        <v>1722</v>
      </c>
      <c r="H794" t="s">
        <v>51</v>
      </c>
      <c r="I794" t="s">
        <v>1723</v>
      </c>
      <c r="J794" t="s">
        <v>1724</v>
      </c>
      <c r="L794" t="s">
        <v>1271</v>
      </c>
    </row>
    <row r="795" spans="1:12" x14ac:dyDescent="0.25">
      <c r="A795" t="s">
        <v>2474</v>
      </c>
      <c r="B795" t="s">
        <v>2475</v>
      </c>
      <c r="C795" t="s">
        <v>2476</v>
      </c>
      <c r="F795" t="s">
        <v>2477</v>
      </c>
      <c r="G795" t="s">
        <v>1722</v>
      </c>
      <c r="H795" t="s">
        <v>51</v>
      </c>
      <c r="I795" t="s">
        <v>1723</v>
      </c>
      <c r="J795" t="s">
        <v>1724</v>
      </c>
      <c r="L795" t="s">
        <v>1271</v>
      </c>
    </row>
    <row r="796" spans="1:12" x14ac:dyDescent="0.25">
      <c r="A796" t="s">
        <v>2478</v>
      </c>
      <c r="B796" t="s">
        <v>2479</v>
      </c>
      <c r="C796" t="s">
        <v>2480</v>
      </c>
      <c r="F796" t="s">
        <v>2481</v>
      </c>
      <c r="G796" t="s">
        <v>1722</v>
      </c>
      <c r="H796" t="s">
        <v>51</v>
      </c>
      <c r="I796" t="s">
        <v>1723</v>
      </c>
      <c r="J796" t="s">
        <v>1724</v>
      </c>
      <c r="L796" t="s">
        <v>1271</v>
      </c>
    </row>
    <row r="797" spans="1:12" x14ac:dyDescent="0.25">
      <c r="A797" t="s">
        <v>2482</v>
      </c>
      <c r="B797" t="s">
        <v>2483</v>
      </c>
      <c r="C797" t="s">
        <v>2484</v>
      </c>
      <c r="F797" t="s">
        <v>2485</v>
      </c>
      <c r="G797" t="s">
        <v>1722</v>
      </c>
      <c r="H797" t="s">
        <v>51</v>
      </c>
      <c r="I797" t="s">
        <v>1723</v>
      </c>
      <c r="J797" t="s">
        <v>1724</v>
      </c>
      <c r="L797" t="s">
        <v>1271</v>
      </c>
    </row>
    <row r="798" spans="1:12" x14ac:dyDescent="0.25">
      <c r="A798" t="s">
        <v>2486</v>
      </c>
      <c r="B798" t="s">
        <v>2487</v>
      </c>
      <c r="C798" t="s">
        <v>2488</v>
      </c>
      <c r="F798" t="s">
        <v>2489</v>
      </c>
      <c r="G798" t="s">
        <v>1722</v>
      </c>
      <c r="H798" t="s">
        <v>51</v>
      </c>
      <c r="I798" t="s">
        <v>1723</v>
      </c>
      <c r="J798" t="s">
        <v>1724</v>
      </c>
      <c r="L798" t="s">
        <v>1271</v>
      </c>
    </row>
    <row r="799" spans="1:12" x14ac:dyDescent="0.25">
      <c r="A799" t="s">
        <v>2490</v>
      </c>
      <c r="B799" t="s">
        <v>2491</v>
      </c>
      <c r="C799" t="s">
        <v>2492</v>
      </c>
      <c r="F799" t="s">
        <v>2306</v>
      </c>
      <c r="G799" t="s">
        <v>1722</v>
      </c>
      <c r="H799" t="s">
        <v>51</v>
      </c>
      <c r="I799" t="s">
        <v>1723</v>
      </c>
      <c r="J799" t="s">
        <v>1724</v>
      </c>
      <c r="L799" t="s">
        <v>1271</v>
      </c>
    </row>
    <row r="800" spans="1:12" x14ac:dyDescent="0.25">
      <c r="A800" t="s">
        <v>2493</v>
      </c>
      <c r="B800" t="s">
        <v>2494</v>
      </c>
      <c r="C800" t="s">
        <v>2495</v>
      </c>
      <c r="F800" t="s">
        <v>2496</v>
      </c>
      <c r="G800" t="s">
        <v>1722</v>
      </c>
      <c r="H800" t="s">
        <v>51</v>
      </c>
      <c r="I800" t="s">
        <v>1723</v>
      </c>
      <c r="J800" t="s">
        <v>1724</v>
      </c>
      <c r="L800" t="s">
        <v>1271</v>
      </c>
    </row>
    <row r="801" spans="1:12" x14ac:dyDescent="0.25">
      <c r="A801" t="s">
        <v>2497</v>
      </c>
      <c r="B801" t="s">
        <v>2498</v>
      </c>
      <c r="C801" t="s">
        <v>2499</v>
      </c>
      <c r="F801" t="s">
        <v>2496</v>
      </c>
      <c r="G801" t="s">
        <v>1722</v>
      </c>
      <c r="H801" t="s">
        <v>51</v>
      </c>
      <c r="I801" t="s">
        <v>1723</v>
      </c>
      <c r="J801" t="s">
        <v>1724</v>
      </c>
      <c r="L801" t="s">
        <v>1271</v>
      </c>
    </row>
    <row r="802" spans="1:12" x14ac:dyDescent="0.25">
      <c r="A802" t="s">
        <v>2500</v>
      </c>
      <c r="B802" t="s">
        <v>2501</v>
      </c>
      <c r="C802" t="s">
        <v>2502</v>
      </c>
      <c r="F802" t="s">
        <v>2503</v>
      </c>
      <c r="G802" t="s">
        <v>1722</v>
      </c>
      <c r="H802" t="s">
        <v>51</v>
      </c>
      <c r="I802" t="s">
        <v>1723</v>
      </c>
      <c r="J802" t="s">
        <v>1724</v>
      </c>
      <c r="L802" t="s">
        <v>1271</v>
      </c>
    </row>
    <row r="803" spans="1:12" x14ac:dyDescent="0.25">
      <c r="A803" t="s">
        <v>2504</v>
      </c>
      <c r="B803" t="s">
        <v>2505</v>
      </c>
      <c r="C803" t="s">
        <v>2506</v>
      </c>
      <c r="F803" t="s">
        <v>1670</v>
      </c>
      <c r="G803" t="s">
        <v>1722</v>
      </c>
      <c r="H803" t="s">
        <v>51</v>
      </c>
      <c r="I803" t="s">
        <v>1723</v>
      </c>
      <c r="J803" t="s">
        <v>1724</v>
      </c>
      <c r="L803" t="s">
        <v>1271</v>
      </c>
    </row>
    <row r="804" spans="1:12" x14ac:dyDescent="0.25">
      <c r="A804" t="s">
        <v>2507</v>
      </c>
      <c r="B804" t="s">
        <v>2508</v>
      </c>
      <c r="C804" t="s">
        <v>2509</v>
      </c>
      <c r="F804" t="s">
        <v>1670</v>
      </c>
      <c r="G804" t="s">
        <v>1722</v>
      </c>
      <c r="H804" t="s">
        <v>51</v>
      </c>
      <c r="I804" t="s">
        <v>1723</v>
      </c>
      <c r="J804" t="s">
        <v>1724</v>
      </c>
      <c r="L804" t="s">
        <v>1271</v>
      </c>
    </row>
    <row r="805" spans="1:12" x14ac:dyDescent="0.25">
      <c r="A805" t="s">
        <v>2510</v>
      </c>
      <c r="B805" t="s">
        <v>2511</v>
      </c>
      <c r="C805" t="s">
        <v>2512</v>
      </c>
      <c r="F805" t="s">
        <v>2513</v>
      </c>
      <c r="G805" t="s">
        <v>1722</v>
      </c>
      <c r="H805" t="s">
        <v>51</v>
      </c>
      <c r="I805" t="s">
        <v>1723</v>
      </c>
      <c r="J805" t="s">
        <v>1724</v>
      </c>
      <c r="L805" t="s">
        <v>1271</v>
      </c>
    </row>
    <row r="806" spans="1:12" x14ac:dyDescent="0.25">
      <c r="A806" t="s">
        <v>2514</v>
      </c>
      <c r="B806" t="s">
        <v>2515</v>
      </c>
      <c r="C806" t="s">
        <v>2516</v>
      </c>
      <c r="F806" t="s">
        <v>2513</v>
      </c>
      <c r="G806" t="s">
        <v>1722</v>
      </c>
      <c r="H806" t="s">
        <v>51</v>
      </c>
      <c r="I806" t="s">
        <v>1723</v>
      </c>
      <c r="J806" t="s">
        <v>1724</v>
      </c>
      <c r="L806" t="s">
        <v>1271</v>
      </c>
    </row>
    <row r="807" spans="1:12" x14ac:dyDescent="0.25">
      <c r="A807" t="s">
        <v>2517</v>
      </c>
      <c r="B807" t="s">
        <v>2518</v>
      </c>
      <c r="C807" t="s">
        <v>2519</v>
      </c>
      <c r="F807" t="s">
        <v>2513</v>
      </c>
      <c r="G807" t="s">
        <v>1722</v>
      </c>
      <c r="H807" t="s">
        <v>51</v>
      </c>
      <c r="I807" t="s">
        <v>1723</v>
      </c>
      <c r="J807" t="s">
        <v>1724</v>
      </c>
      <c r="L807" t="s">
        <v>1271</v>
      </c>
    </row>
    <row r="808" spans="1:12" x14ac:dyDescent="0.25">
      <c r="A808" t="s">
        <v>2520</v>
      </c>
      <c r="B808" t="s">
        <v>2521</v>
      </c>
      <c r="C808" t="s">
        <v>2522</v>
      </c>
      <c r="F808" t="s">
        <v>2496</v>
      </c>
      <c r="G808" t="s">
        <v>1722</v>
      </c>
      <c r="H808" t="s">
        <v>51</v>
      </c>
      <c r="I808" t="s">
        <v>1723</v>
      </c>
      <c r="J808" t="s">
        <v>1724</v>
      </c>
      <c r="L808" t="s">
        <v>1271</v>
      </c>
    </row>
    <row r="809" spans="1:12" x14ac:dyDescent="0.25">
      <c r="A809" t="s">
        <v>2523</v>
      </c>
      <c r="B809" t="s">
        <v>2524</v>
      </c>
      <c r="F809" t="s">
        <v>58</v>
      </c>
      <c r="G809" t="s">
        <v>1836</v>
      </c>
      <c r="H809" t="s">
        <v>51</v>
      </c>
      <c r="I809" t="s">
        <v>1837</v>
      </c>
      <c r="J809" t="s">
        <v>1908</v>
      </c>
      <c r="L809" t="s">
        <v>1271</v>
      </c>
    </row>
    <row r="810" spans="1:12" x14ac:dyDescent="0.25">
      <c r="A810" t="s">
        <v>2525</v>
      </c>
      <c r="B810" t="s">
        <v>2526</v>
      </c>
      <c r="F810" t="s">
        <v>90</v>
      </c>
      <c r="G810" t="s">
        <v>1836</v>
      </c>
      <c r="H810" t="s">
        <v>51</v>
      </c>
      <c r="I810" t="s">
        <v>1837</v>
      </c>
      <c r="J810" t="s">
        <v>1838</v>
      </c>
      <c r="L810" t="s">
        <v>1271</v>
      </c>
    </row>
    <row r="811" spans="1:12" x14ac:dyDescent="0.25">
      <c r="A811" t="s">
        <v>2527</v>
      </c>
      <c r="B811" t="s">
        <v>2528</v>
      </c>
      <c r="F811" t="s">
        <v>2529</v>
      </c>
      <c r="G811" t="s">
        <v>2530</v>
      </c>
      <c r="H811" t="s">
        <v>51</v>
      </c>
      <c r="I811" t="s">
        <v>2531</v>
      </c>
      <c r="J811" t="s">
        <v>2532</v>
      </c>
      <c r="L811" t="s">
        <v>1271</v>
      </c>
    </row>
    <row r="812" spans="1:12" x14ac:dyDescent="0.25">
      <c r="A812" t="s">
        <v>2533</v>
      </c>
      <c r="B812" t="s">
        <v>2534</v>
      </c>
      <c r="F812" t="s">
        <v>2535</v>
      </c>
      <c r="G812" t="s">
        <v>2530</v>
      </c>
      <c r="H812" t="s">
        <v>51</v>
      </c>
      <c r="I812" t="s">
        <v>2531</v>
      </c>
      <c r="J812" t="s">
        <v>2532</v>
      </c>
      <c r="L812" t="s">
        <v>1271</v>
      </c>
    </row>
    <row r="813" spans="1:12" x14ac:dyDescent="0.25">
      <c r="A813" t="s">
        <v>2536</v>
      </c>
      <c r="B813" t="s">
        <v>2537</v>
      </c>
      <c r="F813" t="s">
        <v>2529</v>
      </c>
      <c r="G813" t="s">
        <v>2530</v>
      </c>
      <c r="H813" t="s">
        <v>51</v>
      </c>
      <c r="I813" t="s">
        <v>2531</v>
      </c>
      <c r="J813" t="s">
        <v>2532</v>
      </c>
      <c r="L813" t="s">
        <v>1271</v>
      </c>
    </row>
    <row r="814" spans="1:12" x14ac:dyDescent="0.25">
      <c r="A814" t="s">
        <v>2538</v>
      </c>
      <c r="B814" t="s">
        <v>2539</v>
      </c>
      <c r="F814" t="s">
        <v>2540</v>
      </c>
      <c r="G814" t="s">
        <v>2530</v>
      </c>
      <c r="H814" t="s">
        <v>51</v>
      </c>
      <c r="I814" t="s">
        <v>2531</v>
      </c>
      <c r="J814" t="s">
        <v>2532</v>
      </c>
      <c r="L814" t="s">
        <v>1271</v>
      </c>
    </row>
    <row r="815" spans="1:12" x14ac:dyDescent="0.25">
      <c r="A815" t="s">
        <v>2541</v>
      </c>
      <c r="B815" t="s">
        <v>2542</v>
      </c>
      <c r="C815" t="s">
        <v>2543</v>
      </c>
      <c r="F815" t="s">
        <v>1032</v>
      </c>
      <c r="G815" t="s">
        <v>50</v>
      </c>
      <c r="H815" t="s">
        <v>51</v>
      </c>
      <c r="I815" t="s">
        <v>2544</v>
      </c>
      <c r="J815" t="s">
        <v>2545</v>
      </c>
      <c r="L815" t="s">
        <v>1271</v>
      </c>
    </row>
    <row r="816" spans="1:12" x14ac:dyDescent="0.25">
      <c r="A816" t="s">
        <v>2546</v>
      </c>
      <c r="B816" t="s">
        <v>2547</v>
      </c>
      <c r="C816" t="s">
        <v>2548</v>
      </c>
      <c r="F816" t="s">
        <v>2549</v>
      </c>
      <c r="G816" t="s">
        <v>50</v>
      </c>
      <c r="H816" t="s">
        <v>51</v>
      </c>
      <c r="I816" t="s">
        <v>2544</v>
      </c>
      <c r="J816" t="s">
        <v>2545</v>
      </c>
      <c r="L816" t="s">
        <v>1271</v>
      </c>
    </row>
    <row r="817" spans="1:12" x14ac:dyDescent="0.25">
      <c r="A817" t="s">
        <v>2550</v>
      </c>
      <c r="B817" t="s">
        <v>2551</v>
      </c>
      <c r="C817" t="s">
        <v>2552</v>
      </c>
      <c r="F817" t="s">
        <v>253</v>
      </c>
      <c r="G817" t="s">
        <v>50</v>
      </c>
      <c r="H817" t="s">
        <v>51</v>
      </c>
      <c r="I817" t="s">
        <v>2544</v>
      </c>
      <c r="J817" t="s">
        <v>2545</v>
      </c>
      <c r="L817" t="s">
        <v>1271</v>
      </c>
    </row>
    <row r="818" spans="1:12" x14ac:dyDescent="0.25">
      <c r="A818" t="s">
        <v>2553</v>
      </c>
      <c r="B818" t="s">
        <v>2554</v>
      </c>
      <c r="C818" t="s">
        <v>2555</v>
      </c>
      <c r="F818" t="s">
        <v>160</v>
      </c>
      <c r="G818" t="s">
        <v>50</v>
      </c>
      <c r="H818" t="s">
        <v>51</v>
      </c>
      <c r="I818" t="s">
        <v>2544</v>
      </c>
      <c r="J818" t="s">
        <v>2545</v>
      </c>
      <c r="L818" t="s">
        <v>1271</v>
      </c>
    </row>
    <row r="819" spans="1:12" x14ac:dyDescent="0.25">
      <c r="A819" t="s">
        <v>2556</v>
      </c>
      <c r="B819" t="s">
        <v>2557</v>
      </c>
      <c r="C819" t="s">
        <v>2558</v>
      </c>
      <c r="F819" t="s">
        <v>849</v>
      </c>
      <c r="G819" t="s">
        <v>50</v>
      </c>
      <c r="H819" t="s">
        <v>51</v>
      </c>
      <c r="I819" t="s">
        <v>2544</v>
      </c>
      <c r="J819" t="s">
        <v>2545</v>
      </c>
      <c r="L819" t="s">
        <v>1271</v>
      </c>
    </row>
    <row r="820" spans="1:12" x14ac:dyDescent="0.25">
      <c r="A820" t="s">
        <v>2559</v>
      </c>
      <c r="B820" t="s">
        <v>2560</v>
      </c>
      <c r="C820" t="s">
        <v>2561</v>
      </c>
      <c r="F820" t="s">
        <v>1200</v>
      </c>
      <c r="G820" t="s">
        <v>50</v>
      </c>
      <c r="H820" t="s">
        <v>51</v>
      </c>
      <c r="I820" t="s">
        <v>2544</v>
      </c>
      <c r="J820" t="s">
        <v>2545</v>
      </c>
      <c r="L820" t="s">
        <v>1271</v>
      </c>
    </row>
    <row r="821" spans="1:12" x14ac:dyDescent="0.25">
      <c r="A821" t="s">
        <v>2562</v>
      </c>
      <c r="B821" t="s">
        <v>2563</v>
      </c>
      <c r="C821" t="s">
        <v>2564</v>
      </c>
      <c r="F821" t="s">
        <v>115</v>
      </c>
      <c r="G821" t="s">
        <v>50</v>
      </c>
      <c r="H821" t="s">
        <v>51</v>
      </c>
      <c r="I821" t="s">
        <v>2544</v>
      </c>
      <c r="J821" t="s">
        <v>2545</v>
      </c>
      <c r="L821" t="s">
        <v>1271</v>
      </c>
    </row>
    <row r="822" spans="1:12" x14ac:dyDescent="0.25">
      <c r="A822" t="s">
        <v>2565</v>
      </c>
      <c r="B822" t="s">
        <v>2566</v>
      </c>
      <c r="C822" t="s">
        <v>2567</v>
      </c>
      <c r="F822" t="s">
        <v>1131</v>
      </c>
      <c r="G822" t="s">
        <v>50</v>
      </c>
      <c r="H822" t="s">
        <v>51</v>
      </c>
      <c r="I822" t="s">
        <v>2544</v>
      </c>
      <c r="J822" t="s">
        <v>2545</v>
      </c>
      <c r="L822" t="s">
        <v>1271</v>
      </c>
    </row>
    <row r="823" spans="1:12" x14ac:dyDescent="0.25">
      <c r="A823" t="s">
        <v>2568</v>
      </c>
      <c r="B823" t="s">
        <v>2569</v>
      </c>
      <c r="C823" t="s">
        <v>2570</v>
      </c>
      <c r="F823" t="s">
        <v>1842</v>
      </c>
      <c r="G823" t="s">
        <v>50</v>
      </c>
      <c r="H823" t="s">
        <v>51</v>
      </c>
      <c r="I823" t="s">
        <v>2544</v>
      </c>
      <c r="J823" t="s">
        <v>2545</v>
      </c>
      <c r="L823" t="s">
        <v>1271</v>
      </c>
    </row>
    <row r="824" spans="1:12" x14ac:dyDescent="0.25">
      <c r="A824" t="s">
        <v>2571</v>
      </c>
      <c r="B824" t="s">
        <v>2572</v>
      </c>
      <c r="C824" t="s">
        <v>2573</v>
      </c>
      <c r="F824" t="s">
        <v>2574</v>
      </c>
      <c r="G824" t="s">
        <v>50</v>
      </c>
      <c r="H824" t="s">
        <v>51</v>
      </c>
      <c r="I824" t="s">
        <v>2544</v>
      </c>
      <c r="J824" t="s">
        <v>2545</v>
      </c>
      <c r="L824" t="s">
        <v>1271</v>
      </c>
    </row>
    <row r="825" spans="1:12" x14ac:dyDescent="0.25">
      <c r="A825" t="s">
        <v>2575</v>
      </c>
      <c r="B825" t="s">
        <v>2576</v>
      </c>
      <c r="C825" t="s">
        <v>2577</v>
      </c>
      <c r="F825" t="s">
        <v>253</v>
      </c>
      <c r="G825" t="s">
        <v>50</v>
      </c>
      <c r="H825" t="s">
        <v>51</v>
      </c>
      <c r="I825" t="s">
        <v>2544</v>
      </c>
      <c r="J825" t="s">
        <v>2545</v>
      </c>
      <c r="L825" t="s">
        <v>1271</v>
      </c>
    </row>
    <row r="826" spans="1:12" x14ac:dyDescent="0.25">
      <c r="A826" t="s">
        <v>2578</v>
      </c>
      <c r="B826" t="s">
        <v>2579</v>
      </c>
      <c r="C826" t="s">
        <v>2580</v>
      </c>
      <c r="F826" t="s">
        <v>533</v>
      </c>
      <c r="G826" t="s">
        <v>50</v>
      </c>
      <c r="H826" t="s">
        <v>51</v>
      </c>
      <c r="I826" t="s">
        <v>2544</v>
      </c>
      <c r="J826" t="s">
        <v>2545</v>
      </c>
      <c r="L826" t="s">
        <v>1271</v>
      </c>
    </row>
    <row r="827" spans="1:12" x14ac:dyDescent="0.25">
      <c r="A827" t="s">
        <v>2581</v>
      </c>
      <c r="B827" t="s">
        <v>2582</v>
      </c>
      <c r="F827" t="s">
        <v>2004</v>
      </c>
      <c r="G827" t="s">
        <v>123</v>
      </c>
      <c r="H827" t="s">
        <v>51</v>
      </c>
      <c r="I827" t="s">
        <v>124</v>
      </c>
      <c r="J827" t="s">
        <v>125</v>
      </c>
      <c r="L827" t="s">
        <v>126</v>
      </c>
    </row>
    <row r="828" spans="1:12" x14ac:dyDescent="0.25">
      <c r="A828" t="s">
        <v>2583</v>
      </c>
      <c r="B828" t="s">
        <v>2584</v>
      </c>
      <c r="F828" t="s">
        <v>536</v>
      </c>
      <c r="G828" t="s">
        <v>123</v>
      </c>
      <c r="H828" t="s">
        <v>51</v>
      </c>
      <c r="I828" t="s">
        <v>124</v>
      </c>
      <c r="J828" t="s">
        <v>125</v>
      </c>
      <c r="L828" t="s">
        <v>126</v>
      </c>
    </row>
    <row r="829" spans="1:12" x14ac:dyDescent="0.25">
      <c r="A829" t="s">
        <v>2585</v>
      </c>
      <c r="B829" t="s">
        <v>2586</v>
      </c>
      <c r="F829" t="s">
        <v>2587</v>
      </c>
      <c r="G829" t="s">
        <v>123</v>
      </c>
      <c r="H829" t="s">
        <v>51</v>
      </c>
      <c r="I829" t="s">
        <v>124</v>
      </c>
      <c r="J829" t="s">
        <v>125</v>
      </c>
      <c r="L829" t="s">
        <v>126</v>
      </c>
    </row>
    <row r="830" spans="1:12" x14ac:dyDescent="0.25">
      <c r="A830" t="s">
        <v>2588</v>
      </c>
      <c r="B830" t="s">
        <v>2589</v>
      </c>
      <c r="F830" t="s">
        <v>2587</v>
      </c>
      <c r="G830" t="s">
        <v>123</v>
      </c>
      <c r="H830" t="s">
        <v>51</v>
      </c>
      <c r="I830" t="s">
        <v>124</v>
      </c>
      <c r="J830" t="s">
        <v>125</v>
      </c>
      <c r="L830" t="s">
        <v>126</v>
      </c>
    </row>
    <row r="831" spans="1:12" x14ac:dyDescent="0.25">
      <c r="A831" t="s">
        <v>2590</v>
      </c>
      <c r="B831" t="s">
        <v>2591</v>
      </c>
      <c r="F831" t="s">
        <v>2587</v>
      </c>
      <c r="G831" t="s">
        <v>123</v>
      </c>
      <c r="H831" t="s">
        <v>51</v>
      </c>
      <c r="I831" t="s">
        <v>124</v>
      </c>
      <c r="J831" t="s">
        <v>125</v>
      </c>
      <c r="L831" t="s">
        <v>126</v>
      </c>
    </row>
    <row r="832" spans="1:12" x14ac:dyDescent="0.25">
      <c r="A832" t="s">
        <v>2592</v>
      </c>
      <c r="B832" t="s">
        <v>2593</v>
      </c>
      <c r="F832" t="s">
        <v>652</v>
      </c>
      <c r="G832" t="s">
        <v>1836</v>
      </c>
      <c r="H832" t="s">
        <v>51</v>
      </c>
      <c r="I832" t="s">
        <v>1837</v>
      </c>
      <c r="J832" t="s">
        <v>1838</v>
      </c>
      <c r="L832" t="s">
        <v>1271</v>
      </c>
    </row>
    <row r="833" spans="1:12" x14ac:dyDescent="0.25">
      <c r="A833" t="s">
        <v>2594</v>
      </c>
      <c r="B833" t="s">
        <v>2595</v>
      </c>
      <c r="F833" t="s">
        <v>246</v>
      </c>
      <c r="G833" t="s">
        <v>50</v>
      </c>
      <c r="H833" t="s">
        <v>51</v>
      </c>
      <c r="I833" t="s">
        <v>2596</v>
      </c>
      <c r="J833" t="s">
        <v>2597</v>
      </c>
      <c r="L833" t="s">
        <v>1271</v>
      </c>
    </row>
    <row r="834" spans="1:12" x14ac:dyDescent="0.25">
      <c r="A834" t="s">
        <v>2598</v>
      </c>
      <c r="B834" t="s">
        <v>2599</v>
      </c>
      <c r="F834" t="s">
        <v>1593</v>
      </c>
      <c r="G834" t="s">
        <v>123</v>
      </c>
      <c r="H834" t="s">
        <v>51</v>
      </c>
      <c r="I834" t="s">
        <v>124</v>
      </c>
      <c r="J834" t="s">
        <v>125</v>
      </c>
      <c r="L834" t="s">
        <v>126</v>
      </c>
    </row>
    <row r="835" spans="1:12" x14ac:dyDescent="0.25">
      <c r="A835" t="s">
        <v>2600</v>
      </c>
      <c r="B835" t="s">
        <v>2601</v>
      </c>
      <c r="F835" t="s">
        <v>1593</v>
      </c>
      <c r="G835" t="s">
        <v>123</v>
      </c>
      <c r="H835" t="s">
        <v>51</v>
      </c>
      <c r="I835" t="s">
        <v>124</v>
      </c>
      <c r="J835" t="s">
        <v>125</v>
      </c>
      <c r="L835" t="s">
        <v>126</v>
      </c>
    </row>
    <row r="836" spans="1:12" x14ac:dyDescent="0.25">
      <c r="A836" t="s">
        <v>2602</v>
      </c>
      <c r="B836" t="s">
        <v>2603</v>
      </c>
      <c r="F836" t="s">
        <v>1407</v>
      </c>
      <c r="G836" t="s">
        <v>123</v>
      </c>
      <c r="H836" t="s">
        <v>51</v>
      </c>
      <c r="I836" t="s">
        <v>124</v>
      </c>
      <c r="J836" t="s">
        <v>125</v>
      </c>
      <c r="L836" t="s">
        <v>126</v>
      </c>
    </row>
    <row r="837" spans="1:12" x14ac:dyDescent="0.25">
      <c r="A837" t="s">
        <v>2604</v>
      </c>
      <c r="B837" t="s">
        <v>2605</v>
      </c>
      <c r="F837" t="s">
        <v>1775</v>
      </c>
      <c r="G837" t="s">
        <v>123</v>
      </c>
      <c r="H837" t="s">
        <v>51</v>
      </c>
      <c r="I837" t="s">
        <v>124</v>
      </c>
      <c r="J837" t="s">
        <v>125</v>
      </c>
      <c r="L837" t="s">
        <v>126</v>
      </c>
    </row>
    <row r="838" spans="1:12" x14ac:dyDescent="0.25">
      <c r="A838" t="s">
        <v>2606</v>
      </c>
      <c r="B838" t="s">
        <v>2607</v>
      </c>
      <c r="F838" t="s">
        <v>122</v>
      </c>
      <c r="G838" t="s">
        <v>123</v>
      </c>
      <c r="H838" t="s">
        <v>51</v>
      </c>
      <c r="I838" t="s">
        <v>124</v>
      </c>
      <c r="J838" t="s">
        <v>125</v>
      </c>
      <c r="L838" t="s">
        <v>126</v>
      </c>
    </row>
    <row r="839" spans="1:12" x14ac:dyDescent="0.25">
      <c r="A839" t="s">
        <v>2608</v>
      </c>
      <c r="B839" t="s">
        <v>2609</v>
      </c>
      <c r="F839" t="s">
        <v>398</v>
      </c>
      <c r="G839" t="s">
        <v>50</v>
      </c>
      <c r="H839" t="s">
        <v>51</v>
      </c>
      <c r="I839" t="s">
        <v>2596</v>
      </c>
      <c r="J839" t="s">
        <v>2597</v>
      </c>
      <c r="L839" t="s">
        <v>1271</v>
      </c>
    </row>
    <row r="840" spans="1:12" x14ac:dyDescent="0.25">
      <c r="A840" t="s">
        <v>2610</v>
      </c>
      <c r="B840" t="s">
        <v>2611</v>
      </c>
      <c r="F840" t="s">
        <v>242</v>
      </c>
      <c r="G840" t="s">
        <v>50</v>
      </c>
      <c r="H840" t="s">
        <v>51</v>
      </c>
      <c r="I840" t="s">
        <v>2612</v>
      </c>
      <c r="J840" t="s">
        <v>945</v>
      </c>
      <c r="L840" t="s">
        <v>1271</v>
      </c>
    </row>
    <row r="841" spans="1:12" x14ac:dyDescent="0.25">
      <c r="A841" t="s">
        <v>2613</v>
      </c>
      <c r="B841" t="s">
        <v>2614</v>
      </c>
      <c r="F841" t="s">
        <v>2615</v>
      </c>
      <c r="G841" t="s">
        <v>123</v>
      </c>
      <c r="H841" t="s">
        <v>51</v>
      </c>
      <c r="I841" t="s">
        <v>124</v>
      </c>
      <c r="J841" t="s">
        <v>2616</v>
      </c>
      <c r="L841" t="s">
        <v>2617</v>
      </c>
    </row>
    <row r="842" spans="1:12" x14ac:dyDescent="0.25">
      <c r="A842" t="s">
        <v>2618</v>
      </c>
      <c r="B842" t="s">
        <v>2619</v>
      </c>
      <c r="F842" t="s">
        <v>2620</v>
      </c>
      <c r="G842" t="s">
        <v>123</v>
      </c>
      <c r="H842" t="s">
        <v>51</v>
      </c>
      <c r="I842" t="s">
        <v>124</v>
      </c>
      <c r="J842" t="s">
        <v>2616</v>
      </c>
      <c r="L842" t="s">
        <v>2617</v>
      </c>
    </row>
    <row r="843" spans="1:12" x14ac:dyDescent="0.25">
      <c r="A843" t="s">
        <v>2621</v>
      </c>
      <c r="B843" t="s">
        <v>2622</v>
      </c>
      <c r="F843" t="s">
        <v>2623</v>
      </c>
      <c r="G843" t="s">
        <v>123</v>
      </c>
      <c r="H843" t="s">
        <v>51</v>
      </c>
      <c r="I843" t="s">
        <v>124</v>
      </c>
      <c r="J843" t="s">
        <v>2616</v>
      </c>
      <c r="L843" t="s">
        <v>2617</v>
      </c>
    </row>
    <row r="844" spans="1:12" x14ac:dyDescent="0.25">
      <c r="A844" t="s">
        <v>2624</v>
      </c>
      <c r="B844" t="s">
        <v>2625</v>
      </c>
      <c r="F844" t="s">
        <v>2626</v>
      </c>
      <c r="G844" t="s">
        <v>123</v>
      </c>
      <c r="H844" t="s">
        <v>51</v>
      </c>
      <c r="I844" t="s">
        <v>124</v>
      </c>
      <c r="J844" t="s">
        <v>2616</v>
      </c>
      <c r="L844" t="s">
        <v>2617</v>
      </c>
    </row>
    <row r="845" spans="1:12" x14ac:dyDescent="0.25">
      <c r="A845" t="s">
        <v>2627</v>
      </c>
      <c r="B845" t="s">
        <v>2628</v>
      </c>
      <c r="F845" t="s">
        <v>2629</v>
      </c>
      <c r="G845" t="s">
        <v>123</v>
      </c>
      <c r="H845" t="s">
        <v>51</v>
      </c>
      <c r="I845" t="s">
        <v>124</v>
      </c>
      <c r="J845" t="s">
        <v>2616</v>
      </c>
      <c r="L845" t="s">
        <v>2617</v>
      </c>
    </row>
    <row r="846" spans="1:12" x14ac:dyDescent="0.25">
      <c r="A846" t="s">
        <v>2630</v>
      </c>
      <c r="B846" t="s">
        <v>2631</v>
      </c>
      <c r="F846" t="s">
        <v>2632</v>
      </c>
      <c r="G846" t="s">
        <v>123</v>
      </c>
      <c r="H846" t="s">
        <v>51</v>
      </c>
      <c r="I846" t="s">
        <v>124</v>
      </c>
      <c r="J846" t="s">
        <v>2616</v>
      </c>
      <c r="L846" t="s">
        <v>2617</v>
      </c>
    </row>
    <row r="847" spans="1:12" x14ac:dyDescent="0.25">
      <c r="A847" t="s">
        <v>2633</v>
      </c>
      <c r="B847" t="s">
        <v>2634</v>
      </c>
      <c r="F847" t="s">
        <v>253</v>
      </c>
      <c r="G847" t="s">
        <v>50</v>
      </c>
      <c r="H847" t="s">
        <v>51</v>
      </c>
      <c r="I847" t="s">
        <v>2596</v>
      </c>
      <c r="J847" t="s">
        <v>2597</v>
      </c>
      <c r="L847" t="s">
        <v>1271</v>
      </c>
    </row>
    <row r="848" spans="1:12" x14ac:dyDescent="0.25">
      <c r="A848" t="s">
        <v>2635</v>
      </c>
      <c r="B848" t="s">
        <v>2636</v>
      </c>
      <c r="F848" t="s">
        <v>358</v>
      </c>
      <c r="G848" t="s">
        <v>50</v>
      </c>
      <c r="H848" t="s">
        <v>51</v>
      </c>
      <c r="I848" t="s">
        <v>2596</v>
      </c>
      <c r="J848" t="s">
        <v>2597</v>
      </c>
      <c r="L848" t="s">
        <v>1271</v>
      </c>
    </row>
    <row r="849" spans="1:12" x14ac:dyDescent="0.25">
      <c r="A849" t="s">
        <v>2637</v>
      </c>
      <c r="B849" t="s">
        <v>2638</v>
      </c>
      <c r="F849" t="s">
        <v>58</v>
      </c>
      <c r="G849" t="s">
        <v>50</v>
      </c>
      <c r="H849" t="s">
        <v>51</v>
      </c>
      <c r="I849" t="s">
        <v>2596</v>
      </c>
      <c r="J849" t="s">
        <v>2597</v>
      </c>
      <c r="L849" t="s">
        <v>1271</v>
      </c>
    </row>
    <row r="850" spans="1:12" x14ac:dyDescent="0.25">
      <c r="A850" t="s">
        <v>2639</v>
      </c>
      <c r="B850" t="s">
        <v>2640</v>
      </c>
      <c r="F850" t="s">
        <v>667</v>
      </c>
      <c r="G850" t="s">
        <v>50</v>
      </c>
      <c r="H850" t="s">
        <v>51</v>
      </c>
      <c r="I850" t="s">
        <v>2596</v>
      </c>
      <c r="J850" t="s">
        <v>2597</v>
      </c>
      <c r="L850" t="s">
        <v>1271</v>
      </c>
    </row>
    <row r="851" spans="1:12" x14ac:dyDescent="0.25">
      <c r="A851" t="s">
        <v>2641</v>
      </c>
      <c r="B851" t="s">
        <v>2642</v>
      </c>
      <c r="F851" t="s">
        <v>1074</v>
      </c>
      <c r="G851" t="s">
        <v>50</v>
      </c>
      <c r="H851" t="s">
        <v>51</v>
      </c>
      <c r="I851" t="s">
        <v>2596</v>
      </c>
      <c r="J851" t="s">
        <v>2597</v>
      </c>
      <c r="L851" t="s">
        <v>1271</v>
      </c>
    </row>
    <row r="852" spans="1:12" x14ac:dyDescent="0.25">
      <c r="A852" t="s">
        <v>2643</v>
      </c>
      <c r="B852" t="s">
        <v>2644</v>
      </c>
      <c r="F852" t="s">
        <v>1882</v>
      </c>
      <c r="G852" t="s">
        <v>50</v>
      </c>
      <c r="H852" t="s">
        <v>51</v>
      </c>
      <c r="I852" t="s">
        <v>2596</v>
      </c>
      <c r="J852" t="s">
        <v>2597</v>
      </c>
      <c r="L852" t="s">
        <v>1271</v>
      </c>
    </row>
    <row r="853" spans="1:12" x14ac:dyDescent="0.25">
      <c r="A853" t="s">
        <v>2645</v>
      </c>
      <c r="B853" t="s">
        <v>2646</v>
      </c>
      <c r="F853" t="s">
        <v>1356</v>
      </c>
      <c r="G853" t="s">
        <v>1663</v>
      </c>
      <c r="H853" t="s">
        <v>51</v>
      </c>
      <c r="I853" t="s">
        <v>1664</v>
      </c>
      <c r="J853" t="s">
        <v>1677</v>
      </c>
      <c r="L853" t="s">
        <v>1271</v>
      </c>
    </row>
    <row r="854" spans="1:12" x14ac:dyDescent="0.25">
      <c r="A854" t="s">
        <v>2647</v>
      </c>
      <c r="B854" t="s">
        <v>2648</v>
      </c>
      <c r="F854" t="s">
        <v>1095</v>
      </c>
      <c r="G854" t="s">
        <v>1663</v>
      </c>
      <c r="H854" t="s">
        <v>51</v>
      </c>
      <c r="I854" t="s">
        <v>1664</v>
      </c>
      <c r="J854" t="s">
        <v>1677</v>
      </c>
      <c r="L854" t="s">
        <v>1271</v>
      </c>
    </row>
    <row r="855" spans="1:12" x14ac:dyDescent="0.25">
      <c r="A855" t="s">
        <v>2649</v>
      </c>
      <c r="B855" t="s">
        <v>2650</v>
      </c>
      <c r="F855" t="s">
        <v>1014</v>
      </c>
      <c r="G855" t="s">
        <v>50</v>
      </c>
      <c r="H855" t="s">
        <v>51</v>
      </c>
      <c r="I855" t="s">
        <v>2651</v>
      </c>
      <c r="J855" t="s">
        <v>945</v>
      </c>
      <c r="L855" t="s">
        <v>1271</v>
      </c>
    </row>
    <row r="856" spans="1:12" x14ac:dyDescent="0.25">
      <c r="A856" t="s">
        <v>2652</v>
      </c>
      <c r="B856" t="s">
        <v>2653</v>
      </c>
      <c r="F856" t="s">
        <v>1189</v>
      </c>
      <c r="G856" t="s">
        <v>50</v>
      </c>
      <c r="H856" t="s">
        <v>51</v>
      </c>
      <c r="I856" t="s">
        <v>2654</v>
      </c>
      <c r="J856" t="s">
        <v>2655</v>
      </c>
      <c r="L856" t="s">
        <v>1271</v>
      </c>
    </row>
    <row r="857" spans="1:12" x14ac:dyDescent="0.25">
      <c r="A857" t="s">
        <v>2656</v>
      </c>
      <c r="B857" t="s">
        <v>2657</v>
      </c>
      <c r="F857" t="s">
        <v>2418</v>
      </c>
      <c r="G857" t="s">
        <v>949</v>
      </c>
      <c r="H857" t="s">
        <v>51</v>
      </c>
      <c r="I857" t="s">
        <v>2658</v>
      </c>
      <c r="J857" t="s">
        <v>2659</v>
      </c>
      <c r="L857" t="s">
        <v>1271</v>
      </c>
    </row>
    <row r="858" spans="1:12" x14ac:dyDescent="0.25">
      <c r="A858" t="s">
        <v>2660</v>
      </c>
      <c r="B858" t="s">
        <v>2661</v>
      </c>
      <c r="F858" t="s">
        <v>2662</v>
      </c>
      <c r="G858" t="s">
        <v>50</v>
      </c>
      <c r="H858" t="s">
        <v>51</v>
      </c>
      <c r="I858" t="s">
        <v>2651</v>
      </c>
      <c r="J858" t="s">
        <v>945</v>
      </c>
      <c r="L858" t="s">
        <v>1271</v>
      </c>
    </row>
    <row r="859" spans="1:12" x14ac:dyDescent="0.25">
      <c r="A859" t="s">
        <v>2663</v>
      </c>
      <c r="B859" t="s">
        <v>2664</v>
      </c>
      <c r="F859" t="s">
        <v>2665</v>
      </c>
      <c r="G859" t="s">
        <v>50</v>
      </c>
      <c r="H859" t="s">
        <v>51</v>
      </c>
      <c r="I859" t="s">
        <v>2666</v>
      </c>
      <c r="J859" t="s">
        <v>2667</v>
      </c>
      <c r="L859" t="s">
        <v>2668</v>
      </c>
    </row>
    <row r="860" spans="1:12" x14ac:dyDescent="0.25">
      <c r="A860" t="s">
        <v>2669</v>
      </c>
      <c r="B860" t="s">
        <v>2670</v>
      </c>
      <c r="F860" t="s">
        <v>2671</v>
      </c>
      <c r="G860" t="s">
        <v>50</v>
      </c>
      <c r="H860" t="s">
        <v>51</v>
      </c>
      <c r="I860" t="s">
        <v>2666</v>
      </c>
      <c r="J860" t="s">
        <v>2667</v>
      </c>
      <c r="L860" t="s">
        <v>2668</v>
      </c>
    </row>
    <row r="861" spans="1:12" x14ac:dyDescent="0.25">
      <c r="A861" t="s">
        <v>2672</v>
      </c>
      <c r="B861" t="s">
        <v>2673</v>
      </c>
      <c r="F861" t="s">
        <v>2674</v>
      </c>
      <c r="G861" t="s">
        <v>50</v>
      </c>
      <c r="H861" t="s">
        <v>51</v>
      </c>
      <c r="I861" t="s">
        <v>2666</v>
      </c>
      <c r="J861" t="s">
        <v>2667</v>
      </c>
      <c r="L861" t="s">
        <v>2668</v>
      </c>
    </row>
    <row r="862" spans="1:12" x14ac:dyDescent="0.25">
      <c r="A862" t="s">
        <v>2675</v>
      </c>
      <c r="B862" t="s">
        <v>2676</v>
      </c>
      <c r="F862" t="s">
        <v>2677</v>
      </c>
      <c r="G862" t="s">
        <v>50</v>
      </c>
      <c r="H862" t="s">
        <v>51</v>
      </c>
      <c r="I862" t="s">
        <v>2666</v>
      </c>
      <c r="J862" t="s">
        <v>2678</v>
      </c>
      <c r="L862" t="s">
        <v>956</v>
      </c>
    </row>
    <row r="863" spans="1:12" x14ac:dyDescent="0.25">
      <c r="A863" t="s">
        <v>2679</v>
      </c>
      <c r="B863" t="s">
        <v>2680</v>
      </c>
      <c r="C863" t="s">
        <v>2681</v>
      </c>
      <c r="F863" t="s">
        <v>246</v>
      </c>
      <c r="G863" t="s">
        <v>50</v>
      </c>
      <c r="H863" t="s">
        <v>51</v>
      </c>
      <c r="I863" t="s">
        <v>2666</v>
      </c>
      <c r="J863" t="s">
        <v>2545</v>
      </c>
      <c r="L863" t="s">
        <v>1271</v>
      </c>
    </row>
    <row r="864" spans="1:12" x14ac:dyDescent="0.25">
      <c r="A864" t="s">
        <v>2682</v>
      </c>
      <c r="B864" t="s">
        <v>2683</v>
      </c>
      <c r="C864" t="s">
        <v>2684</v>
      </c>
      <c r="F864" t="s">
        <v>246</v>
      </c>
      <c r="G864" t="s">
        <v>50</v>
      </c>
      <c r="H864" t="s">
        <v>51</v>
      </c>
      <c r="I864" t="s">
        <v>2666</v>
      </c>
      <c r="J864" t="s">
        <v>2545</v>
      </c>
      <c r="L864" t="s">
        <v>1271</v>
      </c>
    </row>
    <row r="865" spans="1:12" x14ac:dyDescent="0.25">
      <c r="A865" t="s">
        <v>2685</v>
      </c>
      <c r="B865" t="s">
        <v>2686</v>
      </c>
      <c r="C865" t="s">
        <v>2687</v>
      </c>
      <c r="F865" t="s">
        <v>318</v>
      </c>
      <c r="G865" t="s">
        <v>50</v>
      </c>
      <c r="H865" t="s">
        <v>51</v>
      </c>
      <c r="I865" t="s">
        <v>2666</v>
      </c>
      <c r="J865" t="s">
        <v>2545</v>
      </c>
      <c r="L865" t="s">
        <v>1271</v>
      </c>
    </row>
    <row r="866" spans="1:12" x14ac:dyDescent="0.25">
      <c r="A866" t="s">
        <v>2688</v>
      </c>
      <c r="B866" t="s">
        <v>2689</v>
      </c>
      <c r="C866" t="s">
        <v>2690</v>
      </c>
      <c r="F866" t="s">
        <v>468</v>
      </c>
      <c r="G866" t="s">
        <v>50</v>
      </c>
      <c r="H866" t="s">
        <v>51</v>
      </c>
      <c r="I866" t="s">
        <v>2666</v>
      </c>
      <c r="J866" t="s">
        <v>2545</v>
      </c>
      <c r="L866" t="s">
        <v>1271</v>
      </c>
    </row>
    <row r="867" spans="1:12" x14ac:dyDescent="0.25">
      <c r="A867" t="s">
        <v>2691</v>
      </c>
      <c r="B867" t="s">
        <v>2692</v>
      </c>
      <c r="C867" t="s">
        <v>2693</v>
      </c>
      <c r="F867" t="s">
        <v>277</v>
      </c>
      <c r="G867" t="s">
        <v>50</v>
      </c>
      <c r="H867" t="s">
        <v>51</v>
      </c>
      <c r="I867" t="s">
        <v>2666</v>
      </c>
      <c r="J867" t="s">
        <v>2545</v>
      </c>
      <c r="L867" t="s">
        <v>1271</v>
      </c>
    </row>
    <row r="868" spans="1:12" x14ac:dyDescent="0.25">
      <c r="A868" t="s">
        <v>2694</v>
      </c>
      <c r="B868" t="s">
        <v>2695</v>
      </c>
      <c r="C868" t="s">
        <v>2696</v>
      </c>
      <c r="F868" t="s">
        <v>1040</v>
      </c>
      <c r="G868" t="s">
        <v>50</v>
      </c>
      <c r="H868" t="s">
        <v>51</v>
      </c>
      <c r="I868" t="s">
        <v>2666</v>
      </c>
      <c r="J868" t="s">
        <v>2545</v>
      </c>
      <c r="L868" t="s">
        <v>1271</v>
      </c>
    </row>
    <row r="869" spans="1:12" x14ac:dyDescent="0.25">
      <c r="A869" t="s">
        <v>2697</v>
      </c>
      <c r="B869" t="s">
        <v>2698</v>
      </c>
      <c r="C869" t="s">
        <v>2699</v>
      </c>
      <c r="F869" t="s">
        <v>911</v>
      </c>
      <c r="G869" t="s">
        <v>50</v>
      </c>
      <c r="H869" t="s">
        <v>51</v>
      </c>
      <c r="I869" t="s">
        <v>2666</v>
      </c>
      <c r="J869" t="s">
        <v>2545</v>
      </c>
      <c r="L869" t="s">
        <v>1271</v>
      </c>
    </row>
    <row r="870" spans="1:12" x14ac:dyDescent="0.25">
      <c r="A870" t="s">
        <v>2700</v>
      </c>
      <c r="B870" t="s">
        <v>2701</v>
      </c>
      <c r="C870" t="s">
        <v>2702</v>
      </c>
      <c r="F870" t="s">
        <v>943</v>
      </c>
      <c r="G870" t="s">
        <v>50</v>
      </c>
      <c r="H870" t="s">
        <v>51</v>
      </c>
      <c r="I870" t="s">
        <v>2666</v>
      </c>
      <c r="J870" t="s">
        <v>2545</v>
      </c>
      <c r="L870" t="s">
        <v>1271</v>
      </c>
    </row>
    <row r="871" spans="1:12" x14ac:dyDescent="0.25">
      <c r="A871" t="s">
        <v>2703</v>
      </c>
      <c r="B871" t="s">
        <v>2704</v>
      </c>
      <c r="C871" t="s">
        <v>2705</v>
      </c>
      <c r="F871" t="s">
        <v>438</v>
      </c>
      <c r="G871" t="s">
        <v>50</v>
      </c>
      <c r="H871" t="s">
        <v>51</v>
      </c>
      <c r="I871" t="s">
        <v>2666</v>
      </c>
      <c r="J871" t="s">
        <v>2545</v>
      </c>
      <c r="L871" t="s">
        <v>1271</v>
      </c>
    </row>
    <row r="872" spans="1:12" x14ac:dyDescent="0.25">
      <c r="A872" t="s">
        <v>2706</v>
      </c>
      <c r="B872" t="s">
        <v>2707</v>
      </c>
      <c r="C872" t="s">
        <v>2708</v>
      </c>
      <c r="F872" t="s">
        <v>2709</v>
      </c>
      <c r="G872" t="s">
        <v>50</v>
      </c>
      <c r="H872" t="s">
        <v>51</v>
      </c>
      <c r="I872" t="s">
        <v>2666</v>
      </c>
      <c r="J872" t="s">
        <v>2545</v>
      </c>
      <c r="L872" t="s">
        <v>1271</v>
      </c>
    </row>
    <row r="873" spans="1:12" x14ac:dyDescent="0.25">
      <c r="A873" t="s">
        <v>2710</v>
      </c>
      <c r="B873" t="s">
        <v>2711</v>
      </c>
      <c r="C873" t="s">
        <v>2712</v>
      </c>
      <c r="F873" t="s">
        <v>1127</v>
      </c>
      <c r="G873" t="s">
        <v>50</v>
      </c>
      <c r="H873" t="s">
        <v>51</v>
      </c>
      <c r="I873" t="s">
        <v>2666</v>
      </c>
      <c r="J873" t="s">
        <v>2545</v>
      </c>
      <c r="L873" t="s">
        <v>1271</v>
      </c>
    </row>
    <row r="874" spans="1:12" x14ac:dyDescent="0.25">
      <c r="A874" t="s">
        <v>2713</v>
      </c>
      <c r="B874" t="s">
        <v>2714</v>
      </c>
      <c r="C874" t="s">
        <v>2715</v>
      </c>
      <c r="F874" t="s">
        <v>667</v>
      </c>
      <c r="G874" t="s">
        <v>50</v>
      </c>
      <c r="H874" t="s">
        <v>51</v>
      </c>
      <c r="I874" t="s">
        <v>2666</v>
      </c>
      <c r="J874" t="s">
        <v>2545</v>
      </c>
      <c r="L874" t="s">
        <v>1271</v>
      </c>
    </row>
    <row r="875" spans="1:12" x14ac:dyDescent="0.25">
      <c r="A875" t="s">
        <v>2716</v>
      </c>
      <c r="B875" t="s">
        <v>2717</v>
      </c>
      <c r="C875" t="s">
        <v>2718</v>
      </c>
      <c r="F875" t="s">
        <v>667</v>
      </c>
      <c r="G875" t="s">
        <v>50</v>
      </c>
      <c r="H875" t="s">
        <v>51</v>
      </c>
      <c r="I875" t="s">
        <v>2666</v>
      </c>
      <c r="J875" t="s">
        <v>2545</v>
      </c>
      <c r="L875" t="s">
        <v>1271</v>
      </c>
    </row>
    <row r="876" spans="1:12" x14ac:dyDescent="0.25">
      <c r="A876" t="s">
        <v>2719</v>
      </c>
      <c r="B876" t="s">
        <v>2720</v>
      </c>
      <c r="C876" t="s">
        <v>2721</v>
      </c>
      <c r="F876" t="s">
        <v>1059</v>
      </c>
      <c r="G876" t="s">
        <v>50</v>
      </c>
      <c r="H876" t="s">
        <v>51</v>
      </c>
      <c r="I876" t="s">
        <v>2666</v>
      </c>
      <c r="J876" t="s">
        <v>2545</v>
      </c>
      <c r="L876" t="s">
        <v>1271</v>
      </c>
    </row>
    <row r="877" spans="1:12" x14ac:dyDescent="0.25">
      <c r="A877" t="s">
        <v>2722</v>
      </c>
      <c r="B877" t="s">
        <v>2723</v>
      </c>
      <c r="C877" t="s">
        <v>2724</v>
      </c>
      <c r="F877" t="s">
        <v>2725</v>
      </c>
      <c r="G877" t="s">
        <v>50</v>
      </c>
      <c r="H877" t="s">
        <v>51</v>
      </c>
      <c r="I877" t="s">
        <v>2666</v>
      </c>
      <c r="J877" t="s">
        <v>2545</v>
      </c>
      <c r="L877" t="s">
        <v>1271</v>
      </c>
    </row>
    <row r="878" spans="1:12" x14ac:dyDescent="0.25">
      <c r="A878" t="s">
        <v>2726</v>
      </c>
      <c r="B878" t="s">
        <v>2727</v>
      </c>
      <c r="C878" t="s">
        <v>2728</v>
      </c>
      <c r="F878" t="s">
        <v>1059</v>
      </c>
      <c r="G878" t="s">
        <v>50</v>
      </c>
      <c r="H878" t="s">
        <v>51</v>
      </c>
      <c r="I878" t="s">
        <v>2666</v>
      </c>
      <c r="J878" t="s">
        <v>2545</v>
      </c>
      <c r="L878" t="s">
        <v>1271</v>
      </c>
    </row>
    <row r="879" spans="1:12" x14ac:dyDescent="0.25">
      <c r="A879" t="s">
        <v>2729</v>
      </c>
      <c r="B879" t="s">
        <v>2730</v>
      </c>
      <c r="C879" t="s">
        <v>2731</v>
      </c>
      <c r="F879" t="s">
        <v>100</v>
      </c>
      <c r="G879" t="s">
        <v>50</v>
      </c>
      <c r="H879" t="s">
        <v>51</v>
      </c>
      <c r="I879" t="s">
        <v>2666</v>
      </c>
      <c r="J879" t="s">
        <v>2545</v>
      </c>
      <c r="L879" t="s">
        <v>1271</v>
      </c>
    </row>
    <row r="880" spans="1:12" x14ac:dyDescent="0.25">
      <c r="A880" t="s">
        <v>2732</v>
      </c>
      <c r="B880" t="s">
        <v>2733</v>
      </c>
      <c r="C880" t="s">
        <v>2734</v>
      </c>
      <c r="F880" t="s">
        <v>859</v>
      </c>
      <c r="G880" t="s">
        <v>50</v>
      </c>
      <c r="H880" t="s">
        <v>51</v>
      </c>
      <c r="I880" t="s">
        <v>2666</v>
      </c>
      <c r="J880" t="s">
        <v>2545</v>
      </c>
      <c r="L880" t="s">
        <v>1271</v>
      </c>
    </row>
    <row r="881" spans="1:12" x14ac:dyDescent="0.25">
      <c r="A881" t="s">
        <v>2735</v>
      </c>
      <c r="B881" t="s">
        <v>2736</v>
      </c>
      <c r="C881" t="s">
        <v>2737</v>
      </c>
      <c r="F881" t="s">
        <v>1066</v>
      </c>
      <c r="G881" t="s">
        <v>50</v>
      </c>
      <c r="H881" t="s">
        <v>51</v>
      </c>
      <c r="I881" t="s">
        <v>2666</v>
      </c>
      <c r="J881" t="s">
        <v>2545</v>
      </c>
      <c r="L881" t="s">
        <v>1271</v>
      </c>
    </row>
    <row r="882" spans="1:12" x14ac:dyDescent="0.25">
      <c r="A882" t="s">
        <v>2738</v>
      </c>
      <c r="B882" t="s">
        <v>2739</v>
      </c>
      <c r="C882" t="s">
        <v>2740</v>
      </c>
      <c r="F882" t="s">
        <v>265</v>
      </c>
      <c r="G882" t="s">
        <v>50</v>
      </c>
      <c r="H882" t="s">
        <v>51</v>
      </c>
      <c r="I882" t="s">
        <v>2666</v>
      </c>
      <c r="J882" t="s">
        <v>2545</v>
      </c>
      <c r="L882" t="s">
        <v>1271</v>
      </c>
    </row>
    <row r="883" spans="1:12" x14ac:dyDescent="0.25">
      <c r="A883" t="s">
        <v>2741</v>
      </c>
      <c r="B883" t="s">
        <v>2742</v>
      </c>
      <c r="C883" t="s">
        <v>2743</v>
      </c>
      <c r="F883" t="s">
        <v>2744</v>
      </c>
      <c r="G883" t="s">
        <v>50</v>
      </c>
      <c r="H883" t="s">
        <v>51</v>
      </c>
      <c r="I883" t="s">
        <v>2666</v>
      </c>
      <c r="J883" t="s">
        <v>2545</v>
      </c>
      <c r="L883" t="s">
        <v>1271</v>
      </c>
    </row>
    <row r="884" spans="1:12" x14ac:dyDescent="0.25">
      <c r="A884" t="s">
        <v>2745</v>
      </c>
      <c r="B884" t="s">
        <v>2746</v>
      </c>
      <c r="C884" t="s">
        <v>2747</v>
      </c>
      <c r="F884" t="s">
        <v>496</v>
      </c>
      <c r="G884" t="s">
        <v>50</v>
      </c>
      <c r="H884" t="s">
        <v>51</v>
      </c>
      <c r="I884" t="s">
        <v>2666</v>
      </c>
      <c r="J884" t="s">
        <v>2545</v>
      </c>
      <c r="L884" t="s">
        <v>1271</v>
      </c>
    </row>
    <row r="885" spans="1:12" x14ac:dyDescent="0.25">
      <c r="A885" t="s">
        <v>2748</v>
      </c>
      <c r="B885" t="s">
        <v>2749</v>
      </c>
      <c r="C885" t="s">
        <v>2750</v>
      </c>
      <c r="F885" t="s">
        <v>1054</v>
      </c>
      <c r="G885" t="s">
        <v>50</v>
      </c>
      <c r="H885" t="s">
        <v>51</v>
      </c>
      <c r="I885" t="s">
        <v>2666</v>
      </c>
      <c r="J885" t="s">
        <v>2545</v>
      </c>
      <c r="L885" t="s">
        <v>1271</v>
      </c>
    </row>
    <row r="886" spans="1:12" x14ac:dyDescent="0.25">
      <c r="A886" t="s">
        <v>2751</v>
      </c>
      <c r="B886" t="s">
        <v>2752</v>
      </c>
      <c r="C886" t="s">
        <v>2753</v>
      </c>
      <c r="F886" t="s">
        <v>526</v>
      </c>
      <c r="G886" t="s">
        <v>50</v>
      </c>
      <c r="H886" t="s">
        <v>51</v>
      </c>
      <c r="I886" t="s">
        <v>2666</v>
      </c>
      <c r="J886" t="s">
        <v>2545</v>
      </c>
      <c r="L886" t="s">
        <v>1271</v>
      </c>
    </row>
    <row r="887" spans="1:12" x14ac:dyDescent="0.25">
      <c r="A887" t="s">
        <v>2754</v>
      </c>
      <c r="B887" t="s">
        <v>2755</v>
      </c>
      <c r="C887" t="s">
        <v>2756</v>
      </c>
      <c r="F887" t="s">
        <v>1054</v>
      </c>
      <c r="G887" t="s">
        <v>50</v>
      </c>
      <c r="H887" t="s">
        <v>51</v>
      </c>
      <c r="I887" t="s">
        <v>2666</v>
      </c>
      <c r="J887" t="s">
        <v>2545</v>
      </c>
      <c r="L887" t="s">
        <v>1271</v>
      </c>
    </row>
    <row r="888" spans="1:12" x14ac:dyDescent="0.25">
      <c r="A888" t="s">
        <v>2757</v>
      </c>
      <c r="B888" t="s">
        <v>2758</v>
      </c>
      <c r="C888" t="s">
        <v>2759</v>
      </c>
      <c r="F888" t="s">
        <v>115</v>
      </c>
      <c r="G888" t="s">
        <v>50</v>
      </c>
      <c r="H888" t="s">
        <v>51</v>
      </c>
      <c r="I888" t="s">
        <v>2666</v>
      </c>
      <c r="J888" t="s">
        <v>2545</v>
      </c>
      <c r="L888" t="s">
        <v>1271</v>
      </c>
    </row>
    <row r="889" spans="1:12" x14ac:dyDescent="0.25">
      <c r="A889" t="s">
        <v>2760</v>
      </c>
      <c r="B889" t="s">
        <v>2761</v>
      </c>
      <c r="C889" t="s">
        <v>2762</v>
      </c>
      <c r="F889" t="s">
        <v>346</v>
      </c>
      <c r="G889" t="s">
        <v>50</v>
      </c>
      <c r="H889" t="s">
        <v>51</v>
      </c>
      <c r="I889" t="s">
        <v>2666</v>
      </c>
      <c r="J889" t="s">
        <v>2545</v>
      </c>
      <c r="L889" t="s">
        <v>1271</v>
      </c>
    </row>
    <row r="890" spans="1:12" x14ac:dyDescent="0.25">
      <c r="A890" t="s">
        <v>2763</v>
      </c>
      <c r="B890" t="s">
        <v>2764</v>
      </c>
      <c r="C890" t="s">
        <v>2765</v>
      </c>
      <c r="F890" t="s">
        <v>1131</v>
      </c>
      <c r="G890" t="s">
        <v>50</v>
      </c>
      <c r="H890" t="s">
        <v>51</v>
      </c>
      <c r="I890" t="s">
        <v>2666</v>
      </c>
      <c r="J890" t="s">
        <v>2545</v>
      </c>
      <c r="L890" t="s">
        <v>1271</v>
      </c>
    </row>
    <row r="891" spans="1:12" x14ac:dyDescent="0.25">
      <c r="A891" t="s">
        <v>2766</v>
      </c>
      <c r="B891" t="s">
        <v>2767</v>
      </c>
      <c r="C891" t="s">
        <v>2768</v>
      </c>
      <c r="F891" t="s">
        <v>1066</v>
      </c>
      <c r="G891" t="s">
        <v>50</v>
      </c>
      <c r="H891" t="s">
        <v>51</v>
      </c>
      <c r="I891" t="s">
        <v>2666</v>
      </c>
      <c r="J891" t="s">
        <v>2545</v>
      </c>
      <c r="L891" t="s">
        <v>1271</v>
      </c>
    </row>
    <row r="892" spans="1:12" x14ac:dyDescent="0.25">
      <c r="A892" t="s">
        <v>2769</v>
      </c>
      <c r="B892" t="s">
        <v>2770</v>
      </c>
      <c r="C892" t="s">
        <v>2771</v>
      </c>
      <c r="F892" t="s">
        <v>398</v>
      </c>
      <c r="G892" t="s">
        <v>50</v>
      </c>
      <c r="H892" t="s">
        <v>51</v>
      </c>
      <c r="I892" t="s">
        <v>2666</v>
      </c>
      <c r="J892" t="s">
        <v>2545</v>
      </c>
      <c r="L892" t="s">
        <v>1271</v>
      </c>
    </row>
    <row r="893" spans="1:12" x14ac:dyDescent="0.25">
      <c r="A893" t="s">
        <v>2772</v>
      </c>
      <c r="B893" t="s">
        <v>2773</v>
      </c>
      <c r="C893" t="s">
        <v>2774</v>
      </c>
      <c r="F893" t="s">
        <v>2775</v>
      </c>
      <c r="G893" t="s">
        <v>50</v>
      </c>
      <c r="H893" t="s">
        <v>51</v>
      </c>
      <c r="I893" t="s">
        <v>2666</v>
      </c>
      <c r="J893" t="s">
        <v>2545</v>
      </c>
      <c r="L893" t="s">
        <v>1271</v>
      </c>
    </row>
    <row r="894" spans="1:12" x14ac:dyDescent="0.25">
      <c r="A894" t="s">
        <v>2776</v>
      </c>
      <c r="B894" t="s">
        <v>2777</v>
      </c>
      <c r="C894" t="s">
        <v>2778</v>
      </c>
      <c r="F894" t="s">
        <v>468</v>
      </c>
      <c r="G894" t="s">
        <v>50</v>
      </c>
      <c r="H894" t="s">
        <v>51</v>
      </c>
      <c r="I894" t="s">
        <v>2666</v>
      </c>
      <c r="J894" t="s">
        <v>2545</v>
      </c>
      <c r="L894" t="s">
        <v>1271</v>
      </c>
    </row>
    <row r="895" spans="1:12" x14ac:dyDescent="0.25">
      <c r="A895" t="s">
        <v>2779</v>
      </c>
      <c r="B895" t="s">
        <v>2780</v>
      </c>
      <c r="C895" t="s">
        <v>2781</v>
      </c>
      <c r="F895" t="s">
        <v>277</v>
      </c>
      <c r="G895" t="s">
        <v>50</v>
      </c>
      <c r="H895" t="s">
        <v>51</v>
      </c>
      <c r="I895" t="s">
        <v>2666</v>
      </c>
      <c r="J895" t="s">
        <v>2545</v>
      </c>
      <c r="L895" t="s">
        <v>1271</v>
      </c>
    </row>
    <row r="896" spans="1:12" x14ac:dyDescent="0.25">
      <c r="A896" t="s">
        <v>2782</v>
      </c>
      <c r="B896" t="s">
        <v>2783</v>
      </c>
      <c r="C896" t="s">
        <v>2784</v>
      </c>
      <c r="F896" t="s">
        <v>398</v>
      </c>
      <c r="G896" t="s">
        <v>50</v>
      </c>
      <c r="H896" t="s">
        <v>51</v>
      </c>
      <c r="I896" t="s">
        <v>2666</v>
      </c>
      <c r="J896" t="s">
        <v>2545</v>
      </c>
      <c r="L896" t="s">
        <v>1271</v>
      </c>
    </row>
    <row r="897" spans="1:12" x14ac:dyDescent="0.25">
      <c r="A897" t="s">
        <v>2785</v>
      </c>
      <c r="B897" t="s">
        <v>2786</v>
      </c>
      <c r="C897" t="s">
        <v>2787</v>
      </c>
      <c r="F897" t="s">
        <v>90</v>
      </c>
      <c r="G897" t="s">
        <v>50</v>
      </c>
      <c r="H897" t="s">
        <v>51</v>
      </c>
      <c r="I897" t="s">
        <v>2666</v>
      </c>
      <c r="J897" t="s">
        <v>2545</v>
      </c>
      <c r="L897" t="s">
        <v>1271</v>
      </c>
    </row>
    <row r="898" spans="1:12" x14ac:dyDescent="0.25">
      <c r="A898" t="s">
        <v>2788</v>
      </c>
      <c r="B898" t="s">
        <v>2789</v>
      </c>
      <c r="C898" t="s">
        <v>2790</v>
      </c>
      <c r="F898" t="s">
        <v>2549</v>
      </c>
      <c r="G898" t="s">
        <v>50</v>
      </c>
      <c r="H898" t="s">
        <v>51</v>
      </c>
      <c r="I898" t="s">
        <v>2666</v>
      </c>
      <c r="J898" t="s">
        <v>2545</v>
      </c>
      <c r="L898" t="s">
        <v>1271</v>
      </c>
    </row>
    <row r="899" spans="1:12" x14ac:dyDescent="0.25">
      <c r="A899" t="s">
        <v>2791</v>
      </c>
      <c r="B899" t="s">
        <v>2792</v>
      </c>
      <c r="C899" t="s">
        <v>2793</v>
      </c>
      <c r="F899" t="s">
        <v>667</v>
      </c>
      <c r="G899" t="s">
        <v>50</v>
      </c>
      <c r="H899" t="s">
        <v>51</v>
      </c>
      <c r="I899" t="s">
        <v>2666</v>
      </c>
      <c r="J899" t="s">
        <v>2545</v>
      </c>
      <c r="L899" t="s">
        <v>1271</v>
      </c>
    </row>
    <row r="900" spans="1:12" x14ac:dyDescent="0.25">
      <c r="A900" t="s">
        <v>2794</v>
      </c>
      <c r="B900" t="s">
        <v>2795</v>
      </c>
      <c r="C900" t="s">
        <v>2796</v>
      </c>
      <c r="F900" t="s">
        <v>78</v>
      </c>
      <c r="G900" t="s">
        <v>50</v>
      </c>
      <c r="H900" t="s">
        <v>51</v>
      </c>
      <c r="I900" t="s">
        <v>2666</v>
      </c>
      <c r="J900" t="s">
        <v>2545</v>
      </c>
      <c r="L900" t="s">
        <v>1271</v>
      </c>
    </row>
    <row r="901" spans="1:12" x14ac:dyDescent="0.25">
      <c r="A901" t="s">
        <v>2797</v>
      </c>
      <c r="B901" t="s">
        <v>2798</v>
      </c>
      <c r="C901" t="s">
        <v>2799</v>
      </c>
      <c r="F901" t="s">
        <v>1330</v>
      </c>
      <c r="G901" t="s">
        <v>50</v>
      </c>
      <c r="H901" t="s">
        <v>51</v>
      </c>
      <c r="I901" t="s">
        <v>2666</v>
      </c>
      <c r="J901" t="s">
        <v>2545</v>
      </c>
      <c r="L901" t="s">
        <v>1271</v>
      </c>
    </row>
    <row r="902" spans="1:12" x14ac:dyDescent="0.25">
      <c r="A902" t="s">
        <v>2800</v>
      </c>
      <c r="B902" t="s">
        <v>2801</v>
      </c>
      <c r="C902" t="s">
        <v>2802</v>
      </c>
      <c r="F902" t="s">
        <v>1059</v>
      </c>
      <c r="G902" t="s">
        <v>50</v>
      </c>
      <c r="H902" t="s">
        <v>51</v>
      </c>
      <c r="I902" t="s">
        <v>2666</v>
      </c>
      <c r="J902" t="s">
        <v>2545</v>
      </c>
      <c r="L902" t="s">
        <v>1271</v>
      </c>
    </row>
    <row r="903" spans="1:12" x14ac:dyDescent="0.25">
      <c r="A903" t="s">
        <v>2803</v>
      </c>
      <c r="B903" t="s">
        <v>2804</v>
      </c>
      <c r="C903" t="s">
        <v>2805</v>
      </c>
      <c r="F903" t="s">
        <v>632</v>
      </c>
      <c r="G903" t="s">
        <v>50</v>
      </c>
      <c r="H903" t="s">
        <v>51</v>
      </c>
      <c r="I903" t="s">
        <v>2666</v>
      </c>
      <c r="J903" t="s">
        <v>2545</v>
      </c>
      <c r="L903" t="s">
        <v>1271</v>
      </c>
    </row>
    <row r="904" spans="1:12" x14ac:dyDescent="0.25">
      <c r="A904" t="s">
        <v>2806</v>
      </c>
      <c r="B904" t="s">
        <v>2807</v>
      </c>
      <c r="C904" t="s">
        <v>2808</v>
      </c>
      <c r="F904" t="s">
        <v>1014</v>
      </c>
      <c r="G904" t="s">
        <v>50</v>
      </c>
      <c r="H904" t="s">
        <v>51</v>
      </c>
      <c r="I904" t="s">
        <v>2666</v>
      </c>
      <c r="J904" t="s">
        <v>2545</v>
      </c>
      <c r="L904" t="s">
        <v>1271</v>
      </c>
    </row>
    <row r="905" spans="1:12" x14ac:dyDescent="0.25">
      <c r="A905" t="s">
        <v>2809</v>
      </c>
      <c r="B905" t="s">
        <v>2810</v>
      </c>
      <c r="C905" t="s">
        <v>2811</v>
      </c>
      <c r="F905" t="s">
        <v>1054</v>
      </c>
      <c r="G905" t="s">
        <v>50</v>
      </c>
      <c r="H905" t="s">
        <v>51</v>
      </c>
      <c r="I905" t="s">
        <v>2666</v>
      </c>
      <c r="J905" t="s">
        <v>2545</v>
      </c>
      <c r="L905" t="s">
        <v>1271</v>
      </c>
    </row>
    <row r="906" spans="1:12" x14ac:dyDescent="0.25">
      <c r="A906" t="s">
        <v>2812</v>
      </c>
      <c r="B906" t="s">
        <v>2813</v>
      </c>
      <c r="C906" t="s">
        <v>2814</v>
      </c>
      <c r="F906" t="s">
        <v>350</v>
      </c>
      <c r="G906" t="s">
        <v>50</v>
      </c>
      <c r="H906" t="s">
        <v>51</v>
      </c>
      <c r="I906" t="s">
        <v>2666</v>
      </c>
      <c r="J906" t="s">
        <v>2545</v>
      </c>
      <c r="L906" t="s">
        <v>1271</v>
      </c>
    </row>
    <row r="907" spans="1:12" x14ac:dyDescent="0.25">
      <c r="A907" t="s">
        <v>2815</v>
      </c>
      <c r="B907" t="s">
        <v>2816</v>
      </c>
      <c r="C907" t="s">
        <v>2817</v>
      </c>
      <c r="F907" t="s">
        <v>1189</v>
      </c>
      <c r="G907" t="s">
        <v>50</v>
      </c>
      <c r="H907" t="s">
        <v>51</v>
      </c>
      <c r="I907" t="s">
        <v>2666</v>
      </c>
      <c r="J907" t="s">
        <v>2545</v>
      </c>
      <c r="L907" t="s">
        <v>1271</v>
      </c>
    </row>
    <row r="908" spans="1:12" x14ac:dyDescent="0.25">
      <c r="A908" t="s">
        <v>2818</v>
      </c>
      <c r="B908" t="s">
        <v>2819</v>
      </c>
      <c r="C908" t="s">
        <v>2820</v>
      </c>
      <c r="F908" t="s">
        <v>115</v>
      </c>
      <c r="G908" t="s">
        <v>50</v>
      </c>
      <c r="H908" t="s">
        <v>51</v>
      </c>
      <c r="I908" t="s">
        <v>2666</v>
      </c>
      <c r="J908" t="s">
        <v>2545</v>
      </c>
      <c r="L908" t="s">
        <v>1271</v>
      </c>
    </row>
    <row r="909" spans="1:12" x14ac:dyDescent="0.25">
      <c r="A909" t="s">
        <v>2821</v>
      </c>
      <c r="B909" t="s">
        <v>2822</v>
      </c>
      <c r="C909" t="s">
        <v>2823</v>
      </c>
      <c r="F909" t="s">
        <v>314</v>
      </c>
      <c r="G909" t="s">
        <v>50</v>
      </c>
      <c r="H909" t="s">
        <v>51</v>
      </c>
      <c r="I909" t="s">
        <v>2666</v>
      </c>
      <c r="J909" t="s">
        <v>2545</v>
      </c>
      <c r="L909" t="s">
        <v>1271</v>
      </c>
    </row>
    <row r="910" spans="1:12" x14ac:dyDescent="0.25">
      <c r="A910" t="s">
        <v>2824</v>
      </c>
      <c r="B910" t="s">
        <v>2825</v>
      </c>
      <c r="C910" t="s">
        <v>2826</v>
      </c>
      <c r="F910" t="s">
        <v>1200</v>
      </c>
      <c r="G910" t="s">
        <v>50</v>
      </c>
      <c r="H910" t="s">
        <v>51</v>
      </c>
      <c r="I910" t="s">
        <v>2666</v>
      </c>
      <c r="J910" t="s">
        <v>2545</v>
      </c>
      <c r="L910" t="s">
        <v>1271</v>
      </c>
    </row>
    <row r="911" spans="1:12" x14ac:dyDescent="0.25">
      <c r="A911" t="s">
        <v>2827</v>
      </c>
      <c r="B911" t="s">
        <v>2828</v>
      </c>
      <c r="C911" t="s">
        <v>2829</v>
      </c>
      <c r="F911" t="s">
        <v>1127</v>
      </c>
      <c r="G911" t="s">
        <v>50</v>
      </c>
      <c r="H911" t="s">
        <v>51</v>
      </c>
      <c r="I911" t="s">
        <v>2666</v>
      </c>
      <c r="J911" t="s">
        <v>2545</v>
      </c>
      <c r="L911" t="s">
        <v>1271</v>
      </c>
    </row>
    <row r="912" spans="1:12" x14ac:dyDescent="0.25">
      <c r="A912" t="s">
        <v>2830</v>
      </c>
      <c r="B912" t="s">
        <v>2831</v>
      </c>
      <c r="C912" t="s">
        <v>2832</v>
      </c>
      <c r="F912" t="s">
        <v>1845</v>
      </c>
      <c r="G912" t="s">
        <v>50</v>
      </c>
      <c r="H912" t="s">
        <v>51</v>
      </c>
      <c r="I912" t="s">
        <v>2666</v>
      </c>
      <c r="J912" t="s">
        <v>2545</v>
      </c>
      <c r="L912" t="s">
        <v>1271</v>
      </c>
    </row>
    <row r="913" spans="1:12" x14ac:dyDescent="0.25">
      <c r="A913" t="s">
        <v>2833</v>
      </c>
      <c r="B913" t="s">
        <v>2834</v>
      </c>
      <c r="C913" t="s">
        <v>2835</v>
      </c>
      <c r="F913" t="s">
        <v>253</v>
      </c>
      <c r="G913" t="s">
        <v>50</v>
      </c>
      <c r="H913" t="s">
        <v>51</v>
      </c>
      <c r="I913" t="s">
        <v>2666</v>
      </c>
      <c r="J913" t="s">
        <v>2545</v>
      </c>
      <c r="L913" t="s">
        <v>1271</v>
      </c>
    </row>
    <row r="914" spans="1:12" x14ac:dyDescent="0.25">
      <c r="A914" t="s">
        <v>2836</v>
      </c>
      <c r="B914" t="s">
        <v>2837</v>
      </c>
      <c r="C914" t="s">
        <v>2838</v>
      </c>
      <c r="F914" t="s">
        <v>78</v>
      </c>
      <c r="G914" t="s">
        <v>50</v>
      </c>
      <c r="H914" t="s">
        <v>51</v>
      </c>
      <c r="I914" t="s">
        <v>2666</v>
      </c>
      <c r="J914" t="s">
        <v>2545</v>
      </c>
      <c r="L914" t="s">
        <v>1271</v>
      </c>
    </row>
    <row r="915" spans="1:12" x14ac:dyDescent="0.25">
      <c r="A915" t="s">
        <v>2839</v>
      </c>
      <c r="B915" t="s">
        <v>2840</v>
      </c>
      <c r="C915" t="s">
        <v>2841</v>
      </c>
      <c r="F915" t="s">
        <v>413</v>
      </c>
      <c r="G915" t="s">
        <v>50</v>
      </c>
      <c r="H915" t="s">
        <v>51</v>
      </c>
      <c r="I915" t="s">
        <v>2666</v>
      </c>
      <c r="J915" t="s">
        <v>2545</v>
      </c>
      <c r="L915" t="s">
        <v>1271</v>
      </c>
    </row>
    <row r="916" spans="1:12" x14ac:dyDescent="0.25">
      <c r="A916" t="s">
        <v>2842</v>
      </c>
      <c r="B916" t="s">
        <v>2843</v>
      </c>
      <c r="C916" t="s">
        <v>2844</v>
      </c>
      <c r="F916" t="s">
        <v>981</v>
      </c>
      <c r="G916" t="s">
        <v>50</v>
      </c>
      <c r="H916" t="s">
        <v>51</v>
      </c>
      <c r="I916" t="s">
        <v>2666</v>
      </c>
      <c r="J916" t="s">
        <v>2545</v>
      </c>
      <c r="L916" t="s">
        <v>1271</v>
      </c>
    </row>
    <row r="917" spans="1:12" x14ac:dyDescent="0.25">
      <c r="A917" t="s">
        <v>2845</v>
      </c>
      <c r="B917" t="s">
        <v>2846</v>
      </c>
      <c r="C917" t="s">
        <v>2847</v>
      </c>
      <c r="F917" t="s">
        <v>152</v>
      </c>
      <c r="G917" t="s">
        <v>50</v>
      </c>
      <c r="H917" t="s">
        <v>51</v>
      </c>
      <c r="I917" t="s">
        <v>2666</v>
      </c>
      <c r="J917" t="s">
        <v>2545</v>
      </c>
      <c r="L917" t="s">
        <v>1271</v>
      </c>
    </row>
    <row r="918" spans="1:12" x14ac:dyDescent="0.25">
      <c r="A918" t="s">
        <v>2848</v>
      </c>
      <c r="B918" t="s">
        <v>2849</v>
      </c>
      <c r="C918" t="s">
        <v>2850</v>
      </c>
      <c r="F918" t="s">
        <v>1074</v>
      </c>
      <c r="G918" t="s">
        <v>50</v>
      </c>
      <c r="H918" t="s">
        <v>51</v>
      </c>
      <c r="I918" t="s">
        <v>2666</v>
      </c>
      <c r="J918" t="s">
        <v>2545</v>
      </c>
      <c r="L918" t="s">
        <v>1271</v>
      </c>
    </row>
    <row r="919" spans="1:12" x14ac:dyDescent="0.25">
      <c r="A919" t="s">
        <v>2851</v>
      </c>
      <c r="B919" t="s">
        <v>2852</v>
      </c>
      <c r="C919" t="s">
        <v>2853</v>
      </c>
      <c r="F919" t="s">
        <v>314</v>
      </c>
      <c r="G919" t="s">
        <v>50</v>
      </c>
      <c r="H919" t="s">
        <v>51</v>
      </c>
      <c r="I919" t="s">
        <v>2666</v>
      </c>
      <c r="J919" t="s">
        <v>2545</v>
      </c>
      <c r="L919" t="s">
        <v>1271</v>
      </c>
    </row>
    <row r="920" spans="1:12" x14ac:dyDescent="0.25">
      <c r="A920" t="s">
        <v>2854</v>
      </c>
      <c r="B920" t="s">
        <v>2855</v>
      </c>
      <c r="C920" t="s">
        <v>2856</v>
      </c>
      <c r="F920" t="s">
        <v>603</v>
      </c>
      <c r="G920" t="s">
        <v>50</v>
      </c>
      <c r="H920" t="s">
        <v>51</v>
      </c>
      <c r="I920" t="s">
        <v>2666</v>
      </c>
      <c r="J920" t="s">
        <v>2545</v>
      </c>
      <c r="L920" t="s">
        <v>1271</v>
      </c>
    </row>
    <row r="921" spans="1:12" x14ac:dyDescent="0.25">
      <c r="A921" t="s">
        <v>2857</v>
      </c>
      <c r="B921" t="s">
        <v>2858</v>
      </c>
      <c r="C921" t="s">
        <v>2859</v>
      </c>
      <c r="F921" t="s">
        <v>1131</v>
      </c>
      <c r="G921" t="s">
        <v>50</v>
      </c>
      <c r="H921" t="s">
        <v>51</v>
      </c>
      <c r="I921" t="s">
        <v>2666</v>
      </c>
      <c r="J921" t="s">
        <v>2545</v>
      </c>
      <c r="L921" t="s">
        <v>1271</v>
      </c>
    </row>
    <row r="922" spans="1:12" x14ac:dyDescent="0.25">
      <c r="A922" t="s">
        <v>2860</v>
      </c>
      <c r="B922" t="s">
        <v>2861</v>
      </c>
      <c r="C922" t="s">
        <v>2862</v>
      </c>
      <c r="F922" t="s">
        <v>943</v>
      </c>
      <c r="G922" t="s">
        <v>50</v>
      </c>
      <c r="H922" t="s">
        <v>51</v>
      </c>
      <c r="I922" t="s">
        <v>2666</v>
      </c>
      <c r="J922" t="s">
        <v>2545</v>
      </c>
      <c r="L922" t="s">
        <v>1271</v>
      </c>
    </row>
    <row r="923" spans="1:12" x14ac:dyDescent="0.25">
      <c r="A923" t="s">
        <v>2863</v>
      </c>
      <c r="B923" t="s">
        <v>2864</v>
      </c>
      <c r="C923" t="s">
        <v>2865</v>
      </c>
      <c r="F923" t="s">
        <v>1889</v>
      </c>
      <c r="G923" t="s">
        <v>50</v>
      </c>
      <c r="H923" t="s">
        <v>51</v>
      </c>
      <c r="I923" t="s">
        <v>2666</v>
      </c>
      <c r="J923" t="s">
        <v>2545</v>
      </c>
      <c r="L923" t="s">
        <v>1271</v>
      </c>
    </row>
    <row r="924" spans="1:12" x14ac:dyDescent="0.25">
      <c r="A924" t="s">
        <v>2866</v>
      </c>
      <c r="B924" t="s">
        <v>2867</v>
      </c>
      <c r="C924" t="s">
        <v>2868</v>
      </c>
      <c r="F924" t="s">
        <v>2869</v>
      </c>
      <c r="G924" t="s">
        <v>50</v>
      </c>
      <c r="H924" t="s">
        <v>51</v>
      </c>
      <c r="I924" t="s">
        <v>2666</v>
      </c>
      <c r="J924" t="s">
        <v>2545</v>
      </c>
      <c r="L924" t="s">
        <v>1271</v>
      </c>
    </row>
    <row r="925" spans="1:12" x14ac:dyDescent="0.25">
      <c r="A925" t="s">
        <v>2870</v>
      </c>
      <c r="B925" t="s">
        <v>2871</v>
      </c>
      <c r="C925" t="s">
        <v>2872</v>
      </c>
      <c r="F925" t="s">
        <v>2873</v>
      </c>
      <c r="G925" t="s">
        <v>50</v>
      </c>
      <c r="H925" t="s">
        <v>51</v>
      </c>
      <c r="I925" t="s">
        <v>2666</v>
      </c>
      <c r="J925" t="s">
        <v>2545</v>
      </c>
      <c r="L925" t="s">
        <v>1271</v>
      </c>
    </row>
    <row r="926" spans="1:12" x14ac:dyDescent="0.25">
      <c r="A926" t="s">
        <v>2874</v>
      </c>
      <c r="B926" t="s">
        <v>2875</v>
      </c>
      <c r="C926" t="s">
        <v>2876</v>
      </c>
      <c r="F926" t="s">
        <v>2877</v>
      </c>
      <c r="G926" t="s">
        <v>50</v>
      </c>
      <c r="H926" t="s">
        <v>51</v>
      </c>
      <c r="I926" t="s">
        <v>2666</v>
      </c>
      <c r="J926" t="s">
        <v>2545</v>
      </c>
      <c r="L926" t="s">
        <v>1271</v>
      </c>
    </row>
    <row r="927" spans="1:12" x14ac:dyDescent="0.25">
      <c r="A927" t="s">
        <v>2878</v>
      </c>
      <c r="B927" t="s">
        <v>2879</v>
      </c>
      <c r="C927" t="s">
        <v>2880</v>
      </c>
      <c r="F927" t="s">
        <v>1294</v>
      </c>
      <c r="G927" t="s">
        <v>50</v>
      </c>
      <c r="H927" t="s">
        <v>51</v>
      </c>
      <c r="I927" t="s">
        <v>2666</v>
      </c>
      <c r="J927" t="s">
        <v>2545</v>
      </c>
      <c r="L927" t="s">
        <v>1271</v>
      </c>
    </row>
    <row r="928" spans="1:12" x14ac:dyDescent="0.25">
      <c r="A928" t="s">
        <v>2881</v>
      </c>
      <c r="B928" t="s">
        <v>2882</v>
      </c>
      <c r="C928" t="s">
        <v>2883</v>
      </c>
      <c r="F928" t="s">
        <v>100</v>
      </c>
      <c r="G928" t="s">
        <v>50</v>
      </c>
      <c r="H928" t="s">
        <v>51</v>
      </c>
      <c r="I928" t="s">
        <v>2666</v>
      </c>
      <c r="J928" t="s">
        <v>2545</v>
      </c>
      <c r="L928" t="s">
        <v>1271</v>
      </c>
    </row>
    <row r="929" spans="1:12" x14ac:dyDescent="0.25">
      <c r="A929" t="s">
        <v>2884</v>
      </c>
      <c r="B929" t="s">
        <v>2885</v>
      </c>
      <c r="C929" t="s">
        <v>2886</v>
      </c>
      <c r="F929" t="s">
        <v>667</v>
      </c>
      <c r="G929" t="s">
        <v>50</v>
      </c>
      <c r="H929" t="s">
        <v>51</v>
      </c>
      <c r="I929" t="s">
        <v>2666</v>
      </c>
      <c r="J929" t="s">
        <v>2545</v>
      </c>
      <c r="L929" t="s">
        <v>1271</v>
      </c>
    </row>
    <row r="930" spans="1:12" x14ac:dyDescent="0.25">
      <c r="A930" t="s">
        <v>2887</v>
      </c>
      <c r="B930" t="s">
        <v>2888</v>
      </c>
      <c r="C930" t="s">
        <v>2889</v>
      </c>
      <c r="F930" t="s">
        <v>1036</v>
      </c>
      <c r="G930" t="s">
        <v>50</v>
      </c>
      <c r="H930" t="s">
        <v>51</v>
      </c>
      <c r="I930" t="s">
        <v>2666</v>
      </c>
      <c r="J930" t="s">
        <v>2545</v>
      </c>
      <c r="L930" t="s">
        <v>1271</v>
      </c>
    </row>
    <row r="931" spans="1:12" x14ac:dyDescent="0.25">
      <c r="A931" t="s">
        <v>2890</v>
      </c>
      <c r="B931" t="s">
        <v>2891</v>
      </c>
      <c r="C931" t="s">
        <v>2892</v>
      </c>
      <c r="F931" t="s">
        <v>265</v>
      </c>
      <c r="G931" t="s">
        <v>50</v>
      </c>
      <c r="H931" t="s">
        <v>51</v>
      </c>
      <c r="I931" t="s">
        <v>2666</v>
      </c>
      <c r="J931" t="s">
        <v>2545</v>
      </c>
      <c r="L931" t="s">
        <v>1271</v>
      </c>
    </row>
    <row r="932" spans="1:12" x14ac:dyDescent="0.25">
      <c r="A932" t="s">
        <v>2893</v>
      </c>
      <c r="B932" t="s">
        <v>2894</v>
      </c>
      <c r="C932" t="s">
        <v>2895</v>
      </c>
      <c r="F932" t="s">
        <v>496</v>
      </c>
      <c r="G932" t="s">
        <v>50</v>
      </c>
      <c r="H932" t="s">
        <v>51</v>
      </c>
      <c r="I932" t="s">
        <v>2666</v>
      </c>
      <c r="J932" t="s">
        <v>2545</v>
      </c>
      <c r="L932" t="s">
        <v>1271</v>
      </c>
    </row>
    <row r="933" spans="1:12" x14ac:dyDescent="0.25">
      <c r="A933" t="s">
        <v>2896</v>
      </c>
      <c r="B933" t="s">
        <v>2897</v>
      </c>
      <c r="C933" t="s">
        <v>2898</v>
      </c>
      <c r="F933" t="s">
        <v>1131</v>
      </c>
      <c r="G933" t="s">
        <v>50</v>
      </c>
      <c r="H933" t="s">
        <v>51</v>
      </c>
      <c r="I933" t="s">
        <v>2666</v>
      </c>
      <c r="J933" t="s">
        <v>2545</v>
      </c>
      <c r="L933" t="s">
        <v>1271</v>
      </c>
    </row>
    <row r="934" spans="1:12" x14ac:dyDescent="0.25">
      <c r="A934" t="s">
        <v>2899</v>
      </c>
      <c r="B934" t="s">
        <v>2900</v>
      </c>
      <c r="C934" t="s">
        <v>2901</v>
      </c>
      <c r="F934" t="s">
        <v>1189</v>
      </c>
      <c r="G934" t="s">
        <v>50</v>
      </c>
      <c r="H934" t="s">
        <v>51</v>
      </c>
      <c r="I934" t="s">
        <v>2666</v>
      </c>
      <c r="J934" t="s">
        <v>2545</v>
      </c>
      <c r="L934" t="s">
        <v>1271</v>
      </c>
    </row>
    <row r="935" spans="1:12" x14ac:dyDescent="0.25">
      <c r="A935" t="s">
        <v>2902</v>
      </c>
      <c r="B935" t="s">
        <v>2903</v>
      </c>
      <c r="C935" t="s">
        <v>2904</v>
      </c>
      <c r="F935" t="s">
        <v>671</v>
      </c>
      <c r="G935" t="s">
        <v>50</v>
      </c>
      <c r="H935" t="s">
        <v>51</v>
      </c>
      <c r="I935" t="s">
        <v>2666</v>
      </c>
      <c r="J935" t="s">
        <v>2545</v>
      </c>
      <c r="L935" t="s">
        <v>1271</v>
      </c>
    </row>
    <row r="936" spans="1:12" x14ac:dyDescent="0.25">
      <c r="A936" t="s">
        <v>2905</v>
      </c>
      <c r="B936" t="s">
        <v>2906</v>
      </c>
      <c r="C936" t="s">
        <v>2907</v>
      </c>
      <c r="F936" t="s">
        <v>1066</v>
      </c>
      <c r="G936" t="s">
        <v>50</v>
      </c>
      <c r="H936" t="s">
        <v>51</v>
      </c>
      <c r="I936" t="s">
        <v>2666</v>
      </c>
      <c r="J936" t="s">
        <v>2545</v>
      </c>
      <c r="L936" t="s">
        <v>1271</v>
      </c>
    </row>
    <row r="937" spans="1:12" x14ac:dyDescent="0.25">
      <c r="A937" t="s">
        <v>2908</v>
      </c>
      <c r="B937" t="s">
        <v>2909</v>
      </c>
      <c r="C937" t="s">
        <v>2910</v>
      </c>
      <c r="F937" t="s">
        <v>413</v>
      </c>
      <c r="G937" t="s">
        <v>50</v>
      </c>
      <c r="H937" t="s">
        <v>51</v>
      </c>
      <c r="I937" t="s">
        <v>2666</v>
      </c>
      <c r="J937" t="s">
        <v>2545</v>
      </c>
      <c r="L937" t="s">
        <v>1271</v>
      </c>
    </row>
    <row r="938" spans="1:12" x14ac:dyDescent="0.25">
      <c r="A938" t="s">
        <v>2911</v>
      </c>
      <c r="B938" t="s">
        <v>2912</v>
      </c>
      <c r="C938" t="s">
        <v>2913</v>
      </c>
      <c r="F938" t="s">
        <v>74</v>
      </c>
      <c r="G938" t="s">
        <v>50</v>
      </c>
      <c r="H938" t="s">
        <v>51</v>
      </c>
      <c r="I938" t="s">
        <v>2666</v>
      </c>
      <c r="J938" t="s">
        <v>2545</v>
      </c>
      <c r="L938" t="s">
        <v>1271</v>
      </c>
    </row>
    <row r="939" spans="1:12" x14ac:dyDescent="0.25">
      <c r="A939" t="s">
        <v>2914</v>
      </c>
      <c r="B939" t="s">
        <v>2915</v>
      </c>
      <c r="C939" t="s">
        <v>2916</v>
      </c>
      <c r="F939" t="s">
        <v>160</v>
      </c>
      <c r="G939" t="s">
        <v>50</v>
      </c>
      <c r="H939" t="s">
        <v>51</v>
      </c>
      <c r="I939" t="s">
        <v>2666</v>
      </c>
      <c r="J939" t="s">
        <v>2545</v>
      </c>
      <c r="L939" t="s">
        <v>1271</v>
      </c>
    </row>
    <row r="940" spans="1:12" x14ac:dyDescent="0.25">
      <c r="A940" t="s">
        <v>2917</v>
      </c>
      <c r="B940" t="s">
        <v>2918</v>
      </c>
      <c r="C940" t="s">
        <v>2919</v>
      </c>
      <c r="F940" t="s">
        <v>1036</v>
      </c>
      <c r="G940" t="s">
        <v>50</v>
      </c>
      <c r="H940" t="s">
        <v>51</v>
      </c>
      <c r="I940" t="s">
        <v>2666</v>
      </c>
      <c r="J940" t="s">
        <v>2545</v>
      </c>
      <c r="L940" t="s">
        <v>1271</v>
      </c>
    </row>
    <row r="941" spans="1:12" x14ac:dyDescent="0.25">
      <c r="A941" t="s">
        <v>2920</v>
      </c>
      <c r="B941" t="s">
        <v>2921</v>
      </c>
      <c r="C941" t="s">
        <v>2922</v>
      </c>
      <c r="F941" t="s">
        <v>2923</v>
      </c>
      <c r="G941" t="s">
        <v>50</v>
      </c>
      <c r="H941" t="s">
        <v>51</v>
      </c>
      <c r="I941" t="s">
        <v>2666</v>
      </c>
      <c r="J941" t="s">
        <v>2545</v>
      </c>
      <c r="L941" t="s">
        <v>1271</v>
      </c>
    </row>
    <row r="942" spans="1:12" x14ac:dyDescent="0.25">
      <c r="A942" t="s">
        <v>2924</v>
      </c>
      <c r="B942" t="s">
        <v>2925</v>
      </c>
      <c r="C942" t="s">
        <v>2926</v>
      </c>
      <c r="F942" t="s">
        <v>1127</v>
      </c>
      <c r="G942" t="s">
        <v>50</v>
      </c>
      <c r="H942" t="s">
        <v>51</v>
      </c>
      <c r="I942" t="s">
        <v>2666</v>
      </c>
      <c r="J942" t="s">
        <v>2545</v>
      </c>
      <c r="L942" t="s">
        <v>1271</v>
      </c>
    </row>
    <row r="943" spans="1:12" x14ac:dyDescent="0.25">
      <c r="A943" t="s">
        <v>2927</v>
      </c>
      <c r="B943" t="s">
        <v>2928</v>
      </c>
      <c r="C943" t="s">
        <v>2929</v>
      </c>
      <c r="F943" t="s">
        <v>2930</v>
      </c>
      <c r="G943" t="s">
        <v>50</v>
      </c>
      <c r="H943" t="s">
        <v>51</v>
      </c>
      <c r="I943" t="s">
        <v>2666</v>
      </c>
      <c r="J943" t="s">
        <v>2545</v>
      </c>
      <c r="L943" t="s">
        <v>1271</v>
      </c>
    </row>
    <row r="944" spans="1:12" x14ac:dyDescent="0.25">
      <c r="A944" t="s">
        <v>2931</v>
      </c>
      <c r="B944" t="s">
        <v>2932</v>
      </c>
      <c r="C944" t="s">
        <v>2933</v>
      </c>
      <c r="F944" t="s">
        <v>2934</v>
      </c>
      <c r="G944" t="s">
        <v>50</v>
      </c>
      <c r="H944" t="s">
        <v>51</v>
      </c>
      <c r="I944" t="s">
        <v>2666</v>
      </c>
      <c r="J944" t="s">
        <v>2545</v>
      </c>
      <c r="L944" t="s">
        <v>1271</v>
      </c>
    </row>
    <row r="945" spans="1:12" x14ac:dyDescent="0.25">
      <c r="A945" t="s">
        <v>2935</v>
      </c>
      <c r="B945" t="s">
        <v>2936</v>
      </c>
      <c r="C945" t="s">
        <v>2937</v>
      </c>
      <c r="F945" t="s">
        <v>78</v>
      </c>
      <c r="G945" t="s">
        <v>50</v>
      </c>
      <c r="H945" t="s">
        <v>51</v>
      </c>
      <c r="I945" t="s">
        <v>2666</v>
      </c>
      <c r="J945" t="s">
        <v>2545</v>
      </c>
      <c r="L945" t="s">
        <v>1271</v>
      </c>
    </row>
    <row r="946" spans="1:12" x14ac:dyDescent="0.25">
      <c r="A946" t="s">
        <v>2938</v>
      </c>
      <c r="B946" t="s">
        <v>2939</v>
      </c>
      <c r="C946" t="s">
        <v>2940</v>
      </c>
      <c r="F946" t="s">
        <v>1956</v>
      </c>
      <c r="G946" t="s">
        <v>50</v>
      </c>
      <c r="H946" t="s">
        <v>51</v>
      </c>
      <c r="I946" t="s">
        <v>2666</v>
      </c>
      <c r="J946" t="s">
        <v>2545</v>
      </c>
      <c r="L946" t="s">
        <v>1271</v>
      </c>
    </row>
    <row r="947" spans="1:12" x14ac:dyDescent="0.25">
      <c r="A947" t="s">
        <v>2941</v>
      </c>
      <c r="B947" t="s">
        <v>2942</v>
      </c>
      <c r="C947" t="s">
        <v>2943</v>
      </c>
      <c r="F947" t="s">
        <v>394</v>
      </c>
      <c r="G947" t="s">
        <v>50</v>
      </c>
      <c r="H947" t="s">
        <v>51</v>
      </c>
      <c r="I947" t="s">
        <v>2666</v>
      </c>
      <c r="J947" t="s">
        <v>2545</v>
      </c>
      <c r="L947" t="s">
        <v>1271</v>
      </c>
    </row>
    <row r="948" spans="1:12" x14ac:dyDescent="0.25">
      <c r="A948" t="s">
        <v>2944</v>
      </c>
      <c r="B948" t="s">
        <v>2945</v>
      </c>
      <c r="C948" t="s">
        <v>2946</v>
      </c>
      <c r="F948" t="s">
        <v>160</v>
      </c>
      <c r="G948" t="s">
        <v>50</v>
      </c>
      <c r="H948" t="s">
        <v>51</v>
      </c>
      <c r="I948" t="s">
        <v>2666</v>
      </c>
      <c r="J948" t="s">
        <v>2545</v>
      </c>
      <c r="L948" t="s">
        <v>1271</v>
      </c>
    </row>
    <row r="949" spans="1:12" x14ac:dyDescent="0.25">
      <c r="A949" t="s">
        <v>2947</v>
      </c>
      <c r="B949" t="s">
        <v>2948</v>
      </c>
      <c r="C949" t="s">
        <v>2949</v>
      </c>
      <c r="F949" t="s">
        <v>2950</v>
      </c>
      <c r="G949" t="s">
        <v>50</v>
      </c>
      <c r="H949" t="s">
        <v>51</v>
      </c>
      <c r="I949" t="s">
        <v>2666</v>
      </c>
      <c r="J949" t="s">
        <v>2545</v>
      </c>
      <c r="L949" t="s">
        <v>1271</v>
      </c>
    </row>
    <row r="950" spans="1:12" x14ac:dyDescent="0.25">
      <c r="A950" t="s">
        <v>2951</v>
      </c>
      <c r="B950" t="s">
        <v>2952</v>
      </c>
      <c r="C950" t="s">
        <v>2953</v>
      </c>
      <c r="F950" t="s">
        <v>2954</v>
      </c>
      <c r="G950" t="s">
        <v>50</v>
      </c>
      <c r="H950" t="s">
        <v>51</v>
      </c>
      <c r="I950" t="s">
        <v>2666</v>
      </c>
      <c r="J950" t="s">
        <v>2545</v>
      </c>
      <c r="L950" t="s">
        <v>1271</v>
      </c>
    </row>
    <row r="951" spans="1:12" x14ac:dyDescent="0.25">
      <c r="A951" t="s">
        <v>2955</v>
      </c>
      <c r="B951" t="s">
        <v>2956</v>
      </c>
      <c r="C951" t="s">
        <v>2957</v>
      </c>
      <c r="F951" t="s">
        <v>1127</v>
      </c>
      <c r="G951" t="s">
        <v>50</v>
      </c>
      <c r="H951" t="s">
        <v>51</v>
      </c>
      <c r="I951" t="s">
        <v>2666</v>
      </c>
      <c r="J951" t="s">
        <v>2545</v>
      </c>
      <c r="L951" t="s">
        <v>1271</v>
      </c>
    </row>
    <row r="952" spans="1:12" x14ac:dyDescent="0.25">
      <c r="A952" t="s">
        <v>2958</v>
      </c>
      <c r="B952" t="s">
        <v>2959</v>
      </c>
      <c r="C952" t="s">
        <v>2960</v>
      </c>
      <c r="F952" t="s">
        <v>2961</v>
      </c>
      <c r="G952" t="s">
        <v>50</v>
      </c>
      <c r="H952" t="s">
        <v>51</v>
      </c>
      <c r="I952" t="s">
        <v>2666</v>
      </c>
      <c r="J952" t="s">
        <v>2545</v>
      </c>
      <c r="L952" t="s">
        <v>1271</v>
      </c>
    </row>
    <row r="953" spans="1:12" x14ac:dyDescent="0.25">
      <c r="A953" t="s">
        <v>2962</v>
      </c>
      <c r="B953" t="s">
        <v>2963</v>
      </c>
      <c r="C953" t="s">
        <v>2964</v>
      </c>
      <c r="F953" t="s">
        <v>2965</v>
      </c>
      <c r="G953" t="s">
        <v>50</v>
      </c>
      <c r="H953" t="s">
        <v>51</v>
      </c>
      <c r="I953" t="s">
        <v>2666</v>
      </c>
      <c r="J953" t="s">
        <v>2545</v>
      </c>
      <c r="L953" t="s">
        <v>1271</v>
      </c>
    </row>
    <row r="954" spans="1:12" x14ac:dyDescent="0.25">
      <c r="A954" t="s">
        <v>2966</v>
      </c>
      <c r="B954" t="s">
        <v>2967</v>
      </c>
      <c r="C954" t="s">
        <v>2968</v>
      </c>
      <c r="F954" t="s">
        <v>2969</v>
      </c>
      <c r="G954" t="s">
        <v>50</v>
      </c>
      <c r="H954" t="s">
        <v>51</v>
      </c>
      <c r="I954" t="s">
        <v>2666</v>
      </c>
      <c r="J954" t="s">
        <v>2545</v>
      </c>
      <c r="L954" t="s">
        <v>1271</v>
      </c>
    </row>
    <row r="955" spans="1:12" x14ac:dyDescent="0.25">
      <c r="A955" t="s">
        <v>2970</v>
      </c>
      <c r="B955" t="s">
        <v>2971</v>
      </c>
      <c r="C955" t="s">
        <v>2972</v>
      </c>
      <c r="F955" t="s">
        <v>2973</v>
      </c>
      <c r="G955" t="s">
        <v>50</v>
      </c>
      <c r="H955" t="s">
        <v>51</v>
      </c>
      <c r="I955" t="s">
        <v>2666</v>
      </c>
      <c r="J955" t="s">
        <v>2545</v>
      </c>
      <c r="L955" t="s">
        <v>1271</v>
      </c>
    </row>
    <row r="956" spans="1:12" x14ac:dyDescent="0.25">
      <c r="A956" t="s">
        <v>2974</v>
      </c>
      <c r="B956" t="s">
        <v>2975</v>
      </c>
      <c r="C956" t="s">
        <v>2976</v>
      </c>
      <c r="F956" t="s">
        <v>485</v>
      </c>
      <c r="G956" t="s">
        <v>50</v>
      </c>
      <c r="H956" t="s">
        <v>51</v>
      </c>
      <c r="I956" t="s">
        <v>2666</v>
      </c>
      <c r="J956" t="s">
        <v>2545</v>
      </c>
      <c r="L956" t="s">
        <v>1271</v>
      </c>
    </row>
    <row r="957" spans="1:12" x14ac:dyDescent="0.25">
      <c r="A957" t="s">
        <v>2977</v>
      </c>
      <c r="B957" t="s">
        <v>2978</v>
      </c>
      <c r="C957" t="s">
        <v>2979</v>
      </c>
      <c r="F957" t="s">
        <v>2980</v>
      </c>
      <c r="G957" t="s">
        <v>50</v>
      </c>
      <c r="H957" t="s">
        <v>51</v>
      </c>
      <c r="I957" t="s">
        <v>2666</v>
      </c>
      <c r="J957" t="s">
        <v>2545</v>
      </c>
      <c r="L957" t="s">
        <v>1271</v>
      </c>
    </row>
    <row r="958" spans="1:12" x14ac:dyDescent="0.25">
      <c r="A958" t="s">
        <v>2981</v>
      </c>
      <c r="B958" t="s">
        <v>2982</v>
      </c>
      <c r="C958" t="s">
        <v>2983</v>
      </c>
      <c r="F958" t="s">
        <v>1066</v>
      </c>
      <c r="G958" t="s">
        <v>50</v>
      </c>
      <c r="H958" t="s">
        <v>51</v>
      </c>
      <c r="I958" t="s">
        <v>2666</v>
      </c>
      <c r="J958" t="s">
        <v>2545</v>
      </c>
      <c r="L958" t="s">
        <v>1271</v>
      </c>
    </row>
    <row r="959" spans="1:12" x14ac:dyDescent="0.25">
      <c r="A959" t="s">
        <v>2984</v>
      </c>
      <c r="B959" t="s">
        <v>2985</v>
      </c>
      <c r="C959" t="s">
        <v>2986</v>
      </c>
      <c r="F959" t="s">
        <v>1081</v>
      </c>
      <c r="G959" t="s">
        <v>50</v>
      </c>
      <c r="H959" t="s">
        <v>51</v>
      </c>
      <c r="I959" t="s">
        <v>2666</v>
      </c>
      <c r="J959" t="s">
        <v>2545</v>
      </c>
      <c r="L959" t="s">
        <v>1271</v>
      </c>
    </row>
    <row r="960" spans="1:12" x14ac:dyDescent="0.25">
      <c r="A960" t="s">
        <v>2987</v>
      </c>
      <c r="B960" t="s">
        <v>2988</v>
      </c>
      <c r="C960" t="s">
        <v>2989</v>
      </c>
      <c r="F960" t="s">
        <v>2950</v>
      </c>
      <c r="G960" t="s">
        <v>50</v>
      </c>
      <c r="H960" t="s">
        <v>51</v>
      </c>
      <c r="I960" t="s">
        <v>2666</v>
      </c>
      <c r="J960" t="s">
        <v>2545</v>
      </c>
      <c r="L960" t="s">
        <v>1271</v>
      </c>
    </row>
    <row r="961" spans="1:12" x14ac:dyDescent="0.25">
      <c r="A961" t="s">
        <v>2990</v>
      </c>
      <c r="B961" t="s">
        <v>2991</v>
      </c>
      <c r="C961" t="s">
        <v>2992</v>
      </c>
      <c r="F961" t="s">
        <v>1014</v>
      </c>
      <c r="G961" t="s">
        <v>50</v>
      </c>
      <c r="H961" t="s">
        <v>51</v>
      </c>
      <c r="I961" t="s">
        <v>2666</v>
      </c>
      <c r="J961" t="s">
        <v>2545</v>
      </c>
      <c r="L961" t="s">
        <v>1271</v>
      </c>
    </row>
    <row r="962" spans="1:12" x14ac:dyDescent="0.25">
      <c r="A962" t="s">
        <v>2993</v>
      </c>
      <c r="B962" t="s">
        <v>2994</v>
      </c>
      <c r="C962" t="s">
        <v>2995</v>
      </c>
      <c r="F962" t="s">
        <v>318</v>
      </c>
      <c r="G962" t="s">
        <v>50</v>
      </c>
      <c r="H962" t="s">
        <v>51</v>
      </c>
      <c r="I962" t="s">
        <v>2666</v>
      </c>
      <c r="J962" t="s">
        <v>2545</v>
      </c>
      <c r="L962" t="s">
        <v>1271</v>
      </c>
    </row>
    <row r="963" spans="1:12" x14ac:dyDescent="0.25">
      <c r="A963" t="s">
        <v>2996</v>
      </c>
      <c r="B963" t="s">
        <v>2997</v>
      </c>
      <c r="C963" t="s">
        <v>2998</v>
      </c>
      <c r="F963" t="s">
        <v>2282</v>
      </c>
      <c r="G963" t="s">
        <v>50</v>
      </c>
      <c r="H963" t="s">
        <v>51</v>
      </c>
      <c r="I963" t="s">
        <v>2666</v>
      </c>
      <c r="J963" t="s">
        <v>2545</v>
      </c>
      <c r="L963" t="s">
        <v>1271</v>
      </c>
    </row>
    <row r="964" spans="1:12" x14ac:dyDescent="0.25">
      <c r="A964" t="s">
        <v>2999</v>
      </c>
      <c r="B964" t="s">
        <v>3000</v>
      </c>
      <c r="C964" t="s">
        <v>3001</v>
      </c>
      <c r="F964" t="s">
        <v>896</v>
      </c>
      <c r="G964" t="s">
        <v>50</v>
      </c>
      <c r="H964" t="s">
        <v>51</v>
      </c>
      <c r="I964" t="s">
        <v>2666</v>
      </c>
      <c r="J964" t="s">
        <v>2545</v>
      </c>
      <c r="L964" t="s">
        <v>1271</v>
      </c>
    </row>
    <row r="965" spans="1:12" x14ac:dyDescent="0.25">
      <c r="A965" t="s">
        <v>3002</v>
      </c>
      <c r="B965" t="s">
        <v>320</v>
      </c>
      <c r="C965" t="s">
        <v>3003</v>
      </c>
      <c r="F965" t="s">
        <v>1113</v>
      </c>
      <c r="G965" t="s">
        <v>50</v>
      </c>
      <c r="H965" t="s">
        <v>51</v>
      </c>
      <c r="I965" t="s">
        <v>2666</v>
      </c>
      <c r="J965" t="s">
        <v>2545</v>
      </c>
      <c r="L965" t="s">
        <v>1271</v>
      </c>
    </row>
    <row r="966" spans="1:12" x14ac:dyDescent="0.25">
      <c r="A966" t="s">
        <v>3004</v>
      </c>
      <c r="B966" t="s">
        <v>3005</v>
      </c>
      <c r="C966" t="s">
        <v>3006</v>
      </c>
      <c r="F966" t="s">
        <v>74</v>
      </c>
      <c r="G966" t="s">
        <v>50</v>
      </c>
      <c r="H966" t="s">
        <v>51</v>
      </c>
      <c r="I966" t="s">
        <v>2666</v>
      </c>
      <c r="J966" t="s">
        <v>2545</v>
      </c>
      <c r="L966" t="s">
        <v>1271</v>
      </c>
    </row>
    <row r="967" spans="1:12" x14ac:dyDescent="0.25">
      <c r="A967" t="s">
        <v>3007</v>
      </c>
      <c r="B967" t="s">
        <v>3008</v>
      </c>
      <c r="C967" t="s">
        <v>3009</v>
      </c>
      <c r="F967" t="s">
        <v>115</v>
      </c>
      <c r="G967" t="s">
        <v>50</v>
      </c>
      <c r="H967" t="s">
        <v>51</v>
      </c>
      <c r="I967" t="s">
        <v>2666</v>
      </c>
      <c r="J967" t="s">
        <v>2545</v>
      </c>
      <c r="L967" t="s">
        <v>1271</v>
      </c>
    </row>
    <row r="968" spans="1:12" x14ac:dyDescent="0.25">
      <c r="A968" t="s">
        <v>3010</v>
      </c>
      <c r="B968" t="s">
        <v>3011</v>
      </c>
      <c r="C968" t="s">
        <v>3012</v>
      </c>
      <c r="F968" t="s">
        <v>2549</v>
      </c>
      <c r="G968" t="s">
        <v>50</v>
      </c>
      <c r="H968" t="s">
        <v>51</v>
      </c>
      <c r="I968" t="s">
        <v>2666</v>
      </c>
      <c r="J968" t="s">
        <v>2545</v>
      </c>
      <c r="L968" t="s">
        <v>1271</v>
      </c>
    </row>
    <row r="969" spans="1:12" x14ac:dyDescent="0.25">
      <c r="A969" t="s">
        <v>3013</v>
      </c>
      <c r="B969" t="s">
        <v>3014</v>
      </c>
      <c r="C969" t="s">
        <v>3015</v>
      </c>
      <c r="F969" t="s">
        <v>1066</v>
      </c>
      <c r="G969" t="s">
        <v>50</v>
      </c>
      <c r="H969" t="s">
        <v>51</v>
      </c>
      <c r="I969" t="s">
        <v>2666</v>
      </c>
      <c r="J969" t="s">
        <v>2545</v>
      </c>
      <c r="L969" t="s">
        <v>1271</v>
      </c>
    </row>
    <row r="970" spans="1:12" x14ac:dyDescent="0.25">
      <c r="A970" t="s">
        <v>3016</v>
      </c>
      <c r="B970" t="s">
        <v>3017</v>
      </c>
      <c r="C970" t="s">
        <v>3018</v>
      </c>
      <c r="F970" t="s">
        <v>1066</v>
      </c>
      <c r="G970" t="s">
        <v>50</v>
      </c>
      <c r="H970" t="s">
        <v>51</v>
      </c>
      <c r="I970" t="s">
        <v>2666</v>
      </c>
      <c r="J970" t="s">
        <v>2545</v>
      </c>
      <c r="L970" t="s">
        <v>1271</v>
      </c>
    </row>
    <row r="971" spans="1:12" x14ac:dyDescent="0.25">
      <c r="A971" t="s">
        <v>3019</v>
      </c>
      <c r="B971" t="s">
        <v>3020</v>
      </c>
      <c r="C971" t="s">
        <v>3021</v>
      </c>
      <c r="F971" t="s">
        <v>667</v>
      </c>
      <c r="G971" t="s">
        <v>50</v>
      </c>
      <c r="H971" t="s">
        <v>51</v>
      </c>
      <c r="I971" t="s">
        <v>2666</v>
      </c>
      <c r="J971" t="s">
        <v>2545</v>
      </c>
      <c r="L971" t="s">
        <v>1271</v>
      </c>
    </row>
    <row r="972" spans="1:12" x14ac:dyDescent="0.25">
      <c r="A972" t="s">
        <v>3022</v>
      </c>
      <c r="B972" t="s">
        <v>3023</v>
      </c>
      <c r="C972" t="s">
        <v>3024</v>
      </c>
      <c r="F972" t="s">
        <v>398</v>
      </c>
      <c r="G972" t="s">
        <v>50</v>
      </c>
      <c r="H972" t="s">
        <v>51</v>
      </c>
      <c r="I972" t="s">
        <v>2666</v>
      </c>
      <c r="J972" t="s">
        <v>2545</v>
      </c>
      <c r="L972" t="s">
        <v>1271</v>
      </c>
    </row>
    <row r="973" spans="1:12" x14ac:dyDescent="0.25">
      <c r="A973" t="s">
        <v>3025</v>
      </c>
      <c r="B973" t="s">
        <v>3026</v>
      </c>
      <c r="C973" t="s">
        <v>3027</v>
      </c>
      <c r="F973" t="s">
        <v>3028</v>
      </c>
      <c r="G973" t="s">
        <v>50</v>
      </c>
      <c r="H973" t="s">
        <v>51</v>
      </c>
      <c r="I973" t="s">
        <v>2666</v>
      </c>
      <c r="J973" t="s">
        <v>2545</v>
      </c>
      <c r="L973" t="s">
        <v>1271</v>
      </c>
    </row>
    <row r="974" spans="1:12" x14ac:dyDescent="0.25">
      <c r="A974" t="s">
        <v>3029</v>
      </c>
      <c r="B974" t="s">
        <v>3030</v>
      </c>
      <c r="C974" t="s">
        <v>3031</v>
      </c>
      <c r="F974" t="s">
        <v>58</v>
      </c>
      <c r="G974" t="s">
        <v>50</v>
      </c>
      <c r="H974" t="s">
        <v>51</v>
      </c>
      <c r="I974" t="s">
        <v>2666</v>
      </c>
      <c r="J974" t="s">
        <v>2545</v>
      </c>
      <c r="L974" t="s">
        <v>1271</v>
      </c>
    </row>
    <row r="975" spans="1:12" x14ac:dyDescent="0.25">
      <c r="A975" t="s">
        <v>3032</v>
      </c>
      <c r="B975" t="s">
        <v>3033</v>
      </c>
      <c r="C975" t="s">
        <v>3034</v>
      </c>
      <c r="F975" t="s">
        <v>74</v>
      </c>
      <c r="G975" t="s">
        <v>50</v>
      </c>
      <c r="H975" t="s">
        <v>51</v>
      </c>
      <c r="I975" t="s">
        <v>2666</v>
      </c>
      <c r="J975" t="s">
        <v>2545</v>
      </c>
      <c r="L975" t="s">
        <v>1271</v>
      </c>
    </row>
    <row r="976" spans="1:12" x14ac:dyDescent="0.25">
      <c r="A976" t="s">
        <v>3035</v>
      </c>
      <c r="B976" t="s">
        <v>3036</v>
      </c>
      <c r="C976" t="s">
        <v>3037</v>
      </c>
      <c r="F976" t="s">
        <v>1140</v>
      </c>
      <c r="G976" t="s">
        <v>50</v>
      </c>
      <c r="H976" t="s">
        <v>51</v>
      </c>
      <c r="I976" t="s">
        <v>2666</v>
      </c>
      <c r="J976" t="s">
        <v>2545</v>
      </c>
      <c r="L976" t="s">
        <v>1271</v>
      </c>
    </row>
    <row r="977" spans="1:12" x14ac:dyDescent="0.25">
      <c r="A977" t="s">
        <v>3038</v>
      </c>
      <c r="B977" t="s">
        <v>3039</v>
      </c>
      <c r="C977" t="s">
        <v>3040</v>
      </c>
      <c r="F977" t="s">
        <v>2934</v>
      </c>
      <c r="G977" t="s">
        <v>50</v>
      </c>
      <c r="H977" t="s">
        <v>51</v>
      </c>
      <c r="I977" t="s">
        <v>2666</v>
      </c>
      <c r="J977" t="s">
        <v>2545</v>
      </c>
      <c r="L977" t="s">
        <v>1271</v>
      </c>
    </row>
    <row r="978" spans="1:12" x14ac:dyDescent="0.25">
      <c r="A978" t="s">
        <v>3041</v>
      </c>
      <c r="B978" t="s">
        <v>3042</v>
      </c>
      <c r="C978" t="s">
        <v>3043</v>
      </c>
      <c r="F978" t="s">
        <v>1256</v>
      </c>
      <c r="G978" t="s">
        <v>50</v>
      </c>
      <c r="H978" t="s">
        <v>51</v>
      </c>
      <c r="I978" t="s">
        <v>2666</v>
      </c>
      <c r="J978" t="s">
        <v>2545</v>
      </c>
      <c r="L978" t="s">
        <v>1271</v>
      </c>
    </row>
    <row r="979" spans="1:12" x14ac:dyDescent="0.25">
      <c r="A979" t="s">
        <v>3044</v>
      </c>
      <c r="B979" t="s">
        <v>3045</v>
      </c>
      <c r="C979" t="s">
        <v>3046</v>
      </c>
      <c r="F979" t="s">
        <v>1024</v>
      </c>
      <c r="G979" t="s">
        <v>50</v>
      </c>
      <c r="H979" t="s">
        <v>51</v>
      </c>
      <c r="I979" t="s">
        <v>2666</v>
      </c>
      <c r="J979" t="s">
        <v>2545</v>
      </c>
      <c r="L979" t="s">
        <v>1271</v>
      </c>
    </row>
    <row r="980" spans="1:12" x14ac:dyDescent="0.25">
      <c r="A980" t="s">
        <v>3047</v>
      </c>
      <c r="B980" t="s">
        <v>3048</v>
      </c>
      <c r="C980" t="s">
        <v>3049</v>
      </c>
      <c r="F980" t="s">
        <v>1066</v>
      </c>
      <c r="G980" t="s">
        <v>50</v>
      </c>
      <c r="H980" t="s">
        <v>51</v>
      </c>
      <c r="I980" t="s">
        <v>2666</v>
      </c>
      <c r="J980" t="s">
        <v>2545</v>
      </c>
      <c r="L980" t="s">
        <v>1271</v>
      </c>
    </row>
    <row r="981" spans="1:12" x14ac:dyDescent="0.25">
      <c r="A981" t="s">
        <v>3050</v>
      </c>
      <c r="B981" t="s">
        <v>3051</v>
      </c>
      <c r="C981" t="s">
        <v>3052</v>
      </c>
      <c r="F981" t="s">
        <v>1014</v>
      </c>
      <c r="G981" t="s">
        <v>50</v>
      </c>
      <c r="H981" t="s">
        <v>51</v>
      </c>
      <c r="I981" t="s">
        <v>2666</v>
      </c>
      <c r="J981" t="s">
        <v>2545</v>
      </c>
      <c r="L981" t="s">
        <v>1271</v>
      </c>
    </row>
    <row r="982" spans="1:12" x14ac:dyDescent="0.25">
      <c r="A982" t="s">
        <v>3053</v>
      </c>
      <c r="B982" t="s">
        <v>3054</v>
      </c>
      <c r="C982" t="s">
        <v>3055</v>
      </c>
      <c r="F982" t="s">
        <v>603</v>
      </c>
      <c r="G982" t="s">
        <v>50</v>
      </c>
      <c r="H982" t="s">
        <v>51</v>
      </c>
      <c r="I982" t="s">
        <v>2666</v>
      </c>
      <c r="J982" t="s">
        <v>2545</v>
      </c>
      <c r="L982" t="s">
        <v>1271</v>
      </c>
    </row>
    <row r="983" spans="1:12" x14ac:dyDescent="0.25">
      <c r="A983" t="s">
        <v>3056</v>
      </c>
      <c r="B983" t="s">
        <v>3057</v>
      </c>
      <c r="C983" t="s">
        <v>3058</v>
      </c>
      <c r="F983" t="s">
        <v>1947</v>
      </c>
      <c r="G983" t="s">
        <v>50</v>
      </c>
      <c r="H983" t="s">
        <v>51</v>
      </c>
      <c r="I983" t="s">
        <v>2666</v>
      </c>
      <c r="J983" t="s">
        <v>2545</v>
      </c>
      <c r="L983" t="s">
        <v>1271</v>
      </c>
    </row>
    <row r="984" spans="1:12" x14ac:dyDescent="0.25">
      <c r="A984" t="s">
        <v>3059</v>
      </c>
      <c r="B984" t="s">
        <v>3060</v>
      </c>
      <c r="C984" t="s">
        <v>3061</v>
      </c>
      <c r="F984" t="s">
        <v>3062</v>
      </c>
      <c r="G984" t="s">
        <v>50</v>
      </c>
      <c r="H984" t="s">
        <v>51</v>
      </c>
      <c r="I984" t="s">
        <v>2666</v>
      </c>
      <c r="J984" t="s">
        <v>2545</v>
      </c>
      <c r="L984" t="s">
        <v>1271</v>
      </c>
    </row>
    <row r="985" spans="1:12" x14ac:dyDescent="0.25">
      <c r="A985" t="s">
        <v>3063</v>
      </c>
      <c r="B985" t="s">
        <v>3064</v>
      </c>
      <c r="C985" t="s">
        <v>3065</v>
      </c>
      <c r="F985" t="s">
        <v>1131</v>
      </c>
      <c r="G985" t="s">
        <v>50</v>
      </c>
      <c r="H985" t="s">
        <v>51</v>
      </c>
      <c r="I985" t="s">
        <v>2666</v>
      </c>
      <c r="J985" t="s">
        <v>2545</v>
      </c>
      <c r="L985" t="s">
        <v>1271</v>
      </c>
    </row>
    <row r="986" spans="1:12" x14ac:dyDescent="0.25">
      <c r="A986" t="s">
        <v>3066</v>
      </c>
      <c r="B986" t="s">
        <v>3067</v>
      </c>
      <c r="C986" t="s">
        <v>3068</v>
      </c>
      <c r="F986" t="s">
        <v>613</v>
      </c>
      <c r="G986" t="s">
        <v>50</v>
      </c>
      <c r="H986" t="s">
        <v>51</v>
      </c>
      <c r="I986" t="s">
        <v>2666</v>
      </c>
      <c r="J986" t="s">
        <v>2545</v>
      </c>
      <c r="L986" t="s">
        <v>1271</v>
      </c>
    </row>
    <row r="987" spans="1:12" x14ac:dyDescent="0.25">
      <c r="A987" t="s">
        <v>3069</v>
      </c>
      <c r="B987" t="s">
        <v>3070</v>
      </c>
      <c r="C987" t="s">
        <v>3071</v>
      </c>
      <c r="F987" t="s">
        <v>160</v>
      </c>
      <c r="G987" t="s">
        <v>50</v>
      </c>
      <c r="H987" t="s">
        <v>51</v>
      </c>
      <c r="I987" t="s">
        <v>2666</v>
      </c>
      <c r="J987" t="s">
        <v>2545</v>
      </c>
      <c r="L987" t="s">
        <v>1271</v>
      </c>
    </row>
    <row r="988" spans="1:12" x14ac:dyDescent="0.25">
      <c r="A988" t="s">
        <v>3072</v>
      </c>
      <c r="B988" t="s">
        <v>3073</v>
      </c>
      <c r="C988" t="s">
        <v>3074</v>
      </c>
      <c r="F988" t="s">
        <v>943</v>
      </c>
      <c r="G988" t="s">
        <v>50</v>
      </c>
      <c r="H988" t="s">
        <v>51</v>
      </c>
      <c r="I988" t="s">
        <v>2666</v>
      </c>
      <c r="J988" t="s">
        <v>2545</v>
      </c>
      <c r="L988" t="s">
        <v>1271</v>
      </c>
    </row>
    <row r="989" spans="1:12" x14ac:dyDescent="0.25">
      <c r="A989" t="s">
        <v>3075</v>
      </c>
      <c r="B989" t="s">
        <v>3076</v>
      </c>
      <c r="C989" t="s">
        <v>3077</v>
      </c>
      <c r="F989" t="s">
        <v>2709</v>
      </c>
      <c r="G989" t="s">
        <v>50</v>
      </c>
      <c r="H989" t="s">
        <v>51</v>
      </c>
      <c r="I989" t="s">
        <v>2666</v>
      </c>
      <c r="J989" t="s">
        <v>2545</v>
      </c>
      <c r="L989" t="s">
        <v>1271</v>
      </c>
    </row>
    <row r="990" spans="1:12" x14ac:dyDescent="0.25">
      <c r="A990" t="s">
        <v>3078</v>
      </c>
      <c r="B990" t="s">
        <v>3079</v>
      </c>
      <c r="C990" t="s">
        <v>3080</v>
      </c>
      <c r="F990" t="s">
        <v>277</v>
      </c>
      <c r="G990" t="s">
        <v>50</v>
      </c>
      <c r="H990" t="s">
        <v>51</v>
      </c>
      <c r="I990" t="s">
        <v>2666</v>
      </c>
      <c r="J990" t="s">
        <v>2545</v>
      </c>
      <c r="L990" t="s">
        <v>1271</v>
      </c>
    </row>
    <row r="991" spans="1:12" x14ac:dyDescent="0.25">
      <c r="A991" t="s">
        <v>3081</v>
      </c>
      <c r="B991" t="s">
        <v>3082</v>
      </c>
      <c r="C991" t="s">
        <v>3083</v>
      </c>
      <c r="F991" t="s">
        <v>671</v>
      </c>
      <c r="G991" t="s">
        <v>50</v>
      </c>
      <c r="H991" t="s">
        <v>51</v>
      </c>
      <c r="I991" t="s">
        <v>2666</v>
      </c>
      <c r="J991" t="s">
        <v>2545</v>
      </c>
      <c r="L991" t="s">
        <v>1271</v>
      </c>
    </row>
    <row r="992" spans="1:12" x14ac:dyDescent="0.25">
      <c r="A992" t="s">
        <v>3084</v>
      </c>
      <c r="B992" t="s">
        <v>3085</v>
      </c>
      <c r="C992" t="s">
        <v>3086</v>
      </c>
      <c r="F992" t="s">
        <v>671</v>
      </c>
      <c r="G992" t="s">
        <v>50</v>
      </c>
      <c r="H992" t="s">
        <v>51</v>
      </c>
      <c r="I992" t="s">
        <v>2666</v>
      </c>
      <c r="J992" t="s">
        <v>2545</v>
      </c>
      <c r="L992" t="s">
        <v>1271</v>
      </c>
    </row>
    <row r="993" spans="1:12" x14ac:dyDescent="0.25">
      <c r="A993" t="s">
        <v>3087</v>
      </c>
      <c r="B993" t="s">
        <v>3088</v>
      </c>
      <c r="C993" t="s">
        <v>3089</v>
      </c>
      <c r="F993" t="s">
        <v>107</v>
      </c>
      <c r="G993" t="s">
        <v>50</v>
      </c>
      <c r="H993" t="s">
        <v>51</v>
      </c>
      <c r="I993" t="s">
        <v>2666</v>
      </c>
      <c r="J993" t="s">
        <v>2545</v>
      </c>
      <c r="L993" t="s">
        <v>1271</v>
      </c>
    </row>
    <row r="994" spans="1:12" x14ac:dyDescent="0.25">
      <c r="A994" t="s">
        <v>3090</v>
      </c>
      <c r="B994" t="s">
        <v>3091</v>
      </c>
      <c r="C994" t="s">
        <v>3092</v>
      </c>
      <c r="F994" t="s">
        <v>485</v>
      </c>
      <c r="G994" t="s">
        <v>50</v>
      </c>
      <c r="H994" t="s">
        <v>51</v>
      </c>
      <c r="I994" t="s">
        <v>2666</v>
      </c>
      <c r="J994" t="s">
        <v>2545</v>
      </c>
      <c r="L994" t="s">
        <v>1271</v>
      </c>
    </row>
    <row r="995" spans="1:12" x14ac:dyDescent="0.25">
      <c r="A995" t="s">
        <v>3093</v>
      </c>
      <c r="B995" t="s">
        <v>3094</v>
      </c>
      <c r="C995" t="s">
        <v>3095</v>
      </c>
      <c r="F995" t="s">
        <v>346</v>
      </c>
      <c r="G995" t="s">
        <v>50</v>
      </c>
      <c r="H995" t="s">
        <v>51</v>
      </c>
      <c r="I995" t="s">
        <v>2666</v>
      </c>
      <c r="J995" t="s">
        <v>2545</v>
      </c>
      <c r="L995" t="s">
        <v>1271</v>
      </c>
    </row>
    <row r="996" spans="1:12" x14ac:dyDescent="0.25">
      <c r="A996" t="s">
        <v>3096</v>
      </c>
      <c r="B996" t="s">
        <v>3097</v>
      </c>
      <c r="C996" t="s">
        <v>3098</v>
      </c>
      <c r="F996" t="s">
        <v>3099</v>
      </c>
      <c r="G996" t="s">
        <v>50</v>
      </c>
      <c r="H996" t="s">
        <v>51</v>
      </c>
      <c r="I996" t="s">
        <v>2666</v>
      </c>
      <c r="J996" t="s">
        <v>2545</v>
      </c>
      <c r="L996" t="s">
        <v>1271</v>
      </c>
    </row>
    <row r="997" spans="1:12" x14ac:dyDescent="0.25">
      <c r="A997" t="s">
        <v>3100</v>
      </c>
      <c r="B997" t="s">
        <v>3101</v>
      </c>
      <c r="C997" t="s">
        <v>3102</v>
      </c>
      <c r="F997" t="s">
        <v>3103</v>
      </c>
      <c r="G997" t="s">
        <v>50</v>
      </c>
      <c r="H997" t="s">
        <v>51</v>
      </c>
      <c r="I997" t="s">
        <v>2666</v>
      </c>
      <c r="J997" t="s">
        <v>2545</v>
      </c>
      <c r="L997" t="s">
        <v>1271</v>
      </c>
    </row>
    <row r="998" spans="1:12" x14ac:dyDescent="0.25">
      <c r="A998" t="s">
        <v>3104</v>
      </c>
      <c r="B998" t="s">
        <v>3105</v>
      </c>
      <c r="C998" t="s">
        <v>3106</v>
      </c>
      <c r="F998" t="s">
        <v>3099</v>
      </c>
      <c r="G998" t="s">
        <v>50</v>
      </c>
      <c r="H998" t="s">
        <v>51</v>
      </c>
      <c r="I998" t="s">
        <v>2666</v>
      </c>
      <c r="J998" t="s">
        <v>2545</v>
      </c>
      <c r="L998" t="s">
        <v>1271</v>
      </c>
    </row>
    <row r="999" spans="1:12" x14ac:dyDescent="0.25">
      <c r="A999" t="s">
        <v>3107</v>
      </c>
      <c r="B999" t="s">
        <v>3108</v>
      </c>
      <c r="C999" t="s">
        <v>3109</v>
      </c>
      <c r="F999" t="s">
        <v>1024</v>
      </c>
      <c r="G999" t="s">
        <v>50</v>
      </c>
      <c r="H999" t="s">
        <v>51</v>
      </c>
      <c r="I999" t="s">
        <v>2666</v>
      </c>
      <c r="J999" t="s">
        <v>2545</v>
      </c>
      <c r="L999" t="s">
        <v>1271</v>
      </c>
    </row>
    <row r="1000" spans="1:12" x14ac:dyDescent="0.25">
      <c r="A1000" t="s">
        <v>3110</v>
      </c>
      <c r="B1000" t="s">
        <v>3111</v>
      </c>
      <c r="C1000" t="s">
        <v>3112</v>
      </c>
      <c r="F1000" t="s">
        <v>526</v>
      </c>
      <c r="G1000" t="s">
        <v>50</v>
      </c>
      <c r="H1000" t="s">
        <v>51</v>
      </c>
      <c r="I1000" t="s">
        <v>2666</v>
      </c>
      <c r="J1000" t="s">
        <v>2545</v>
      </c>
      <c r="L1000" t="s">
        <v>1271</v>
      </c>
    </row>
    <row r="1001" spans="1:12" x14ac:dyDescent="0.25">
      <c r="A1001" t="s">
        <v>3113</v>
      </c>
      <c r="B1001" t="s">
        <v>3114</v>
      </c>
      <c r="C1001" t="s">
        <v>3115</v>
      </c>
      <c r="F1001" t="s">
        <v>350</v>
      </c>
      <c r="G1001" t="s">
        <v>50</v>
      </c>
      <c r="H1001" t="s">
        <v>51</v>
      </c>
      <c r="I1001" t="s">
        <v>2666</v>
      </c>
      <c r="J1001" t="s">
        <v>2545</v>
      </c>
      <c r="L1001" t="s">
        <v>1271</v>
      </c>
    </row>
    <row r="1002" spans="1:12" x14ac:dyDescent="0.25">
      <c r="A1002" t="s">
        <v>3116</v>
      </c>
      <c r="B1002" t="s">
        <v>3117</v>
      </c>
      <c r="C1002" t="s">
        <v>3118</v>
      </c>
      <c r="F1002" t="s">
        <v>1889</v>
      </c>
      <c r="G1002" t="s">
        <v>50</v>
      </c>
      <c r="H1002" t="s">
        <v>51</v>
      </c>
      <c r="I1002" t="s">
        <v>2666</v>
      </c>
      <c r="J1002" t="s">
        <v>2545</v>
      </c>
      <c r="L1002" t="s">
        <v>1271</v>
      </c>
    </row>
    <row r="1003" spans="1:12" x14ac:dyDescent="0.25">
      <c r="A1003" t="s">
        <v>3119</v>
      </c>
      <c r="B1003" t="s">
        <v>3120</v>
      </c>
      <c r="C1003" t="s">
        <v>3121</v>
      </c>
      <c r="F1003" t="s">
        <v>100</v>
      </c>
      <c r="G1003" t="s">
        <v>50</v>
      </c>
      <c r="H1003" t="s">
        <v>51</v>
      </c>
      <c r="I1003" t="s">
        <v>2666</v>
      </c>
      <c r="J1003" t="s">
        <v>2545</v>
      </c>
      <c r="L1003" t="s">
        <v>1271</v>
      </c>
    </row>
    <row r="1004" spans="1:12" x14ac:dyDescent="0.25">
      <c r="A1004" t="s">
        <v>3122</v>
      </c>
      <c r="B1004" t="s">
        <v>3123</v>
      </c>
      <c r="C1004" t="s">
        <v>3124</v>
      </c>
      <c r="F1004" t="s">
        <v>1842</v>
      </c>
      <c r="G1004" t="s">
        <v>50</v>
      </c>
      <c r="H1004" t="s">
        <v>51</v>
      </c>
      <c r="I1004" t="s">
        <v>2666</v>
      </c>
      <c r="J1004" t="s">
        <v>2545</v>
      </c>
      <c r="L1004" t="s">
        <v>1271</v>
      </c>
    </row>
    <row r="1005" spans="1:12" x14ac:dyDescent="0.25">
      <c r="A1005" t="s">
        <v>3125</v>
      </c>
      <c r="B1005" t="s">
        <v>3126</v>
      </c>
      <c r="C1005" t="s">
        <v>3127</v>
      </c>
      <c r="F1005" t="s">
        <v>667</v>
      </c>
      <c r="G1005" t="s">
        <v>50</v>
      </c>
      <c r="H1005" t="s">
        <v>51</v>
      </c>
      <c r="I1005" t="s">
        <v>2666</v>
      </c>
      <c r="J1005" t="s">
        <v>2545</v>
      </c>
      <c r="L1005" t="s">
        <v>1271</v>
      </c>
    </row>
    <row r="1006" spans="1:12" x14ac:dyDescent="0.25">
      <c r="A1006" t="s">
        <v>3128</v>
      </c>
      <c r="B1006" t="s">
        <v>3129</v>
      </c>
      <c r="C1006" t="s">
        <v>3130</v>
      </c>
      <c r="F1006" t="s">
        <v>310</v>
      </c>
      <c r="G1006" t="s">
        <v>50</v>
      </c>
      <c r="H1006" t="s">
        <v>51</v>
      </c>
      <c r="I1006" t="s">
        <v>2666</v>
      </c>
      <c r="J1006" t="s">
        <v>2545</v>
      </c>
      <c r="L1006" t="s">
        <v>1271</v>
      </c>
    </row>
    <row r="1007" spans="1:12" x14ac:dyDescent="0.25">
      <c r="A1007" t="s">
        <v>3131</v>
      </c>
      <c r="B1007" t="s">
        <v>3132</v>
      </c>
      <c r="C1007" t="s">
        <v>3133</v>
      </c>
      <c r="F1007" t="s">
        <v>115</v>
      </c>
      <c r="G1007" t="s">
        <v>50</v>
      </c>
      <c r="H1007" t="s">
        <v>51</v>
      </c>
      <c r="I1007" t="s">
        <v>2666</v>
      </c>
      <c r="J1007" t="s">
        <v>2545</v>
      </c>
      <c r="L1007" t="s">
        <v>1271</v>
      </c>
    </row>
    <row r="1008" spans="1:12" x14ac:dyDescent="0.25">
      <c r="A1008" t="s">
        <v>3134</v>
      </c>
      <c r="B1008" t="s">
        <v>3135</v>
      </c>
      <c r="C1008" t="s">
        <v>3136</v>
      </c>
      <c r="F1008" t="s">
        <v>859</v>
      </c>
      <c r="G1008" t="s">
        <v>50</v>
      </c>
      <c r="H1008" t="s">
        <v>51</v>
      </c>
      <c r="I1008" t="s">
        <v>2666</v>
      </c>
      <c r="J1008" t="s">
        <v>2545</v>
      </c>
      <c r="L1008" t="s">
        <v>1271</v>
      </c>
    </row>
    <row r="1009" spans="1:12" x14ac:dyDescent="0.25">
      <c r="A1009" t="s">
        <v>3137</v>
      </c>
      <c r="B1009" t="s">
        <v>3138</v>
      </c>
      <c r="C1009" t="s">
        <v>3139</v>
      </c>
      <c r="F1009" t="s">
        <v>90</v>
      </c>
      <c r="G1009" t="s">
        <v>50</v>
      </c>
      <c r="H1009" t="s">
        <v>51</v>
      </c>
      <c r="I1009" t="s">
        <v>2666</v>
      </c>
      <c r="J1009" t="s">
        <v>2545</v>
      </c>
      <c r="L1009" t="s">
        <v>1271</v>
      </c>
    </row>
    <row r="1010" spans="1:12" x14ac:dyDescent="0.25">
      <c r="A1010" t="s">
        <v>3140</v>
      </c>
      <c r="B1010" t="s">
        <v>3141</v>
      </c>
      <c r="C1010" t="s">
        <v>3142</v>
      </c>
      <c r="F1010" t="s">
        <v>413</v>
      </c>
      <c r="G1010" t="s">
        <v>50</v>
      </c>
      <c r="H1010" t="s">
        <v>51</v>
      </c>
      <c r="I1010" t="s">
        <v>2666</v>
      </c>
      <c r="J1010" t="s">
        <v>2545</v>
      </c>
      <c r="L1010" t="s">
        <v>1271</v>
      </c>
    </row>
    <row r="1011" spans="1:12" x14ac:dyDescent="0.25">
      <c r="A1011" t="s">
        <v>3143</v>
      </c>
      <c r="B1011" t="s">
        <v>3144</v>
      </c>
      <c r="C1011" t="s">
        <v>3145</v>
      </c>
      <c r="F1011" t="s">
        <v>115</v>
      </c>
      <c r="G1011" t="s">
        <v>50</v>
      </c>
      <c r="H1011" t="s">
        <v>51</v>
      </c>
      <c r="I1011" t="s">
        <v>2666</v>
      </c>
      <c r="J1011" t="s">
        <v>2545</v>
      </c>
      <c r="L1011" t="s">
        <v>1271</v>
      </c>
    </row>
    <row r="1012" spans="1:12" x14ac:dyDescent="0.25">
      <c r="A1012" t="s">
        <v>3146</v>
      </c>
      <c r="B1012" t="s">
        <v>3147</v>
      </c>
      <c r="C1012" t="s">
        <v>3148</v>
      </c>
      <c r="F1012" t="s">
        <v>1127</v>
      </c>
      <c r="G1012" t="s">
        <v>50</v>
      </c>
      <c r="H1012" t="s">
        <v>51</v>
      </c>
      <c r="I1012" t="s">
        <v>2666</v>
      </c>
      <c r="J1012" t="s">
        <v>2545</v>
      </c>
      <c r="L1012" t="s">
        <v>1271</v>
      </c>
    </row>
    <row r="1013" spans="1:12" x14ac:dyDescent="0.25">
      <c r="A1013" t="s">
        <v>3149</v>
      </c>
      <c r="B1013" t="s">
        <v>3150</v>
      </c>
      <c r="C1013" t="s">
        <v>3151</v>
      </c>
      <c r="F1013" t="s">
        <v>859</v>
      </c>
      <c r="G1013" t="s">
        <v>50</v>
      </c>
      <c r="H1013" t="s">
        <v>51</v>
      </c>
      <c r="I1013" t="s">
        <v>2666</v>
      </c>
      <c r="J1013" t="s">
        <v>2545</v>
      </c>
      <c r="L1013" t="s">
        <v>1271</v>
      </c>
    </row>
    <row r="1014" spans="1:12" x14ac:dyDescent="0.25">
      <c r="A1014" t="s">
        <v>3152</v>
      </c>
      <c r="B1014" t="s">
        <v>3153</v>
      </c>
      <c r="C1014" t="s">
        <v>3154</v>
      </c>
      <c r="F1014" t="s">
        <v>533</v>
      </c>
      <c r="G1014" t="s">
        <v>50</v>
      </c>
      <c r="H1014" t="s">
        <v>51</v>
      </c>
      <c r="I1014" t="s">
        <v>2666</v>
      </c>
      <c r="J1014" t="s">
        <v>2545</v>
      </c>
      <c r="L1014" t="s">
        <v>1271</v>
      </c>
    </row>
    <row r="1015" spans="1:12" x14ac:dyDescent="0.25">
      <c r="A1015" t="s">
        <v>3155</v>
      </c>
      <c r="B1015" t="s">
        <v>3156</v>
      </c>
      <c r="C1015" t="s">
        <v>3157</v>
      </c>
      <c r="F1015" t="s">
        <v>107</v>
      </c>
      <c r="G1015" t="s">
        <v>50</v>
      </c>
      <c r="H1015" t="s">
        <v>51</v>
      </c>
      <c r="I1015" t="s">
        <v>2666</v>
      </c>
      <c r="J1015" t="s">
        <v>2545</v>
      </c>
      <c r="L1015" t="s">
        <v>1271</v>
      </c>
    </row>
    <row r="1016" spans="1:12" x14ac:dyDescent="0.25">
      <c r="A1016" t="s">
        <v>3158</v>
      </c>
      <c r="B1016" t="s">
        <v>3159</v>
      </c>
      <c r="C1016" t="s">
        <v>3160</v>
      </c>
      <c r="F1016" t="s">
        <v>526</v>
      </c>
      <c r="G1016" t="s">
        <v>50</v>
      </c>
      <c r="H1016" t="s">
        <v>51</v>
      </c>
      <c r="I1016" t="s">
        <v>2666</v>
      </c>
      <c r="J1016" t="s">
        <v>2545</v>
      </c>
      <c r="L1016" t="s">
        <v>1271</v>
      </c>
    </row>
    <row r="1017" spans="1:12" x14ac:dyDescent="0.25">
      <c r="A1017" t="s">
        <v>3161</v>
      </c>
      <c r="B1017" t="s">
        <v>3162</v>
      </c>
      <c r="C1017" t="s">
        <v>3163</v>
      </c>
      <c r="F1017" t="s">
        <v>90</v>
      </c>
      <c r="G1017" t="s">
        <v>50</v>
      </c>
      <c r="H1017" t="s">
        <v>51</v>
      </c>
      <c r="I1017" t="s">
        <v>2666</v>
      </c>
      <c r="J1017" t="s">
        <v>2545</v>
      </c>
      <c r="L1017" t="s">
        <v>1271</v>
      </c>
    </row>
    <row r="1018" spans="1:12" x14ac:dyDescent="0.25">
      <c r="A1018" t="s">
        <v>3164</v>
      </c>
      <c r="B1018" t="s">
        <v>3165</v>
      </c>
      <c r="C1018" t="s">
        <v>3166</v>
      </c>
      <c r="F1018" t="s">
        <v>1066</v>
      </c>
      <c r="G1018" t="s">
        <v>50</v>
      </c>
      <c r="H1018" t="s">
        <v>51</v>
      </c>
      <c r="I1018" t="s">
        <v>2666</v>
      </c>
      <c r="J1018" t="s">
        <v>2545</v>
      </c>
      <c r="L1018" t="s">
        <v>1271</v>
      </c>
    </row>
    <row r="1019" spans="1:12" x14ac:dyDescent="0.25">
      <c r="A1019" t="s">
        <v>3167</v>
      </c>
      <c r="B1019" t="s">
        <v>3168</v>
      </c>
      <c r="C1019" t="s">
        <v>3169</v>
      </c>
      <c r="F1019" t="s">
        <v>1054</v>
      </c>
      <c r="G1019" t="s">
        <v>50</v>
      </c>
      <c r="H1019" t="s">
        <v>51</v>
      </c>
      <c r="I1019" t="s">
        <v>2666</v>
      </c>
      <c r="J1019" t="s">
        <v>2545</v>
      </c>
      <c r="L1019" t="s">
        <v>1271</v>
      </c>
    </row>
    <row r="1020" spans="1:12" x14ac:dyDescent="0.25">
      <c r="A1020" t="s">
        <v>3170</v>
      </c>
      <c r="B1020" t="s">
        <v>3171</v>
      </c>
      <c r="C1020" t="s">
        <v>3172</v>
      </c>
      <c r="F1020" t="s">
        <v>1889</v>
      </c>
      <c r="G1020" t="s">
        <v>50</v>
      </c>
      <c r="H1020" t="s">
        <v>51</v>
      </c>
      <c r="I1020" t="s">
        <v>2666</v>
      </c>
      <c r="J1020" t="s">
        <v>2545</v>
      </c>
      <c r="L1020" t="s">
        <v>1271</v>
      </c>
    </row>
    <row r="1021" spans="1:12" x14ac:dyDescent="0.25">
      <c r="A1021" t="s">
        <v>3173</v>
      </c>
      <c r="B1021" t="s">
        <v>3174</v>
      </c>
      <c r="C1021" t="s">
        <v>3175</v>
      </c>
      <c r="F1021" t="s">
        <v>1884</v>
      </c>
      <c r="G1021" t="s">
        <v>50</v>
      </c>
      <c r="H1021" t="s">
        <v>51</v>
      </c>
      <c r="I1021" t="s">
        <v>2666</v>
      </c>
      <c r="J1021" t="s">
        <v>2545</v>
      </c>
      <c r="L1021" t="s">
        <v>1271</v>
      </c>
    </row>
    <row r="1022" spans="1:12" x14ac:dyDescent="0.25">
      <c r="A1022" t="s">
        <v>3176</v>
      </c>
      <c r="B1022" t="s">
        <v>3177</v>
      </c>
      <c r="C1022" t="s">
        <v>3178</v>
      </c>
      <c r="F1022" t="s">
        <v>1066</v>
      </c>
      <c r="G1022" t="s">
        <v>50</v>
      </c>
      <c r="H1022" t="s">
        <v>51</v>
      </c>
      <c r="I1022" t="s">
        <v>2666</v>
      </c>
      <c r="J1022" t="s">
        <v>2545</v>
      </c>
      <c r="L1022" t="s">
        <v>1271</v>
      </c>
    </row>
    <row r="1023" spans="1:12" x14ac:dyDescent="0.25">
      <c r="A1023" t="s">
        <v>3179</v>
      </c>
      <c r="B1023" t="s">
        <v>3180</v>
      </c>
      <c r="C1023" t="s">
        <v>3181</v>
      </c>
      <c r="F1023" t="s">
        <v>107</v>
      </c>
      <c r="G1023" t="s">
        <v>50</v>
      </c>
      <c r="H1023" t="s">
        <v>51</v>
      </c>
      <c r="I1023" t="s">
        <v>2666</v>
      </c>
      <c r="J1023" t="s">
        <v>2545</v>
      </c>
      <c r="L1023" t="s">
        <v>1271</v>
      </c>
    </row>
    <row r="1024" spans="1:12" x14ac:dyDescent="0.25">
      <c r="A1024" t="s">
        <v>3182</v>
      </c>
      <c r="B1024" t="s">
        <v>3183</v>
      </c>
      <c r="C1024" t="s">
        <v>3184</v>
      </c>
      <c r="F1024" t="s">
        <v>253</v>
      </c>
      <c r="G1024" t="s">
        <v>50</v>
      </c>
      <c r="H1024" t="s">
        <v>51</v>
      </c>
      <c r="I1024" t="s">
        <v>2666</v>
      </c>
      <c r="J1024" t="s">
        <v>2545</v>
      </c>
      <c r="L1024" t="s">
        <v>1271</v>
      </c>
    </row>
    <row r="1025" spans="1:12" x14ac:dyDescent="0.25">
      <c r="A1025" t="s">
        <v>3185</v>
      </c>
      <c r="B1025" t="s">
        <v>3186</v>
      </c>
      <c r="C1025" t="s">
        <v>3187</v>
      </c>
      <c r="F1025" t="s">
        <v>100</v>
      </c>
      <c r="G1025" t="s">
        <v>50</v>
      </c>
      <c r="H1025" t="s">
        <v>51</v>
      </c>
      <c r="I1025" t="s">
        <v>2666</v>
      </c>
      <c r="J1025" t="s">
        <v>2545</v>
      </c>
      <c r="L1025" t="s">
        <v>1271</v>
      </c>
    </row>
    <row r="1026" spans="1:12" x14ac:dyDescent="0.25">
      <c r="A1026" t="s">
        <v>3188</v>
      </c>
      <c r="B1026" t="s">
        <v>3189</v>
      </c>
      <c r="C1026" t="s">
        <v>3190</v>
      </c>
      <c r="F1026" t="s">
        <v>310</v>
      </c>
      <c r="G1026" t="s">
        <v>50</v>
      </c>
      <c r="H1026" t="s">
        <v>51</v>
      </c>
      <c r="I1026" t="s">
        <v>2666</v>
      </c>
      <c r="J1026" t="s">
        <v>2545</v>
      </c>
      <c r="L1026" t="s">
        <v>1271</v>
      </c>
    </row>
    <row r="1027" spans="1:12" x14ac:dyDescent="0.25">
      <c r="A1027" t="s">
        <v>3191</v>
      </c>
      <c r="B1027" t="s">
        <v>3192</v>
      </c>
      <c r="C1027" t="s">
        <v>3193</v>
      </c>
      <c r="F1027" t="s">
        <v>86</v>
      </c>
      <c r="G1027" t="s">
        <v>50</v>
      </c>
      <c r="H1027" t="s">
        <v>51</v>
      </c>
      <c r="I1027" t="s">
        <v>2666</v>
      </c>
      <c r="J1027" t="s">
        <v>2545</v>
      </c>
      <c r="L1027" t="s">
        <v>1271</v>
      </c>
    </row>
    <row r="1028" spans="1:12" x14ac:dyDescent="0.25">
      <c r="A1028" t="s">
        <v>3194</v>
      </c>
      <c r="B1028" t="s">
        <v>3195</v>
      </c>
      <c r="C1028" t="s">
        <v>3196</v>
      </c>
      <c r="F1028" t="s">
        <v>3197</v>
      </c>
      <c r="G1028" t="s">
        <v>50</v>
      </c>
      <c r="H1028" t="s">
        <v>51</v>
      </c>
      <c r="I1028" t="s">
        <v>2666</v>
      </c>
      <c r="J1028" t="s">
        <v>2545</v>
      </c>
      <c r="L1028" t="s">
        <v>1271</v>
      </c>
    </row>
    <row r="1029" spans="1:12" x14ac:dyDescent="0.25">
      <c r="A1029" t="s">
        <v>3198</v>
      </c>
      <c r="B1029" t="s">
        <v>3199</v>
      </c>
      <c r="C1029" t="s">
        <v>3200</v>
      </c>
      <c r="F1029" t="s">
        <v>3197</v>
      </c>
      <c r="G1029" t="s">
        <v>50</v>
      </c>
      <c r="H1029" t="s">
        <v>51</v>
      </c>
      <c r="I1029" t="s">
        <v>2666</v>
      </c>
      <c r="J1029" t="s">
        <v>2545</v>
      </c>
      <c r="L1029" t="s">
        <v>1271</v>
      </c>
    </row>
    <row r="1030" spans="1:12" x14ac:dyDescent="0.25">
      <c r="A1030" t="s">
        <v>3201</v>
      </c>
      <c r="B1030" t="s">
        <v>3202</v>
      </c>
      <c r="C1030" t="s">
        <v>3203</v>
      </c>
      <c r="F1030" t="s">
        <v>292</v>
      </c>
      <c r="G1030" t="s">
        <v>50</v>
      </c>
      <c r="H1030" t="s">
        <v>51</v>
      </c>
      <c r="I1030" t="s">
        <v>2666</v>
      </c>
      <c r="J1030" t="s">
        <v>2545</v>
      </c>
      <c r="L1030" t="s">
        <v>1271</v>
      </c>
    </row>
    <row r="1031" spans="1:12" x14ac:dyDescent="0.25">
      <c r="A1031" t="s">
        <v>3204</v>
      </c>
      <c r="B1031" t="s">
        <v>3205</v>
      </c>
      <c r="C1031" t="s">
        <v>3206</v>
      </c>
      <c r="F1031" t="s">
        <v>743</v>
      </c>
      <c r="G1031" t="s">
        <v>50</v>
      </c>
      <c r="H1031" t="s">
        <v>51</v>
      </c>
      <c r="I1031" t="s">
        <v>2666</v>
      </c>
      <c r="J1031" t="s">
        <v>2545</v>
      </c>
      <c r="L1031" t="s">
        <v>1271</v>
      </c>
    </row>
    <row r="1032" spans="1:12" x14ac:dyDescent="0.25">
      <c r="A1032" t="s">
        <v>3207</v>
      </c>
      <c r="B1032" t="s">
        <v>3208</v>
      </c>
      <c r="C1032" t="s">
        <v>3209</v>
      </c>
      <c r="F1032" t="s">
        <v>859</v>
      </c>
      <c r="G1032" t="s">
        <v>50</v>
      </c>
      <c r="H1032" t="s">
        <v>51</v>
      </c>
      <c r="I1032" t="s">
        <v>2666</v>
      </c>
      <c r="J1032" t="s">
        <v>2545</v>
      </c>
      <c r="L1032" t="s">
        <v>1271</v>
      </c>
    </row>
    <row r="1033" spans="1:12" x14ac:dyDescent="0.25">
      <c r="A1033" t="s">
        <v>3210</v>
      </c>
      <c r="B1033" t="s">
        <v>3211</v>
      </c>
      <c r="C1033" t="s">
        <v>3212</v>
      </c>
      <c r="F1033" t="s">
        <v>3213</v>
      </c>
      <c r="G1033" t="s">
        <v>50</v>
      </c>
      <c r="H1033" t="s">
        <v>51</v>
      </c>
      <c r="I1033" t="s">
        <v>2666</v>
      </c>
      <c r="J1033" t="s">
        <v>2545</v>
      </c>
      <c r="L1033" t="s">
        <v>1271</v>
      </c>
    </row>
    <row r="1034" spans="1:12" x14ac:dyDescent="0.25">
      <c r="A1034" t="s">
        <v>3214</v>
      </c>
      <c r="B1034" t="s">
        <v>3215</v>
      </c>
      <c r="C1034" t="s">
        <v>3216</v>
      </c>
      <c r="F1034" t="s">
        <v>277</v>
      </c>
      <c r="G1034" t="s">
        <v>50</v>
      </c>
      <c r="H1034" t="s">
        <v>51</v>
      </c>
      <c r="I1034" t="s">
        <v>2666</v>
      </c>
      <c r="J1034" t="s">
        <v>2545</v>
      </c>
      <c r="L1034" t="s">
        <v>1271</v>
      </c>
    </row>
    <row r="1035" spans="1:12" x14ac:dyDescent="0.25">
      <c r="A1035" t="s">
        <v>3217</v>
      </c>
      <c r="B1035" t="s">
        <v>3218</v>
      </c>
      <c r="C1035" t="s">
        <v>3219</v>
      </c>
      <c r="F1035" t="s">
        <v>314</v>
      </c>
      <c r="G1035" t="s">
        <v>50</v>
      </c>
      <c r="H1035" t="s">
        <v>51</v>
      </c>
      <c r="I1035" t="s">
        <v>2666</v>
      </c>
      <c r="J1035" t="s">
        <v>2545</v>
      </c>
      <c r="L1035" t="s">
        <v>1271</v>
      </c>
    </row>
    <row r="1036" spans="1:12" x14ac:dyDescent="0.25">
      <c r="A1036" t="s">
        <v>3220</v>
      </c>
      <c r="B1036" t="s">
        <v>3221</v>
      </c>
      <c r="C1036" t="s">
        <v>3222</v>
      </c>
      <c r="F1036" t="s">
        <v>277</v>
      </c>
      <c r="G1036" t="s">
        <v>50</v>
      </c>
      <c r="H1036" t="s">
        <v>51</v>
      </c>
      <c r="I1036" t="s">
        <v>2666</v>
      </c>
      <c r="J1036" t="s">
        <v>2545</v>
      </c>
      <c r="L1036" t="s">
        <v>1271</v>
      </c>
    </row>
    <row r="1037" spans="1:12" x14ac:dyDescent="0.25">
      <c r="A1037" t="s">
        <v>3223</v>
      </c>
      <c r="B1037" t="s">
        <v>3224</v>
      </c>
      <c r="C1037" t="s">
        <v>3225</v>
      </c>
      <c r="F1037" t="s">
        <v>1131</v>
      </c>
      <c r="G1037" t="s">
        <v>50</v>
      </c>
      <c r="H1037" t="s">
        <v>51</v>
      </c>
      <c r="I1037" t="s">
        <v>2666</v>
      </c>
      <c r="J1037" t="s">
        <v>2545</v>
      </c>
      <c r="L1037" t="s">
        <v>1271</v>
      </c>
    </row>
    <row r="1038" spans="1:12" x14ac:dyDescent="0.25">
      <c r="A1038" t="s">
        <v>3226</v>
      </c>
      <c r="B1038" t="s">
        <v>3227</v>
      </c>
      <c r="C1038" t="s">
        <v>3228</v>
      </c>
      <c r="F1038" t="s">
        <v>1200</v>
      </c>
      <c r="G1038" t="s">
        <v>50</v>
      </c>
      <c r="H1038" t="s">
        <v>51</v>
      </c>
      <c r="I1038" t="s">
        <v>2666</v>
      </c>
      <c r="J1038" t="s">
        <v>2545</v>
      </c>
      <c r="L1038" t="s">
        <v>1271</v>
      </c>
    </row>
    <row r="1039" spans="1:12" x14ac:dyDescent="0.25">
      <c r="A1039" t="s">
        <v>3229</v>
      </c>
      <c r="B1039" t="s">
        <v>3230</v>
      </c>
      <c r="C1039" t="s">
        <v>3231</v>
      </c>
      <c r="F1039" t="s">
        <v>292</v>
      </c>
      <c r="G1039" t="s">
        <v>50</v>
      </c>
      <c r="H1039" t="s">
        <v>51</v>
      </c>
      <c r="I1039" t="s">
        <v>2666</v>
      </c>
      <c r="J1039" t="s">
        <v>2545</v>
      </c>
      <c r="L1039" t="s">
        <v>1271</v>
      </c>
    </row>
    <row r="1040" spans="1:12" x14ac:dyDescent="0.25">
      <c r="A1040" t="s">
        <v>3232</v>
      </c>
      <c r="B1040" t="s">
        <v>3233</v>
      </c>
      <c r="C1040" t="s">
        <v>3234</v>
      </c>
      <c r="F1040" t="s">
        <v>485</v>
      </c>
      <c r="G1040" t="s">
        <v>50</v>
      </c>
      <c r="H1040" t="s">
        <v>51</v>
      </c>
      <c r="I1040" t="s">
        <v>2666</v>
      </c>
      <c r="J1040" t="s">
        <v>2545</v>
      </c>
      <c r="L1040" t="s">
        <v>1271</v>
      </c>
    </row>
    <row r="1041" spans="1:12" x14ac:dyDescent="0.25">
      <c r="A1041" t="s">
        <v>3235</v>
      </c>
      <c r="B1041" t="s">
        <v>3236</v>
      </c>
      <c r="C1041" t="s">
        <v>3237</v>
      </c>
      <c r="F1041" t="s">
        <v>3238</v>
      </c>
      <c r="G1041" t="s">
        <v>50</v>
      </c>
      <c r="H1041" t="s">
        <v>51</v>
      </c>
      <c r="I1041" t="s">
        <v>2666</v>
      </c>
      <c r="J1041" t="s">
        <v>2545</v>
      </c>
      <c r="L1041" t="s">
        <v>1271</v>
      </c>
    </row>
    <row r="1042" spans="1:12" x14ac:dyDescent="0.25">
      <c r="A1042" t="s">
        <v>3239</v>
      </c>
      <c r="B1042" t="s">
        <v>3240</v>
      </c>
      <c r="C1042" t="s">
        <v>3241</v>
      </c>
      <c r="F1042" t="s">
        <v>3242</v>
      </c>
      <c r="G1042" t="s">
        <v>50</v>
      </c>
      <c r="H1042" t="s">
        <v>51</v>
      </c>
      <c r="I1042" t="s">
        <v>2666</v>
      </c>
      <c r="J1042" t="s">
        <v>2545</v>
      </c>
      <c r="L1042" t="s">
        <v>1271</v>
      </c>
    </row>
    <row r="1043" spans="1:12" x14ac:dyDescent="0.25">
      <c r="A1043" t="s">
        <v>3243</v>
      </c>
      <c r="B1043" t="s">
        <v>3244</v>
      </c>
      <c r="C1043" t="s">
        <v>3245</v>
      </c>
      <c r="F1043" t="s">
        <v>3246</v>
      </c>
      <c r="G1043" t="s">
        <v>50</v>
      </c>
      <c r="H1043" t="s">
        <v>51</v>
      </c>
      <c r="I1043" t="s">
        <v>2666</v>
      </c>
      <c r="J1043" t="s">
        <v>2545</v>
      </c>
      <c r="L1043" t="s">
        <v>1271</v>
      </c>
    </row>
    <row r="1044" spans="1:12" x14ac:dyDescent="0.25">
      <c r="A1044" t="s">
        <v>3247</v>
      </c>
      <c r="B1044" t="s">
        <v>3248</v>
      </c>
      <c r="C1044" t="s">
        <v>3249</v>
      </c>
      <c r="F1044" t="s">
        <v>3250</v>
      </c>
      <c r="G1044" t="s">
        <v>50</v>
      </c>
      <c r="H1044" t="s">
        <v>51</v>
      </c>
      <c r="I1044" t="s">
        <v>2666</v>
      </c>
      <c r="J1044" t="s">
        <v>2545</v>
      </c>
      <c r="L1044" t="s">
        <v>1271</v>
      </c>
    </row>
    <row r="1045" spans="1:12" x14ac:dyDescent="0.25">
      <c r="A1045" t="s">
        <v>3251</v>
      </c>
      <c r="B1045" t="s">
        <v>3252</v>
      </c>
      <c r="C1045" t="s">
        <v>3253</v>
      </c>
      <c r="F1045" t="s">
        <v>953</v>
      </c>
      <c r="G1045" t="s">
        <v>50</v>
      </c>
      <c r="H1045" t="s">
        <v>51</v>
      </c>
      <c r="I1045" t="s">
        <v>2666</v>
      </c>
      <c r="J1045" t="s">
        <v>2545</v>
      </c>
      <c r="L1045" t="s">
        <v>1271</v>
      </c>
    </row>
    <row r="1046" spans="1:12" x14ac:dyDescent="0.25">
      <c r="A1046" t="s">
        <v>3254</v>
      </c>
      <c r="B1046" t="s">
        <v>3255</v>
      </c>
      <c r="C1046" t="s">
        <v>3256</v>
      </c>
      <c r="F1046" t="s">
        <v>2073</v>
      </c>
      <c r="G1046" t="s">
        <v>50</v>
      </c>
      <c r="H1046" t="s">
        <v>51</v>
      </c>
      <c r="I1046" t="s">
        <v>2666</v>
      </c>
      <c r="J1046" t="s">
        <v>2545</v>
      </c>
      <c r="L1046" t="s">
        <v>1271</v>
      </c>
    </row>
    <row r="1047" spans="1:12" x14ac:dyDescent="0.25">
      <c r="A1047" t="s">
        <v>3257</v>
      </c>
      <c r="B1047" t="s">
        <v>3258</v>
      </c>
      <c r="C1047" t="s">
        <v>3259</v>
      </c>
      <c r="F1047" t="s">
        <v>485</v>
      </c>
      <c r="G1047" t="s">
        <v>50</v>
      </c>
      <c r="H1047" t="s">
        <v>51</v>
      </c>
      <c r="I1047" t="s">
        <v>2666</v>
      </c>
      <c r="J1047" t="s">
        <v>2545</v>
      </c>
      <c r="L1047" t="s">
        <v>1271</v>
      </c>
    </row>
    <row r="1048" spans="1:12" x14ac:dyDescent="0.25">
      <c r="A1048" t="s">
        <v>3260</v>
      </c>
      <c r="B1048" t="s">
        <v>3261</v>
      </c>
      <c r="C1048" t="s">
        <v>3262</v>
      </c>
      <c r="F1048" t="s">
        <v>1455</v>
      </c>
      <c r="G1048" t="s">
        <v>50</v>
      </c>
      <c r="H1048" t="s">
        <v>51</v>
      </c>
      <c r="I1048" t="s">
        <v>2666</v>
      </c>
      <c r="J1048" t="s">
        <v>2545</v>
      </c>
      <c r="L1048" t="s">
        <v>1271</v>
      </c>
    </row>
    <row r="1049" spans="1:12" x14ac:dyDescent="0.25">
      <c r="A1049" t="s">
        <v>3263</v>
      </c>
      <c r="B1049" t="s">
        <v>3264</v>
      </c>
      <c r="C1049" t="s">
        <v>3265</v>
      </c>
      <c r="F1049" t="s">
        <v>485</v>
      </c>
      <c r="G1049" t="s">
        <v>50</v>
      </c>
      <c r="H1049" t="s">
        <v>51</v>
      </c>
      <c r="I1049" t="s">
        <v>2666</v>
      </c>
      <c r="J1049" t="s">
        <v>2545</v>
      </c>
      <c r="L1049" t="s">
        <v>1271</v>
      </c>
    </row>
    <row r="1050" spans="1:12" x14ac:dyDescent="0.25">
      <c r="A1050" t="s">
        <v>3266</v>
      </c>
      <c r="B1050" t="s">
        <v>3267</v>
      </c>
      <c r="C1050" t="s">
        <v>3268</v>
      </c>
      <c r="F1050" t="s">
        <v>3269</v>
      </c>
      <c r="G1050" t="s">
        <v>50</v>
      </c>
      <c r="H1050" t="s">
        <v>51</v>
      </c>
      <c r="I1050" t="s">
        <v>2666</v>
      </c>
      <c r="J1050" t="s">
        <v>2545</v>
      </c>
      <c r="L1050" t="s">
        <v>1271</v>
      </c>
    </row>
    <row r="1051" spans="1:12" x14ac:dyDescent="0.25">
      <c r="A1051" t="s">
        <v>3270</v>
      </c>
      <c r="B1051" t="s">
        <v>3271</v>
      </c>
      <c r="C1051" t="s">
        <v>3272</v>
      </c>
      <c r="F1051" t="s">
        <v>468</v>
      </c>
      <c r="G1051" t="s">
        <v>50</v>
      </c>
      <c r="H1051" t="s">
        <v>51</v>
      </c>
      <c r="I1051" t="s">
        <v>2666</v>
      </c>
      <c r="J1051" t="s">
        <v>2545</v>
      </c>
      <c r="L1051" t="s">
        <v>1271</v>
      </c>
    </row>
    <row r="1052" spans="1:12" x14ac:dyDescent="0.25">
      <c r="A1052" t="s">
        <v>3273</v>
      </c>
      <c r="B1052" t="s">
        <v>3274</v>
      </c>
      <c r="F1052" t="s">
        <v>3275</v>
      </c>
      <c r="G1052" t="s">
        <v>50</v>
      </c>
      <c r="H1052" t="s">
        <v>51</v>
      </c>
      <c r="I1052" t="s">
        <v>3276</v>
      </c>
      <c r="J1052" t="s">
        <v>3277</v>
      </c>
      <c r="L1052" t="s">
        <v>1271</v>
      </c>
    </row>
    <row r="1053" spans="1:12" x14ac:dyDescent="0.25">
      <c r="A1053" t="s">
        <v>3278</v>
      </c>
      <c r="B1053" t="s">
        <v>3279</v>
      </c>
      <c r="F1053" t="s">
        <v>176</v>
      </c>
      <c r="G1053" t="s">
        <v>50</v>
      </c>
      <c r="H1053" t="s">
        <v>51</v>
      </c>
      <c r="I1053" t="s">
        <v>3276</v>
      </c>
      <c r="J1053" t="s">
        <v>3277</v>
      </c>
      <c r="L1053" t="s">
        <v>1271</v>
      </c>
    </row>
    <row r="1054" spans="1:12" x14ac:dyDescent="0.25">
      <c r="A1054" t="s">
        <v>3280</v>
      </c>
      <c r="B1054" t="s">
        <v>3281</v>
      </c>
      <c r="F1054" t="s">
        <v>3282</v>
      </c>
      <c r="G1054" t="s">
        <v>123</v>
      </c>
      <c r="H1054" t="s">
        <v>51</v>
      </c>
      <c r="I1054" t="s">
        <v>124</v>
      </c>
      <c r="J1054" t="s">
        <v>125</v>
      </c>
      <c r="L1054" t="s">
        <v>1291</v>
      </c>
    </row>
    <row r="1055" spans="1:12" x14ac:dyDescent="0.25">
      <c r="A1055" t="s">
        <v>3283</v>
      </c>
      <c r="B1055" t="s">
        <v>3284</v>
      </c>
      <c r="F1055" t="s">
        <v>1593</v>
      </c>
      <c r="G1055" t="s">
        <v>123</v>
      </c>
      <c r="H1055" t="s">
        <v>51</v>
      </c>
      <c r="I1055" t="s">
        <v>124</v>
      </c>
      <c r="J1055" t="s">
        <v>125</v>
      </c>
      <c r="L1055" t="s">
        <v>1291</v>
      </c>
    </row>
    <row r="1056" spans="1:12" x14ac:dyDescent="0.25">
      <c r="A1056" t="s">
        <v>3285</v>
      </c>
      <c r="B1056" t="s">
        <v>3286</v>
      </c>
      <c r="F1056" t="s">
        <v>2123</v>
      </c>
      <c r="G1056" t="s">
        <v>123</v>
      </c>
      <c r="H1056" t="s">
        <v>51</v>
      </c>
      <c r="I1056" t="s">
        <v>124</v>
      </c>
      <c r="J1056" t="s">
        <v>125</v>
      </c>
      <c r="L1056" t="s">
        <v>1291</v>
      </c>
    </row>
    <row r="1057" spans="1:12" x14ac:dyDescent="0.25">
      <c r="A1057" t="s">
        <v>3287</v>
      </c>
      <c r="B1057" t="s">
        <v>3288</v>
      </c>
      <c r="F1057" t="s">
        <v>3289</v>
      </c>
      <c r="G1057" t="s">
        <v>123</v>
      </c>
      <c r="H1057" t="s">
        <v>51</v>
      </c>
      <c r="I1057" t="s">
        <v>124</v>
      </c>
      <c r="J1057" t="s">
        <v>125</v>
      </c>
      <c r="L1057" t="s">
        <v>1291</v>
      </c>
    </row>
    <row r="1058" spans="1:12" x14ac:dyDescent="0.25">
      <c r="A1058" t="s">
        <v>3290</v>
      </c>
      <c r="B1058" t="s">
        <v>3291</v>
      </c>
      <c r="F1058" t="s">
        <v>2004</v>
      </c>
      <c r="G1058" t="s">
        <v>123</v>
      </c>
      <c r="H1058" t="s">
        <v>51</v>
      </c>
      <c r="I1058" t="s">
        <v>124</v>
      </c>
      <c r="J1058" t="s">
        <v>125</v>
      </c>
      <c r="L1058" t="s">
        <v>1291</v>
      </c>
    </row>
    <row r="1059" spans="1:12" x14ac:dyDescent="0.25">
      <c r="A1059" t="s">
        <v>3292</v>
      </c>
      <c r="B1059" t="s">
        <v>916</v>
      </c>
      <c r="F1059" t="s">
        <v>885</v>
      </c>
      <c r="G1059" t="s">
        <v>123</v>
      </c>
      <c r="H1059" t="s">
        <v>51</v>
      </c>
      <c r="I1059" t="s">
        <v>124</v>
      </c>
      <c r="J1059" t="s">
        <v>125</v>
      </c>
      <c r="L1059" t="s">
        <v>1291</v>
      </c>
    </row>
    <row r="1060" spans="1:12" x14ac:dyDescent="0.25">
      <c r="A1060" t="s">
        <v>3293</v>
      </c>
      <c r="B1060" t="s">
        <v>3294</v>
      </c>
      <c r="F1060" t="s">
        <v>3295</v>
      </c>
      <c r="G1060" t="s">
        <v>123</v>
      </c>
      <c r="H1060" t="s">
        <v>51</v>
      </c>
      <c r="I1060" t="s">
        <v>124</v>
      </c>
      <c r="J1060" t="s">
        <v>125</v>
      </c>
      <c r="L1060" t="s">
        <v>1291</v>
      </c>
    </row>
    <row r="1061" spans="1:12" x14ac:dyDescent="0.25">
      <c r="A1061" t="s">
        <v>3296</v>
      </c>
      <c r="B1061" t="s">
        <v>3297</v>
      </c>
      <c r="F1061" t="s">
        <v>3062</v>
      </c>
      <c r="G1061" t="s">
        <v>123</v>
      </c>
      <c r="H1061" t="s">
        <v>51</v>
      </c>
      <c r="I1061" t="s">
        <v>124</v>
      </c>
      <c r="J1061" t="s">
        <v>125</v>
      </c>
      <c r="L1061" t="s">
        <v>1291</v>
      </c>
    </row>
    <row r="1062" spans="1:12" x14ac:dyDescent="0.25">
      <c r="A1062" t="s">
        <v>3298</v>
      </c>
      <c r="B1062" t="s">
        <v>3299</v>
      </c>
      <c r="F1062" t="s">
        <v>3300</v>
      </c>
      <c r="G1062" t="s">
        <v>123</v>
      </c>
      <c r="H1062" t="s">
        <v>51</v>
      </c>
      <c r="I1062" t="s">
        <v>124</v>
      </c>
      <c r="J1062" t="s">
        <v>125</v>
      </c>
      <c r="L1062" t="s">
        <v>1291</v>
      </c>
    </row>
    <row r="1063" spans="1:12" x14ac:dyDescent="0.25">
      <c r="A1063" t="s">
        <v>3301</v>
      </c>
      <c r="B1063" t="s">
        <v>3302</v>
      </c>
      <c r="F1063" t="s">
        <v>131</v>
      </c>
      <c r="G1063" t="s">
        <v>123</v>
      </c>
      <c r="H1063" t="s">
        <v>51</v>
      </c>
      <c r="I1063" t="s">
        <v>124</v>
      </c>
      <c r="J1063" t="s">
        <v>125</v>
      </c>
      <c r="L1063" t="s">
        <v>1291</v>
      </c>
    </row>
    <row r="1064" spans="1:12" x14ac:dyDescent="0.25">
      <c r="A1064" t="s">
        <v>3303</v>
      </c>
      <c r="B1064" t="s">
        <v>3304</v>
      </c>
      <c r="C1064" t="s">
        <v>3305</v>
      </c>
      <c r="F1064" t="s">
        <v>3306</v>
      </c>
      <c r="G1064" t="s">
        <v>50</v>
      </c>
      <c r="H1064" t="s">
        <v>51</v>
      </c>
      <c r="I1064" t="s">
        <v>136</v>
      </c>
      <c r="J1064" t="s">
        <v>3307</v>
      </c>
      <c r="L1064" t="s">
        <v>1271</v>
      </c>
    </row>
    <row r="1065" spans="1:12" x14ac:dyDescent="0.25">
      <c r="A1065" t="s">
        <v>3308</v>
      </c>
      <c r="B1065" t="s">
        <v>3309</v>
      </c>
      <c r="C1065" t="s">
        <v>3310</v>
      </c>
      <c r="F1065" t="s">
        <v>613</v>
      </c>
      <c r="G1065" t="s">
        <v>50</v>
      </c>
      <c r="H1065" t="s">
        <v>51</v>
      </c>
      <c r="I1065" t="s">
        <v>136</v>
      </c>
      <c r="J1065" t="s">
        <v>3307</v>
      </c>
      <c r="L1065" t="s">
        <v>1271</v>
      </c>
    </row>
    <row r="1066" spans="1:12" x14ac:dyDescent="0.25">
      <c r="A1066" t="s">
        <v>3311</v>
      </c>
      <c r="B1066" t="s">
        <v>3312</v>
      </c>
      <c r="C1066" t="s">
        <v>3313</v>
      </c>
      <c r="F1066" t="s">
        <v>526</v>
      </c>
      <c r="G1066" t="s">
        <v>50</v>
      </c>
      <c r="H1066" t="s">
        <v>51</v>
      </c>
      <c r="I1066" t="s">
        <v>136</v>
      </c>
      <c r="J1066" t="s">
        <v>3307</v>
      </c>
      <c r="L1066" t="s">
        <v>1271</v>
      </c>
    </row>
    <row r="1067" spans="1:12" x14ac:dyDescent="0.25">
      <c r="A1067" t="s">
        <v>3314</v>
      </c>
      <c r="B1067" t="s">
        <v>3315</v>
      </c>
      <c r="C1067" t="s">
        <v>3316</v>
      </c>
      <c r="F1067" t="s">
        <v>511</v>
      </c>
      <c r="G1067" t="s">
        <v>50</v>
      </c>
      <c r="H1067" t="s">
        <v>51</v>
      </c>
      <c r="I1067" t="s">
        <v>136</v>
      </c>
      <c r="J1067" t="s">
        <v>3307</v>
      </c>
      <c r="L1067" t="s">
        <v>1271</v>
      </c>
    </row>
    <row r="1068" spans="1:12" x14ac:dyDescent="0.25">
      <c r="A1068" t="s">
        <v>3317</v>
      </c>
      <c r="B1068" t="s">
        <v>3318</v>
      </c>
      <c r="C1068" t="s">
        <v>3319</v>
      </c>
      <c r="F1068" t="s">
        <v>350</v>
      </c>
      <c r="G1068" t="s">
        <v>50</v>
      </c>
      <c r="H1068" t="s">
        <v>51</v>
      </c>
      <c r="I1068" t="s">
        <v>136</v>
      </c>
      <c r="J1068" t="s">
        <v>3307</v>
      </c>
      <c r="L1068" t="s">
        <v>1271</v>
      </c>
    </row>
    <row r="1069" spans="1:12" x14ac:dyDescent="0.25">
      <c r="A1069" t="s">
        <v>3320</v>
      </c>
      <c r="B1069" t="s">
        <v>3321</v>
      </c>
      <c r="C1069" t="s">
        <v>3322</v>
      </c>
      <c r="F1069" t="s">
        <v>632</v>
      </c>
      <c r="G1069" t="s">
        <v>50</v>
      </c>
      <c r="H1069" t="s">
        <v>51</v>
      </c>
      <c r="I1069" t="s">
        <v>136</v>
      </c>
      <c r="J1069" t="s">
        <v>3307</v>
      </c>
      <c r="L1069" t="s">
        <v>1271</v>
      </c>
    </row>
    <row r="1070" spans="1:12" x14ac:dyDescent="0.25">
      <c r="A1070" t="s">
        <v>3323</v>
      </c>
      <c r="B1070" t="s">
        <v>3324</v>
      </c>
      <c r="C1070" t="s">
        <v>3325</v>
      </c>
      <c r="F1070" t="s">
        <v>468</v>
      </c>
      <c r="G1070" t="s">
        <v>50</v>
      </c>
      <c r="H1070" t="s">
        <v>51</v>
      </c>
      <c r="I1070" t="s">
        <v>136</v>
      </c>
      <c r="J1070" t="s">
        <v>3307</v>
      </c>
      <c r="L1070" t="s">
        <v>1271</v>
      </c>
    </row>
    <row r="1071" spans="1:12" x14ac:dyDescent="0.25">
      <c r="A1071" t="s">
        <v>3326</v>
      </c>
      <c r="B1071" t="s">
        <v>3327</v>
      </c>
      <c r="C1071" t="s">
        <v>3328</v>
      </c>
      <c r="F1071" t="s">
        <v>526</v>
      </c>
      <c r="G1071" t="s">
        <v>50</v>
      </c>
      <c r="H1071" t="s">
        <v>51</v>
      </c>
      <c r="I1071" t="s">
        <v>136</v>
      </c>
      <c r="J1071" t="s">
        <v>3307</v>
      </c>
      <c r="L1071" t="s">
        <v>1271</v>
      </c>
    </row>
    <row r="1072" spans="1:12" x14ac:dyDescent="0.25">
      <c r="A1072" t="s">
        <v>3329</v>
      </c>
      <c r="B1072" t="s">
        <v>3330</v>
      </c>
      <c r="C1072" t="s">
        <v>3331</v>
      </c>
      <c r="F1072" t="s">
        <v>981</v>
      </c>
      <c r="G1072" t="s">
        <v>50</v>
      </c>
      <c r="H1072" t="s">
        <v>51</v>
      </c>
      <c r="I1072" t="s">
        <v>136</v>
      </c>
      <c r="J1072" t="s">
        <v>3307</v>
      </c>
      <c r="L1072" t="s">
        <v>1271</v>
      </c>
    </row>
    <row r="1073" spans="1:12" x14ac:dyDescent="0.25">
      <c r="A1073" t="s">
        <v>3332</v>
      </c>
      <c r="B1073" t="s">
        <v>3333</v>
      </c>
      <c r="C1073" t="s">
        <v>3334</v>
      </c>
      <c r="F1073" t="s">
        <v>160</v>
      </c>
      <c r="G1073" t="s">
        <v>50</v>
      </c>
      <c r="H1073" t="s">
        <v>51</v>
      </c>
      <c r="I1073" t="s">
        <v>136</v>
      </c>
      <c r="J1073" t="s">
        <v>3307</v>
      </c>
      <c r="L1073" t="s">
        <v>1271</v>
      </c>
    </row>
    <row r="1074" spans="1:12" x14ac:dyDescent="0.25">
      <c r="A1074" t="s">
        <v>3335</v>
      </c>
      <c r="B1074" t="s">
        <v>3336</v>
      </c>
      <c r="C1074" t="s">
        <v>3337</v>
      </c>
      <c r="F1074" t="s">
        <v>3338</v>
      </c>
      <c r="G1074" t="s">
        <v>50</v>
      </c>
      <c r="H1074" t="s">
        <v>51</v>
      </c>
      <c r="I1074" t="s">
        <v>136</v>
      </c>
      <c r="J1074" t="s">
        <v>3307</v>
      </c>
      <c r="L1074" t="s">
        <v>1271</v>
      </c>
    </row>
    <row r="1075" spans="1:12" x14ac:dyDescent="0.25">
      <c r="A1075" t="s">
        <v>3339</v>
      </c>
      <c r="B1075" t="s">
        <v>3340</v>
      </c>
      <c r="C1075" t="s">
        <v>3341</v>
      </c>
      <c r="F1075" t="s">
        <v>3338</v>
      </c>
      <c r="G1075" t="s">
        <v>50</v>
      </c>
      <c r="H1075" t="s">
        <v>51</v>
      </c>
      <c r="I1075" t="s">
        <v>136</v>
      </c>
      <c r="J1075" t="s">
        <v>3307</v>
      </c>
      <c r="L1075" t="s">
        <v>1271</v>
      </c>
    </row>
    <row r="1076" spans="1:12" x14ac:dyDescent="0.25">
      <c r="A1076" t="s">
        <v>3342</v>
      </c>
      <c r="B1076" t="s">
        <v>3343</v>
      </c>
      <c r="C1076" t="s">
        <v>3344</v>
      </c>
      <c r="F1076" t="s">
        <v>1095</v>
      </c>
      <c r="G1076" t="s">
        <v>50</v>
      </c>
      <c r="H1076" t="s">
        <v>51</v>
      </c>
      <c r="I1076" t="s">
        <v>136</v>
      </c>
      <c r="J1076" t="s">
        <v>3307</v>
      </c>
      <c r="L1076" t="s">
        <v>1271</v>
      </c>
    </row>
    <row r="1077" spans="1:12" x14ac:dyDescent="0.25">
      <c r="A1077" t="s">
        <v>3345</v>
      </c>
      <c r="B1077" t="s">
        <v>3346</v>
      </c>
      <c r="C1077" t="s">
        <v>3347</v>
      </c>
      <c r="F1077" t="s">
        <v>3348</v>
      </c>
      <c r="G1077" t="s">
        <v>50</v>
      </c>
      <c r="H1077" t="s">
        <v>51</v>
      </c>
      <c r="I1077" t="s">
        <v>136</v>
      </c>
      <c r="J1077" t="s">
        <v>3307</v>
      </c>
      <c r="L1077" t="s">
        <v>1271</v>
      </c>
    </row>
    <row r="1078" spans="1:12" x14ac:dyDescent="0.25">
      <c r="A1078" t="s">
        <v>3349</v>
      </c>
      <c r="B1078" t="s">
        <v>3350</v>
      </c>
      <c r="C1078" t="s">
        <v>3351</v>
      </c>
      <c r="F1078" t="s">
        <v>849</v>
      </c>
      <c r="G1078" t="s">
        <v>50</v>
      </c>
      <c r="H1078" t="s">
        <v>51</v>
      </c>
      <c r="I1078" t="s">
        <v>136</v>
      </c>
      <c r="J1078" t="s">
        <v>3307</v>
      </c>
      <c r="L1078" t="s">
        <v>1271</v>
      </c>
    </row>
    <row r="1079" spans="1:12" x14ac:dyDescent="0.25">
      <c r="A1079" t="s">
        <v>3352</v>
      </c>
      <c r="B1079" t="s">
        <v>3353</v>
      </c>
      <c r="C1079" t="s">
        <v>3354</v>
      </c>
      <c r="F1079" t="s">
        <v>107</v>
      </c>
      <c r="G1079" t="s">
        <v>50</v>
      </c>
      <c r="H1079" t="s">
        <v>51</v>
      </c>
      <c r="I1079" t="s">
        <v>136</v>
      </c>
      <c r="J1079" t="s">
        <v>3307</v>
      </c>
      <c r="L1079" t="s">
        <v>1271</v>
      </c>
    </row>
    <row r="1080" spans="1:12" x14ac:dyDescent="0.25">
      <c r="A1080" t="s">
        <v>3355</v>
      </c>
      <c r="B1080" t="s">
        <v>3356</v>
      </c>
      <c r="C1080" t="s">
        <v>3357</v>
      </c>
      <c r="F1080" t="s">
        <v>292</v>
      </c>
      <c r="G1080" t="s">
        <v>50</v>
      </c>
      <c r="H1080" t="s">
        <v>51</v>
      </c>
      <c r="I1080" t="s">
        <v>136</v>
      </c>
      <c r="J1080" t="s">
        <v>3307</v>
      </c>
      <c r="L1080" t="s">
        <v>1271</v>
      </c>
    </row>
    <row r="1081" spans="1:12" x14ac:dyDescent="0.25">
      <c r="A1081" t="s">
        <v>3358</v>
      </c>
      <c r="B1081" t="s">
        <v>3359</v>
      </c>
      <c r="C1081" t="s">
        <v>3360</v>
      </c>
      <c r="F1081" t="s">
        <v>1028</v>
      </c>
      <c r="G1081" t="s">
        <v>50</v>
      </c>
      <c r="H1081" t="s">
        <v>51</v>
      </c>
      <c r="I1081" t="s">
        <v>136</v>
      </c>
      <c r="J1081" t="s">
        <v>3307</v>
      </c>
      <c r="L1081" t="s">
        <v>1271</v>
      </c>
    </row>
    <row r="1082" spans="1:12" x14ac:dyDescent="0.25">
      <c r="A1082" t="s">
        <v>3361</v>
      </c>
      <c r="B1082" t="s">
        <v>3362</v>
      </c>
      <c r="C1082" t="s">
        <v>3363</v>
      </c>
      <c r="F1082" t="s">
        <v>859</v>
      </c>
      <c r="G1082" t="s">
        <v>50</v>
      </c>
      <c r="H1082" t="s">
        <v>51</v>
      </c>
      <c r="I1082" t="s">
        <v>136</v>
      </c>
      <c r="J1082" t="s">
        <v>3307</v>
      </c>
      <c r="L1082" t="s">
        <v>1271</v>
      </c>
    </row>
    <row r="1083" spans="1:12" x14ac:dyDescent="0.25">
      <c r="A1083" t="s">
        <v>3364</v>
      </c>
      <c r="B1083" t="s">
        <v>3365</v>
      </c>
      <c r="C1083" t="s">
        <v>3366</v>
      </c>
      <c r="F1083" t="s">
        <v>671</v>
      </c>
      <c r="G1083" t="s">
        <v>50</v>
      </c>
      <c r="H1083" t="s">
        <v>51</v>
      </c>
      <c r="I1083" t="s">
        <v>136</v>
      </c>
      <c r="J1083" t="s">
        <v>3307</v>
      </c>
      <c r="L1083" t="s">
        <v>1271</v>
      </c>
    </row>
    <row r="1084" spans="1:12" x14ac:dyDescent="0.25">
      <c r="A1084" t="s">
        <v>3367</v>
      </c>
      <c r="B1084" t="s">
        <v>3368</v>
      </c>
      <c r="C1084" t="s">
        <v>3369</v>
      </c>
      <c r="F1084" t="s">
        <v>3370</v>
      </c>
      <c r="G1084" t="s">
        <v>50</v>
      </c>
      <c r="H1084" t="s">
        <v>51</v>
      </c>
      <c r="I1084" t="s">
        <v>136</v>
      </c>
      <c r="J1084" t="s">
        <v>3307</v>
      </c>
      <c r="L1084" t="s">
        <v>1271</v>
      </c>
    </row>
    <row r="1085" spans="1:12" x14ac:dyDescent="0.25">
      <c r="A1085" t="s">
        <v>3371</v>
      </c>
      <c r="B1085" t="s">
        <v>3372</v>
      </c>
      <c r="C1085" t="s">
        <v>3373</v>
      </c>
      <c r="F1085" t="s">
        <v>667</v>
      </c>
      <c r="G1085" t="s">
        <v>50</v>
      </c>
      <c r="H1085" t="s">
        <v>51</v>
      </c>
      <c r="I1085" t="s">
        <v>136</v>
      </c>
      <c r="J1085" t="s">
        <v>3307</v>
      </c>
      <c r="L1085" t="s">
        <v>1271</v>
      </c>
    </row>
    <row r="1086" spans="1:12" x14ac:dyDescent="0.25">
      <c r="A1086" t="s">
        <v>3374</v>
      </c>
      <c r="B1086" t="s">
        <v>3375</v>
      </c>
      <c r="C1086" t="s">
        <v>3376</v>
      </c>
      <c r="F1086" t="s">
        <v>667</v>
      </c>
      <c r="G1086" t="s">
        <v>50</v>
      </c>
      <c r="H1086" t="s">
        <v>51</v>
      </c>
      <c r="I1086" t="s">
        <v>136</v>
      </c>
      <c r="J1086" t="s">
        <v>3307</v>
      </c>
      <c r="L1086" t="s">
        <v>1271</v>
      </c>
    </row>
    <row r="1087" spans="1:12" x14ac:dyDescent="0.25">
      <c r="A1087" t="s">
        <v>3377</v>
      </c>
      <c r="B1087" t="s">
        <v>3378</v>
      </c>
      <c r="C1087" t="s">
        <v>3379</v>
      </c>
      <c r="F1087" t="s">
        <v>1024</v>
      </c>
      <c r="G1087" t="s">
        <v>50</v>
      </c>
      <c r="H1087" t="s">
        <v>51</v>
      </c>
      <c r="I1087" t="s">
        <v>136</v>
      </c>
      <c r="J1087" t="s">
        <v>3307</v>
      </c>
      <c r="L1087" t="s">
        <v>1271</v>
      </c>
    </row>
    <row r="1088" spans="1:12" x14ac:dyDescent="0.25">
      <c r="A1088" t="s">
        <v>3380</v>
      </c>
      <c r="B1088" t="s">
        <v>3381</v>
      </c>
      <c r="C1088" t="s">
        <v>3382</v>
      </c>
      <c r="F1088" t="s">
        <v>997</v>
      </c>
      <c r="G1088" t="s">
        <v>50</v>
      </c>
      <c r="H1088" t="s">
        <v>51</v>
      </c>
      <c r="I1088" t="s">
        <v>136</v>
      </c>
      <c r="J1088" t="s">
        <v>3307</v>
      </c>
      <c r="L1088" t="s">
        <v>1271</v>
      </c>
    </row>
    <row r="1089" spans="1:12" x14ac:dyDescent="0.25">
      <c r="A1089" t="s">
        <v>3383</v>
      </c>
      <c r="B1089" t="s">
        <v>3384</v>
      </c>
      <c r="C1089" t="s">
        <v>3385</v>
      </c>
      <c r="F1089" t="s">
        <v>3386</v>
      </c>
      <c r="G1089" t="s">
        <v>50</v>
      </c>
      <c r="H1089" t="s">
        <v>51</v>
      </c>
      <c r="I1089" t="s">
        <v>136</v>
      </c>
      <c r="J1089" t="s">
        <v>3307</v>
      </c>
      <c r="L1089" t="s">
        <v>1271</v>
      </c>
    </row>
    <row r="1090" spans="1:12" x14ac:dyDescent="0.25">
      <c r="A1090" t="s">
        <v>3387</v>
      </c>
      <c r="B1090" t="s">
        <v>2925</v>
      </c>
      <c r="C1090" t="s">
        <v>3388</v>
      </c>
      <c r="F1090" t="s">
        <v>1054</v>
      </c>
      <c r="G1090" t="s">
        <v>50</v>
      </c>
      <c r="H1090" t="s">
        <v>51</v>
      </c>
      <c r="I1090" t="s">
        <v>136</v>
      </c>
      <c r="J1090" t="s">
        <v>3307</v>
      </c>
      <c r="L1090" t="s">
        <v>1271</v>
      </c>
    </row>
    <row r="1091" spans="1:12" x14ac:dyDescent="0.25">
      <c r="A1091" t="s">
        <v>3389</v>
      </c>
      <c r="B1091" t="s">
        <v>3390</v>
      </c>
      <c r="C1091" t="s">
        <v>3391</v>
      </c>
      <c r="F1091" t="s">
        <v>1036</v>
      </c>
      <c r="G1091" t="s">
        <v>50</v>
      </c>
      <c r="H1091" t="s">
        <v>51</v>
      </c>
      <c r="I1091" t="s">
        <v>136</v>
      </c>
      <c r="J1091" t="s">
        <v>3307</v>
      </c>
      <c r="L1091" t="s">
        <v>1271</v>
      </c>
    </row>
    <row r="1092" spans="1:12" x14ac:dyDescent="0.25">
      <c r="A1092" t="s">
        <v>3392</v>
      </c>
      <c r="B1092" t="s">
        <v>3393</v>
      </c>
      <c r="C1092" t="s">
        <v>3394</v>
      </c>
      <c r="F1092" t="s">
        <v>671</v>
      </c>
      <c r="G1092" t="s">
        <v>50</v>
      </c>
      <c r="H1092" t="s">
        <v>51</v>
      </c>
      <c r="I1092" t="s">
        <v>136</v>
      </c>
      <c r="J1092" t="s">
        <v>3307</v>
      </c>
      <c r="L1092" t="s">
        <v>1271</v>
      </c>
    </row>
    <row r="1093" spans="1:12" x14ac:dyDescent="0.25">
      <c r="A1093" t="s">
        <v>3395</v>
      </c>
      <c r="B1093" t="s">
        <v>3396</v>
      </c>
      <c r="C1093" t="s">
        <v>3397</v>
      </c>
      <c r="F1093" t="s">
        <v>671</v>
      </c>
      <c r="G1093" t="s">
        <v>50</v>
      </c>
      <c r="H1093" t="s">
        <v>51</v>
      </c>
      <c r="I1093" t="s">
        <v>136</v>
      </c>
      <c r="J1093" t="s">
        <v>3307</v>
      </c>
      <c r="L1093" t="s">
        <v>1271</v>
      </c>
    </row>
    <row r="1094" spans="1:12" x14ac:dyDescent="0.25">
      <c r="A1094" t="s">
        <v>3398</v>
      </c>
      <c r="B1094" t="s">
        <v>3399</v>
      </c>
      <c r="C1094" t="s">
        <v>3400</v>
      </c>
      <c r="F1094" t="s">
        <v>640</v>
      </c>
      <c r="G1094" t="s">
        <v>50</v>
      </c>
      <c r="H1094" t="s">
        <v>51</v>
      </c>
      <c r="I1094" t="s">
        <v>136</v>
      </c>
      <c r="J1094" t="s">
        <v>3307</v>
      </c>
      <c r="L1094" t="s">
        <v>1271</v>
      </c>
    </row>
    <row r="1095" spans="1:12" x14ac:dyDescent="0.25">
      <c r="A1095" t="s">
        <v>3401</v>
      </c>
      <c r="B1095" t="s">
        <v>3402</v>
      </c>
      <c r="C1095" t="s">
        <v>3403</v>
      </c>
      <c r="F1095" t="s">
        <v>265</v>
      </c>
      <c r="G1095" t="s">
        <v>50</v>
      </c>
      <c r="H1095" t="s">
        <v>51</v>
      </c>
      <c r="I1095" t="s">
        <v>136</v>
      </c>
      <c r="J1095" t="s">
        <v>3307</v>
      </c>
      <c r="L1095" t="s">
        <v>1271</v>
      </c>
    </row>
    <row r="1096" spans="1:12" x14ac:dyDescent="0.25">
      <c r="A1096" t="s">
        <v>3404</v>
      </c>
      <c r="B1096" t="s">
        <v>3405</v>
      </c>
      <c r="C1096" t="s">
        <v>3406</v>
      </c>
      <c r="F1096" t="s">
        <v>310</v>
      </c>
      <c r="G1096" t="s">
        <v>50</v>
      </c>
      <c r="H1096" t="s">
        <v>51</v>
      </c>
      <c r="I1096" t="s">
        <v>136</v>
      </c>
      <c r="J1096" t="s">
        <v>3307</v>
      </c>
      <c r="L1096" t="s">
        <v>1271</v>
      </c>
    </row>
    <row r="1097" spans="1:12" x14ac:dyDescent="0.25">
      <c r="A1097" t="s">
        <v>3407</v>
      </c>
      <c r="B1097" t="s">
        <v>3408</v>
      </c>
      <c r="C1097" t="s">
        <v>3409</v>
      </c>
      <c r="F1097" t="s">
        <v>667</v>
      </c>
      <c r="G1097" t="s">
        <v>50</v>
      </c>
      <c r="H1097" t="s">
        <v>51</v>
      </c>
      <c r="I1097" t="s">
        <v>136</v>
      </c>
      <c r="J1097" t="s">
        <v>3307</v>
      </c>
      <c r="L1097" t="s">
        <v>1271</v>
      </c>
    </row>
    <row r="1098" spans="1:12" x14ac:dyDescent="0.25">
      <c r="A1098" t="s">
        <v>3410</v>
      </c>
      <c r="B1098" t="s">
        <v>3411</v>
      </c>
      <c r="C1098" t="s">
        <v>3412</v>
      </c>
      <c r="F1098" t="s">
        <v>346</v>
      </c>
      <c r="G1098" t="s">
        <v>50</v>
      </c>
      <c r="H1098" t="s">
        <v>51</v>
      </c>
      <c r="I1098" t="s">
        <v>136</v>
      </c>
      <c r="J1098" t="s">
        <v>3307</v>
      </c>
      <c r="L1098" t="s">
        <v>1271</v>
      </c>
    </row>
    <row r="1099" spans="1:12" x14ac:dyDescent="0.25">
      <c r="A1099" t="s">
        <v>3413</v>
      </c>
      <c r="B1099" t="s">
        <v>297</v>
      </c>
      <c r="C1099" t="s">
        <v>3414</v>
      </c>
      <c r="F1099" t="s">
        <v>292</v>
      </c>
      <c r="G1099" t="s">
        <v>50</v>
      </c>
      <c r="H1099" t="s">
        <v>51</v>
      </c>
      <c r="I1099" t="s">
        <v>136</v>
      </c>
      <c r="J1099" t="s">
        <v>3307</v>
      </c>
      <c r="L1099" t="s">
        <v>1271</v>
      </c>
    </row>
    <row r="1100" spans="1:12" x14ac:dyDescent="0.25">
      <c r="A1100" t="s">
        <v>3415</v>
      </c>
      <c r="B1100" t="s">
        <v>3416</v>
      </c>
      <c r="C1100" t="s">
        <v>3417</v>
      </c>
      <c r="F1100" t="s">
        <v>413</v>
      </c>
      <c r="G1100" t="s">
        <v>50</v>
      </c>
      <c r="H1100" t="s">
        <v>51</v>
      </c>
      <c r="I1100" t="s">
        <v>136</v>
      </c>
      <c r="J1100" t="s">
        <v>3307</v>
      </c>
      <c r="L1100" t="s">
        <v>1271</v>
      </c>
    </row>
    <row r="1101" spans="1:12" x14ac:dyDescent="0.25">
      <c r="A1101" t="s">
        <v>3418</v>
      </c>
      <c r="B1101" t="s">
        <v>3419</v>
      </c>
      <c r="C1101" t="s">
        <v>3420</v>
      </c>
      <c r="F1101" t="s">
        <v>413</v>
      </c>
      <c r="G1101" t="s">
        <v>50</v>
      </c>
      <c r="H1101" t="s">
        <v>51</v>
      </c>
      <c r="I1101" t="s">
        <v>136</v>
      </c>
      <c r="J1101" t="s">
        <v>3307</v>
      </c>
      <c r="L1101" t="s">
        <v>1271</v>
      </c>
    </row>
    <row r="1102" spans="1:12" x14ac:dyDescent="0.25">
      <c r="A1102" t="s">
        <v>3421</v>
      </c>
      <c r="B1102" t="s">
        <v>3422</v>
      </c>
      <c r="C1102" t="s">
        <v>3423</v>
      </c>
      <c r="F1102" t="s">
        <v>667</v>
      </c>
      <c r="G1102" t="s">
        <v>50</v>
      </c>
      <c r="H1102" t="s">
        <v>51</v>
      </c>
      <c r="I1102" t="s">
        <v>136</v>
      </c>
      <c r="J1102" t="s">
        <v>3307</v>
      </c>
      <c r="L1102" t="s">
        <v>1271</v>
      </c>
    </row>
    <row r="1103" spans="1:12" x14ac:dyDescent="0.25">
      <c r="A1103" t="s">
        <v>3424</v>
      </c>
      <c r="B1103" t="s">
        <v>3362</v>
      </c>
      <c r="C1103" t="s">
        <v>3425</v>
      </c>
      <c r="F1103" t="s">
        <v>859</v>
      </c>
      <c r="G1103" t="s">
        <v>50</v>
      </c>
      <c r="H1103" t="s">
        <v>51</v>
      </c>
      <c r="I1103" t="s">
        <v>136</v>
      </c>
      <c r="J1103" t="s">
        <v>3307</v>
      </c>
      <c r="L1103" t="s">
        <v>1271</v>
      </c>
    </row>
    <row r="1104" spans="1:12" x14ac:dyDescent="0.25">
      <c r="A1104" t="s">
        <v>3426</v>
      </c>
      <c r="B1104" t="s">
        <v>3427</v>
      </c>
      <c r="C1104" t="s">
        <v>3428</v>
      </c>
      <c r="F1104" t="s">
        <v>314</v>
      </c>
      <c r="G1104" t="s">
        <v>50</v>
      </c>
      <c r="H1104" t="s">
        <v>51</v>
      </c>
      <c r="I1104" t="s">
        <v>136</v>
      </c>
      <c r="J1104" t="s">
        <v>3307</v>
      </c>
      <c r="L1104" t="s">
        <v>1271</v>
      </c>
    </row>
    <row r="1105" spans="1:12" x14ac:dyDescent="0.25">
      <c r="A1105" t="s">
        <v>3429</v>
      </c>
      <c r="B1105" t="s">
        <v>3430</v>
      </c>
      <c r="C1105" t="s">
        <v>3431</v>
      </c>
      <c r="F1105" t="s">
        <v>303</v>
      </c>
      <c r="G1105" t="s">
        <v>50</v>
      </c>
      <c r="H1105" t="s">
        <v>51</v>
      </c>
      <c r="I1105" t="s">
        <v>136</v>
      </c>
      <c r="J1105" t="s">
        <v>3307</v>
      </c>
      <c r="L1105" t="s">
        <v>1271</v>
      </c>
    </row>
    <row r="1106" spans="1:12" x14ac:dyDescent="0.25">
      <c r="A1106" t="s">
        <v>3432</v>
      </c>
      <c r="B1106" t="s">
        <v>3433</v>
      </c>
      <c r="C1106" t="s">
        <v>3434</v>
      </c>
      <c r="F1106" t="s">
        <v>160</v>
      </c>
      <c r="G1106" t="s">
        <v>50</v>
      </c>
      <c r="H1106" t="s">
        <v>51</v>
      </c>
      <c r="I1106" t="s">
        <v>136</v>
      </c>
      <c r="J1106" t="s">
        <v>3307</v>
      </c>
      <c r="L1106" t="s">
        <v>1271</v>
      </c>
    </row>
    <row r="1107" spans="1:12" x14ac:dyDescent="0.25">
      <c r="A1107" t="s">
        <v>3435</v>
      </c>
      <c r="B1107" t="s">
        <v>3436</v>
      </c>
      <c r="C1107" t="s">
        <v>3437</v>
      </c>
      <c r="F1107" t="s">
        <v>292</v>
      </c>
      <c r="G1107" t="s">
        <v>50</v>
      </c>
      <c r="H1107" t="s">
        <v>51</v>
      </c>
      <c r="I1107" t="s">
        <v>136</v>
      </c>
      <c r="J1107" t="s">
        <v>3307</v>
      </c>
      <c r="L1107" t="s">
        <v>1271</v>
      </c>
    </row>
    <row r="1108" spans="1:12" x14ac:dyDescent="0.25">
      <c r="A1108" t="s">
        <v>3438</v>
      </c>
      <c r="B1108" t="s">
        <v>3439</v>
      </c>
      <c r="C1108" t="s">
        <v>3440</v>
      </c>
      <c r="F1108" t="s">
        <v>667</v>
      </c>
      <c r="G1108" t="s">
        <v>50</v>
      </c>
      <c r="H1108" t="s">
        <v>51</v>
      </c>
      <c r="I1108" t="s">
        <v>136</v>
      </c>
      <c r="J1108" t="s">
        <v>3307</v>
      </c>
      <c r="L1108" t="s">
        <v>1271</v>
      </c>
    </row>
    <row r="1109" spans="1:12" x14ac:dyDescent="0.25">
      <c r="A1109" t="s">
        <v>3441</v>
      </c>
      <c r="B1109" t="s">
        <v>3442</v>
      </c>
      <c r="C1109" t="s">
        <v>3443</v>
      </c>
      <c r="F1109" t="s">
        <v>100</v>
      </c>
      <c r="G1109" t="s">
        <v>50</v>
      </c>
      <c r="H1109" t="s">
        <v>51</v>
      </c>
      <c r="I1109" t="s">
        <v>136</v>
      </c>
      <c r="J1109" t="s">
        <v>3307</v>
      </c>
      <c r="L1109" t="s">
        <v>1271</v>
      </c>
    </row>
    <row r="1110" spans="1:12" x14ac:dyDescent="0.25">
      <c r="A1110" t="s">
        <v>3444</v>
      </c>
      <c r="B1110" t="s">
        <v>3445</v>
      </c>
      <c r="C1110" t="s">
        <v>3446</v>
      </c>
      <c r="F1110" t="s">
        <v>3306</v>
      </c>
      <c r="G1110" t="s">
        <v>50</v>
      </c>
      <c r="H1110" t="s">
        <v>51</v>
      </c>
      <c r="I1110" t="s">
        <v>136</v>
      </c>
      <c r="J1110" t="s">
        <v>3307</v>
      </c>
      <c r="L1110" t="s">
        <v>1271</v>
      </c>
    </row>
    <row r="1111" spans="1:12" x14ac:dyDescent="0.25">
      <c r="A1111" t="s">
        <v>3447</v>
      </c>
      <c r="B1111" t="s">
        <v>3448</v>
      </c>
      <c r="C1111" t="s">
        <v>3449</v>
      </c>
      <c r="F1111" t="s">
        <v>667</v>
      </c>
      <c r="G1111" t="s">
        <v>50</v>
      </c>
      <c r="H1111" t="s">
        <v>51</v>
      </c>
      <c r="I1111" t="s">
        <v>136</v>
      </c>
      <c r="J1111" t="s">
        <v>3307</v>
      </c>
      <c r="L1111" t="s">
        <v>1271</v>
      </c>
    </row>
    <row r="1112" spans="1:12" x14ac:dyDescent="0.25">
      <c r="A1112" t="s">
        <v>3450</v>
      </c>
      <c r="B1112" t="s">
        <v>3451</v>
      </c>
      <c r="C1112" t="s">
        <v>3452</v>
      </c>
      <c r="F1112" t="s">
        <v>107</v>
      </c>
      <c r="G1112" t="s">
        <v>50</v>
      </c>
      <c r="H1112" t="s">
        <v>51</v>
      </c>
      <c r="I1112" t="s">
        <v>136</v>
      </c>
      <c r="J1112" t="s">
        <v>3307</v>
      </c>
      <c r="L1112" t="s">
        <v>1271</v>
      </c>
    </row>
    <row r="1113" spans="1:12" x14ac:dyDescent="0.25">
      <c r="A1113" t="s">
        <v>3453</v>
      </c>
      <c r="B1113" t="s">
        <v>3454</v>
      </c>
      <c r="C1113" t="s">
        <v>3455</v>
      </c>
      <c r="F1113" t="s">
        <v>310</v>
      </c>
      <c r="G1113" t="s">
        <v>50</v>
      </c>
      <c r="H1113" t="s">
        <v>51</v>
      </c>
      <c r="I1113" t="s">
        <v>136</v>
      </c>
      <c r="J1113" t="s">
        <v>3307</v>
      </c>
      <c r="L1113" t="s">
        <v>1271</v>
      </c>
    </row>
    <row r="1114" spans="1:12" x14ac:dyDescent="0.25">
      <c r="A1114" t="s">
        <v>3456</v>
      </c>
      <c r="B1114" t="s">
        <v>3457</v>
      </c>
      <c r="F1114" t="s">
        <v>1140</v>
      </c>
      <c r="G1114" t="s">
        <v>50</v>
      </c>
      <c r="H1114" t="s">
        <v>51</v>
      </c>
      <c r="I1114" t="s">
        <v>3458</v>
      </c>
      <c r="J1114" t="s">
        <v>3459</v>
      </c>
      <c r="L1114" t="s">
        <v>3460</v>
      </c>
    </row>
    <row r="1115" spans="1:12" x14ac:dyDescent="0.25">
      <c r="A1115" t="s">
        <v>3461</v>
      </c>
      <c r="B1115" t="s">
        <v>3462</v>
      </c>
      <c r="F1115" t="s">
        <v>743</v>
      </c>
      <c r="G1115" t="s">
        <v>50</v>
      </c>
      <c r="H1115" t="s">
        <v>51</v>
      </c>
      <c r="I1115" t="s">
        <v>3463</v>
      </c>
      <c r="J1115" t="s">
        <v>945</v>
      </c>
      <c r="L1115" t="s">
        <v>1684</v>
      </c>
    </row>
    <row r="1116" spans="1:12" x14ac:dyDescent="0.25">
      <c r="A1116" t="s">
        <v>3464</v>
      </c>
      <c r="B1116" t="s">
        <v>3465</v>
      </c>
      <c r="C1116" t="s">
        <v>3466</v>
      </c>
      <c r="F1116" t="s">
        <v>1127</v>
      </c>
      <c r="G1116" t="s">
        <v>50</v>
      </c>
      <c r="H1116" t="s">
        <v>51</v>
      </c>
      <c r="I1116" t="s">
        <v>3467</v>
      </c>
      <c r="J1116" t="s">
        <v>3468</v>
      </c>
      <c r="L1116" t="s">
        <v>1271</v>
      </c>
    </row>
    <row r="1117" spans="1:12" x14ac:dyDescent="0.25">
      <c r="A1117" t="s">
        <v>3469</v>
      </c>
      <c r="C1117" t="s">
        <v>3470</v>
      </c>
      <c r="E1117" t="s">
        <v>3471</v>
      </c>
      <c r="F1117" t="s">
        <v>66</v>
      </c>
      <c r="G1117" t="s">
        <v>50</v>
      </c>
      <c r="H1117" t="s">
        <v>51</v>
      </c>
      <c r="I1117" t="s">
        <v>3467</v>
      </c>
      <c r="J1117" t="s">
        <v>3468</v>
      </c>
      <c r="L1117" t="s">
        <v>1271</v>
      </c>
    </row>
    <row r="1118" spans="1:12" x14ac:dyDescent="0.25">
      <c r="A1118" t="s">
        <v>3472</v>
      </c>
      <c r="B1118" t="s">
        <v>3473</v>
      </c>
      <c r="C1118" t="s">
        <v>3474</v>
      </c>
      <c r="F1118" t="s">
        <v>115</v>
      </c>
      <c r="G1118" t="s">
        <v>50</v>
      </c>
      <c r="H1118" t="s">
        <v>51</v>
      </c>
      <c r="I1118" t="s">
        <v>3467</v>
      </c>
      <c r="J1118" t="s">
        <v>3468</v>
      </c>
      <c r="L1118" t="s">
        <v>1271</v>
      </c>
    </row>
    <row r="1119" spans="1:12" x14ac:dyDescent="0.25">
      <c r="A1119" t="s">
        <v>3475</v>
      </c>
      <c r="B1119" t="s">
        <v>3476</v>
      </c>
      <c r="C1119" t="s">
        <v>3477</v>
      </c>
      <c r="F1119" t="s">
        <v>3478</v>
      </c>
      <c r="G1119" t="s">
        <v>50</v>
      </c>
      <c r="H1119" t="s">
        <v>51</v>
      </c>
      <c r="I1119" t="s">
        <v>3467</v>
      </c>
      <c r="J1119" t="s">
        <v>3468</v>
      </c>
      <c r="L1119" t="s">
        <v>1271</v>
      </c>
    </row>
    <row r="1120" spans="1:12" x14ac:dyDescent="0.25">
      <c r="A1120" t="s">
        <v>3479</v>
      </c>
      <c r="B1120" t="s">
        <v>3480</v>
      </c>
      <c r="C1120" t="s">
        <v>3481</v>
      </c>
      <c r="F1120" t="s">
        <v>1127</v>
      </c>
      <c r="G1120" t="s">
        <v>50</v>
      </c>
      <c r="H1120" t="s">
        <v>51</v>
      </c>
      <c r="I1120" t="s">
        <v>3467</v>
      </c>
      <c r="J1120" t="s">
        <v>3468</v>
      </c>
      <c r="L1120" t="s">
        <v>1271</v>
      </c>
    </row>
    <row r="1121" spans="1:12" x14ac:dyDescent="0.25">
      <c r="A1121" t="s">
        <v>3482</v>
      </c>
      <c r="B1121" t="s">
        <v>3483</v>
      </c>
      <c r="C1121" t="s">
        <v>3484</v>
      </c>
      <c r="F1121" t="s">
        <v>115</v>
      </c>
      <c r="G1121" t="s">
        <v>50</v>
      </c>
      <c r="H1121" t="s">
        <v>51</v>
      </c>
      <c r="I1121" t="s">
        <v>3467</v>
      </c>
      <c r="J1121" t="s">
        <v>3468</v>
      </c>
      <c r="L1121" t="s">
        <v>1271</v>
      </c>
    </row>
    <row r="1122" spans="1:12" x14ac:dyDescent="0.25">
      <c r="A1122" t="s">
        <v>3485</v>
      </c>
      <c r="B1122" t="s">
        <v>3486</v>
      </c>
      <c r="C1122" t="s">
        <v>3487</v>
      </c>
      <c r="F1122" t="s">
        <v>115</v>
      </c>
      <c r="G1122" t="s">
        <v>50</v>
      </c>
      <c r="H1122" t="s">
        <v>51</v>
      </c>
      <c r="I1122" t="s">
        <v>3467</v>
      </c>
      <c r="J1122" t="s">
        <v>3468</v>
      </c>
      <c r="L1122" t="s">
        <v>1271</v>
      </c>
    </row>
    <row r="1123" spans="1:12" x14ac:dyDescent="0.25">
      <c r="A1123" t="s">
        <v>3488</v>
      </c>
      <c r="B1123" t="s">
        <v>3489</v>
      </c>
      <c r="C1123" t="s">
        <v>3490</v>
      </c>
      <c r="F1123" t="s">
        <v>78</v>
      </c>
      <c r="G1123" t="s">
        <v>50</v>
      </c>
      <c r="H1123" t="s">
        <v>51</v>
      </c>
      <c r="I1123" t="s">
        <v>3467</v>
      </c>
      <c r="J1123" t="s">
        <v>3468</v>
      </c>
      <c r="L1123" t="s">
        <v>1271</v>
      </c>
    </row>
    <row r="1124" spans="1:12" x14ac:dyDescent="0.25">
      <c r="A1124" t="s">
        <v>3491</v>
      </c>
      <c r="B1124" t="s">
        <v>3492</v>
      </c>
      <c r="F1124" t="s">
        <v>2709</v>
      </c>
      <c r="G1124" t="s">
        <v>50</v>
      </c>
      <c r="H1124" t="s">
        <v>51</v>
      </c>
      <c r="I1124" t="s">
        <v>3493</v>
      </c>
      <c r="J1124" t="s">
        <v>3494</v>
      </c>
      <c r="L1124" t="s">
        <v>1271</v>
      </c>
    </row>
    <row r="1125" spans="1:12" x14ac:dyDescent="0.25">
      <c r="A1125" t="s">
        <v>3495</v>
      </c>
      <c r="B1125" t="s">
        <v>3496</v>
      </c>
      <c r="F1125" t="s">
        <v>2418</v>
      </c>
      <c r="G1125" t="s">
        <v>2419</v>
      </c>
      <c r="H1125" t="s">
        <v>51</v>
      </c>
      <c r="I1125" t="s">
        <v>2420</v>
      </c>
      <c r="J1125" t="s">
        <v>2421</v>
      </c>
      <c r="L1125" t="s">
        <v>1271</v>
      </c>
    </row>
    <row r="1126" spans="1:12" x14ac:dyDescent="0.25">
      <c r="A1126" t="s">
        <v>3497</v>
      </c>
      <c r="B1126" t="s">
        <v>3498</v>
      </c>
      <c r="F1126" t="s">
        <v>3499</v>
      </c>
      <c r="G1126" t="s">
        <v>2419</v>
      </c>
      <c r="H1126" t="s">
        <v>51</v>
      </c>
      <c r="I1126" t="s">
        <v>2420</v>
      </c>
      <c r="J1126" t="s">
        <v>2421</v>
      </c>
      <c r="L1126" t="s">
        <v>1271</v>
      </c>
    </row>
    <row r="1127" spans="1:12" x14ac:dyDescent="0.25">
      <c r="A1127" t="s">
        <v>3500</v>
      </c>
      <c r="B1127" t="s">
        <v>3501</v>
      </c>
      <c r="F1127" t="s">
        <v>703</v>
      </c>
      <c r="G1127" t="s">
        <v>50</v>
      </c>
      <c r="H1127" t="s">
        <v>51</v>
      </c>
      <c r="I1127" t="s">
        <v>3502</v>
      </c>
      <c r="J1127" t="s">
        <v>3503</v>
      </c>
      <c r="L1127" t="s">
        <v>1271</v>
      </c>
    </row>
    <row r="1128" spans="1:12" x14ac:dyDescent="0.25">
      <c r="A1128" t="s">
        <v>3504</v>
      </c>
      <c r="B1128" t="s">
        <v>3505</v>
      </c>
      <c r="F1128" t="s">
        <v>3213</v>
      </c>
      <c r="G1128" t="s">
        <v>50</v>
      </c>
      <c r="H1128" t="s">
        <v>51</v>
      </c>
      <c r="I1128" t="s">
        <v>3506</v>
      </c>
      <c r="J1128" t="s">
        <v>945</v>
      </c>
      <c r="L1128" t="s">
        <v>1271</v>
      </c>
    </row>
    <row r="1129" spans="1:12" x14ac:dyDescent="0.25">
      <c r="A1129" t="s">
        <v>3507</v>
      </c>
      <c r="B1129" t="s">
        <v>3508</v>
      </c>
      <c r="F1129" t="s">
        <v>3213</v>
      </c>
      <c r="G1129" t="s">
        <v>50</v>
      </c>
      <c r="H1129" t="s">
        <v>51</v>
      </c>
      <c r="I1129" t="s">
        <v>3506</v>
      </c>
      <c r="J1129" t="s">
        <v>945</v>
      </c>
      <c r="L1129" t="s">
        <v>1271</v>
      </c>
    </row>
    <row r="1130" spans="1:12" x14ac:dyDescent="0.25">
      <c r="A1130" t="s">
        <v>3509</v>
      </c>
      <c r="B1130" t="s">
        <v>3510</v>
      </c>
      <c r="F1130" t="s">
        <v>1160</v>
      </c>
      <c r="G1130" t="s">
        <v>50</v>
      </c>
      <c r="H1130" t="s">
        <v>51</v>
      </c>
      <c r="I1130" t="s">
        <v>3506</v>
      </c>
      <c r="J1130" t="s">
        <v>945</v>
      </c>
      <c r="L1130" t="s">
        <v>1271</v>
      </c>
    </row>
    <row r="1131" spans="1:12" x14ac:dyDescent="0.25">
      <c r="A1131" t="s">
        <v>3511</v>
      </c>
      <c r="B1131" t="s">
        <v>3512</v>
      </c>
      <c r="F1131" t="s">
        <v>115</v>
      </c>
      <c r="G1131" t="s">
        <v>50</v>
      </c>
      <c r="H1131" t="s">
        <v>51</v>
      </c>
      <c r="I1131" t="s">
        <v>3506</v>
      </c>
      <c r="J1131" t="s">
        <v>945</v>
      </c>
      <c r="L1131" t="s">
        <v>1271</v>
      </c>
    </row>
    <row r="1132" spans="1:12" x14ac:dyDescent="0.25">
      <c r="A1132" t="s">
        <v>3513</v>
      </c>
      <c r="B1132" t="s">
        <v>3514</v>
      </c>
      <c r="C1132" t="s">
        <v>3515</v>
      </c>
      <c r="F1132" t="s">
        <v>1828</v>
      </c>
      <c r="G1132" t="s">
        <v>1681</v>
      </c>
      <c r="H1132" t="s">
        <v>51</v>
      </c>
      <c r="I1132" t="s">
        <v>1682</v>
      </c>
      <c r="J1132" t="s">
        <v>1683</v>
      </c>
      <c r="L1132" t="s">
        <v>1429</v>
      </c>
    </row>
    <row r="1133" spans="1:12" x14ac:dyDescent="0.25">
      <c r="A1133" t="s">
        <v>3516</v>
      </c>
      <c r="B1133" t="s">
        <v>3517</v>
      </c>
      <c r="C1133" t="s">
        <v>3518</v>
      </c>
      <c r="F1133" t="s">
        <v>3519</v>
      </c>
      <c r="G1133" t="s">
        <v>1681</v>
      </c>
      <c r="H1133" t="s">
        <v>51</v>
      </c>
      <c r="I1133" t="s">
        <v>1682</v>
      </c>
      <c r="J1133" t="s">
        <v>1683</v>
      </c>
      <c r="L1133" t="s">
        <v>1429</v>
      </c>
    </row>
    <row r="1134" spans="1:12" x14ac:dyDescent="0.25">
      <c r="A1134" t="s">
        <v>3520</v>
      </c>
      <c r="B1134" t="s">
        <v>3521</v>
      </c>
      <c r="C1134" t="s">
        <v>3522</v>
      </c>
      <c r="F1134" t="s">
        <v>2632</v>
      </c>
      <c r="G1134" t="s">
        <v>1681</v>
      </c>
      <c r="H1134" t="s">
        <v>51</v>
      </c>
      <c r="I1134" t="s">
        <v>1682</v>
      </c>
      <c r="J1134" t="s">
        <v>1683</v>
      </c>
      <c r="L1134" t="s">
        <v>1429</v>
      </c>
    </row>
    <row r="1135" spans="1:12" x14ac:dyDescent="0.25">
      <c r="A1135" t="s">
        <v>3523</v>
      </c>
      <c r="B1135" t="s">
        <v>3524</v>
      </c>
      <c r="C1135" t="s">
        <v>3525</v>
      </c>
      <c r="F1135" t="s">
        <v>3519</v>
      </c>
      <c r="G1135" t="s">
        <v>1681</v>
      </c>
      <c r="H1135" t="s">
        <v>51</v>
      </c>
      <c r="I1135" t="s">
        <v>1682</v>
      </c>
      <c r="J1135" t="s">
        <v>1683</v>
      </c>
      <c r="L1135" t="s">
        <v>1429</v>
      </c>
    </row>
    <row r="1136" spans="1:12" x14ac:dyDescent="0.25">
      <c r="A1136" t="s">
        <v>3526</v>
      </c>
      <c r="B1136" t="s">
        <v>3527</v>
      </c>
      <c r="C1136" t="s">
        <v>3528</v>
      </c>
      <c r="F1136" t="s">
        <v>3529</v>
      </c>
      <c r="G1136" t="s">
        <v>1681</v>
      </c>
      <c r="H1136" t="s">
        <v>51</v>
      </c>
      <c r="I1136" t="s">
        <v>1682</v>
      </c>
      <c r="J1136" t="s">
        <v>3530</v>
      </c>
      <c r="L1136" t="s">
        <v>1684</v>
      </c>
    </row>
    <row r="1137" spans="1:12" x14ac:dyDescent="0.25">
      <c r="A1137" t="s">
        <v>3531</v>
      </c>
      <c r="B1137" t="s">
        <v>3532</v>
      </c>
      <c r="F1137" t="s">
        <v>2004</v>
      </c>
      <c r="G1137" t="s">
        <v>1681</v>
      </c>
      <c r="H1137" t="s">
        <v>51</v>
      </c>
      <c r="I1137" t="s">
        <v>1682</v>
      </c>
      <c r="J1137" t="s">
        <v>3530</v>
      </c>
      <c r="L1137" t="s">
        <v>1684</v>
      </c>
    </row>
    <row r="1138" spans="1:12" x14ac:dyDescent="0.25">
      <c r="A1138" t="s">
        <v>3533</v>
      </c>
      <c r="B1138" t="s">
        <v>3534</v>
      </c>
      <c r="C1138" t="s">
        <v>3535</v>
      </c>
      <c r="F1138" t="s">
        <v>3536</v>
      </c>
      <c r="G1138" t="s">
        <v>1681</v>
      </c>
      <c r="H1138" t="s">
        <v>51</v>
      </c>
      <c r="I1138" t="s">
        <v>1682</v>
      </c>
      <c r="J1138" t="s">
        <v>3530</v>
      </c>
      <c r="L1138" t="s">
        <v>1684</v>
      </c>
    </row>
    <row r="1139" spans="1:12" x14ac:dyDescent="0.25">
      <c r="A1139" t="s">
        <v>3537</v>
      </c>
      <c r="B1139" t="s">
        <v>3527</v>
      </c>
      <c r="C1139" t="s">
        <v>3538</v>
      </c>
      <c r="F1139" t="s">
        <v>3529</v>
      </c>
      <c r="G1139" t="s">
        <v>1681</v>
      </c>
      <c r="H1139" t="s">
        <v>51</v>
      </c>
      <c r="I1139" t="s">
        <v>1682</v>
      </c>
      <c r="J1139" t="s">
        <v>3530</v>
      </c>
      <c r="L1139" t="s">
        <v>1684</v>
      </c>
    </row>
    <row r="1140" spans="1:12" x14ac:dyDescent="0.25">
      <c r="A1140" t="s">
        <v>3539</v>
      </c>
      <c r="B1140" t="s">
        <v>3540</v>
      </c>
      <c r="C1140" t="s">
        <v>3541</v>
      </c>
      <c r="F1140" t="s">
        <v>3542</v>
      </c>
      <c r="G1140" t="s">
        <v>1681</v>
      </c>
      <c r="H1140" t="s">
        <v>51</v>
      </c>
      <c r="I1140" t="s">
        <v>1682</v>
      </c>
      <c r="J1140" t="s">
        <v>1683</v>
      </c>
      <c r="L1140" t="s">
        <v>1684</v>
      </c>
    </row>
    <row r="1141" spans="1:12" x14ac:dyDescent="0.25">
      <c r="A1141" t="s">
        <v>3543</v>
      </c>
      <c r="B1141" t="s">
        <v>3544</v>
      </c>
      <c r="C1141" t="s">
        <v>3545</v>
      </c>
      <c r="F1141" t="s">
        <v>1385</v>
      </c>
      <c r="G1141" t="s">
        <v>1681</v>
      </c>
      <c r="H1141" t="s">
        <v>51</v>
      </c>
      <c r="I1141" t="s">
        <v>1682</v>
      </c>
      <c r="J1141" t="s">
        <v>1683</v>
      </c>
      <c r="L1141" t="s">
        <v>1684</v>
      </c>
    </row>
    <row r="1142" spans="1:12" x14ac:dyDescent="0.25">
      <c r="A1142" t="s">
        <v>3546</v>
      </c>
      <c r="B1142" t="s">
        <v>3547</v>
      </c>
      <c r="C1142" t="s">
        <v>3548</v>
      </c>
      <c r="F1142" t="s">
        <v>3549</v>
      </c>
      <c r="G1142" t="s">
        <v>1681</v>
      </c>
      <c r="H1142" t="s">
        <v>51</v>
      </c>
      <c r="I1142" t="s">
        <v>1682</v>
      </c>
      <c r="J1142" t="s">
        <v>1683</v>
      </c>
      <c r="L1142" t="s">
        <v>1684</v>
      </c>
    </row>
    <row r="1143" spans="1:12" x14ac:dyDescent="0.25">
      <c r="A1143" t="s">
        <v>3550</v>
      </c>
      <c r="B1143" t="s">
        <v>3551</v>
      </c>
      <c r="F1143" t="s">
        <v>2099</v>
      </c>
      <c r="G1143" t="s">
        <v>1681</v>
      </c>
      <c r="H1143" t="s">
        <v>51</v>
      </c>
      <c r="I1143" t="s">
        <v>1682</v>
      </c>
      <c r="J1143" t="s">
        <v>1683</v>
      </c>
      <c r="L1143" t="s">
        <v>1684</v>
      </c>
    </row>
    <row r="1144" spans="1:12" x14ac:dyDescent="0.25">
      <c r="A1144" t="s">
        <v>3552</v>
      </c>
      <c r="B1144" t="s">
        <v>3553</v>
      </c>
      <c r="C1144" t="s">
        <v>3554</v>
      </c>
      <c r="F1144" t="s">
        <v>3555</v>
      </c>
      <c r="G1144" t="s">
        <v>1681</v>
      </c>
      <c r="H1144" t="s">
        <v>51</v>
      </c>
      <c r="I1144" t="s">
        <v>1682</v>
      </c>
      <c r="J1144" t="s">
        <v>1683</v>
      </c>
      <c r="L1144" t="s">
        <v>1684</v>
      </c>
    </row>
    <row r="1145" spans="1:12" x14ac:dyDescent="0.25">
      <c r="A1145" t="s">
        <v>3556</v>
      </c>
      <c r="B1145" t="s">
        <v>3557</v>
      </c>
      <c r="C1145" t="s">
        <v>3558</v>
      </c>
      <c r="F1145" t="s">
        <v>515</v>
      </c>
      <c r="G1145" t="s">
        <v>1681</v>
      </c>
      <c r="H1145" t="s">
        <v>51</v>
      </c>
      <c r="I1145" t="s">
        <v>1682</v>
      </c>
      <c r="J1145" t="s">
        <v>1683</v>
      </c>
      <c r="L1145" t="s">
        <v>1684</v>
      </c>
    </row>
    <row r="1146" spans="1:12" x14ac:dyDescent="0.25">
      <c r="A1146" t="s">
        <v>3559</v>
      </c>
      <c r="B1146" t="s">
        <v>3560</v>
      </c>
      <c r="C1146" t="s">
        <v>3561</v>
      </c>
      <c r="F1146" t="s">
        <v>3562</v>
      </c>
      <c r="G1146" t="s">
        <v>1681</v>
      </c>
      <c r="H1146" t="s">
        <v>51</v>
      </c>
      <c r="I1146" t="s">
        <v>1682</v>
      </c>
      <c r="J1146" t="s">
        <v>1683</v>
      </c>
      <c r="L1146" t="s">
        <v>1684</v>
      </c>
    </row>
    <row r="1147" spans="1:12" x14ac:dyDescent="0.25">
      <c r="A1147" t="s">
        <v>3563</v>
      </c>
      <c r="B1147" t="s">
        <v>3564</v>
      </c>
      <c r="C1147" t="s">
        <v>3565</v>
      </c>
      <c r="F1147" t="s">
        <v>3549</v>
      </c>
      <c r="G1147" t="s">
        <v>1681</v>
      </c>
      <c r="H1147" t="s">
        <v>51</v>
      </c>
      <c r="I1147" t="s">
        <v>1682</v>
      </c>
      <c r="J1147" t="s">
        <v>1683</v>
      </c>
      <c r="L1147" t="s">
        <v>1684</v>
      </c>
    </row>
    <row r="1148" spans="1:12" x14ac:dyDescent="0.25">
      <c r="A1148" t="s">
        <v>3566</v>
      </c>
      <c r="B1148" t="s">
        <v>3567</v>
      </c>
      <c r="C1148" t="s">
        <v>3568</v>
      </c>
      <c r="F1148" t="s">
        <v>3569</v>
      </c>
      <c r="G1148" t="s">
        <v>1681</v>
      </c>
      <c r="H1148" t="s">
        <v>51</v>
      </c>
      <c r="I1148" t="s">
        <v>1682</v>
      </c>
      <c r="J1148" t="s">
        <v>1683</v>
      </c>
      <c r="L1148" t="s">
        <v>1684</v>
      </c>
    </row>
    <row r="1149" spans="1:12" x14ac:dyDescent="0.25">
      <c r="A1149" t="s">
        <v>3570</v>
      </c>
      <c r="B1149" t="s">
        <v>3571</v>
      </c>
      <c r="C1149" t="s">
        <v>3572</v>
      </c>
      <c r="F1149" t="s">
        <v>3555</v>
      </c>
      <c r="G1149" t="s">
        <v>1681</v>
      </c>
      <c r="H1149" t="s">
        <v>51</v>
      </c>
      <c r="I1149" t="s">
        <v>1682</v>
      </c>
      <c r="J1149" t="s">
        <v>1683</v>
      </c>
      <c r="L1149" t="s">
        <v>1684</v>
      </c>
    </row>
    <row r="1150" spans="1:12" x14ac:dyDescent="0.25">
      <c r="A1150" t="s">
        <v>3573</v>
      </c>
      <c r="B1150" t="s">
        <v>3547</v>
      </c>
      <c r="C1150" t="s">
        <v>3574</v>
      </c>
      <c r="F1150" t="s">
        <v>3549</v>
      </c>
      <c r="G1150" t="s">
        <v>1681</v>
      </c>
      <c r="H1150" t="s">
        <v>51</v>
      </c>
      <c r="I1150" t="s">
        <v>1682</v>
      </c>
      <c r="J1150" t="s">
        <v>1683</v>
      </c>
      <c r="L1150" t="s">
        <v>1684</v>
      </c>
    </row>
    <row r="1151" spans="1:12" x14ac:dyDescent="0.25">
      <c r="A1151" t="s">
        <v>3575</v>
      </c>
      <c r="B1151" t="s">
        <v>3576</v>
      </c>
      <c r="C1151" t="s">
        <v>3577</v>
      </c>
      <c r="F1151" t="s">
        <v>515</v>
      </c>
      <c r="G1151" t="s">
        <v>1681</v>
      </c>
      <c r="H1151" t="s">
        <v>51</v>
      </c>
      <c r="I1151" t="s">
        <v>1682</v>
      </c>
      <c r="J1151" t="s">
        <v>1683</v>
      </c>
      <c r="L1151" t="s">
        <v>1684</v>
      </c>
    </row>
    <row r="1152" spans="1:12" x14ac:dyDescent="0.25">
      <c r="A1152" t="s">
        <v>3578</v>
      </c>
      <c r="B1152" t="s">
        <v>3579</v>
      </c>
      <c r="C1152" t="s">
        <v>3580</v>
      </c>
      <c r="F1152" t="s">
        <v>3581</v>
      </c>
      <c r="G1152" t="s">
        <v>1681</v>
      </c>
      <c r="H1152" t="s">
        <v>51</v>
      </c>
      <c r="I1152" t="s">
        <v>1682</v>
      </c>
      <c r="J1152" t="s">
        <v>1683</v>
      </c>
      <c r="L1152" t="s">
        <v>1684</v>
      </c>
    </row>
    <row r="1153" spans="1:12" x14ac:dyDescent="0.25">
      <c r="A1153" t="s">
        <v>3582</v>
      </c>
      <c r="B1153" t="s">
        <v>3583</v>
      </c>
      <c r="F1153" t="s">
        <v>3584</v>
      </c>
      <c r="G1153" t="s">
        <v>1681</v>
      </c>
      <c r="H1153" t="s">
        <v>51</v>
      </c>
      <c r="I1153" t="s">
        <v>1682</v>
      </c>
      <c r="J1153" t="s">
        <v>3585</v>
      </c>
      <c r="L1153" t="s">
        <v>1291</v>
      </c>
    </row>
    <row r="1154" spans="1:12" x14ac:dyDescent="0.25">
      <c r="A1154" t="s">
        <v>3586</v>
      </c>
      <c r="B1154" t="s">
        <v>3587</v>
      </c>
      <c r="C1154" t="s">
        <v>3588</v>
      </c>
      <c r="F1154" t="s">
        <v>1593</v>
      </c>
      <c r="G1154" t="s">
        <v>1681</v>
      </c>
      <c r="H1154" t="s">
        <v>51</v>
      </c>
      <c r="I1154" t="s">
        <v>1682</v>
      </c>
      <c r="J1154" t="s">
        <v>3585</v>
      </c>
      <c r="L1154" t="s">
        <v>1291</v>
      </c>
    </row>
    <row r="1155" spans="1:12" x14ac:dyDescent="0.25">
      <c r="A1155" t="s">
        <v>3589</v>
      </c>
      <c r="B1155" t="s">
        <v>3590</v>
      </c>
      <c r="C1155" t="s">
        <v>3591</v>
      </c>
      <c r="F1155" t="s">
        <v>3584</v>
      </c>
      <c r="G1155" t="s">
        <v>1681</v>
      </c>
      <c r="H1155" t="s">
        <v>51</v>
      </c>
      <c r="I1155" t="s">
        <v>1682</v>
      </c>
      <c r="J1155" t="s">
        <v>3585</v>
      </c>
      <c r="L1155" t="s">
        <v>1291</v>
      </c>
    </row>
    <row r="1156" spans="1:12" x14ac:dyDescent="0.25">
      <c r="A1156" t="s">
        <v>3592</v>
      </c>
      <c r="B1156" t="s">
        <v>3593</v>
      </c>
      <c r="C1156" t="s">
        <v>3594</v>
      </c>
      <c r="F1156" t="s">
        <v>1929</v>
      </c>
      <c r="G1156" t="s">
        <v>1681</v>
      </c>
      <c r="H1156" t="s">
        <v>51</v>
      </c>
      <c r="I1156" t="s">
        <v>1682</v>
      </c>
      <c r="J1156" t="s">
        <v>3585</v>
      </c>
      <c r="L1156" t="s">
        <v>1291</v>
      </c>
    </row>
    <row r="1157" spans="1:12" x14ac:dyDescent="0.25">
      <c r="A1157" t="s">
        <v>3595</v>
      </c>
      <c r="B1157" t="s">
        <v>3587</v>
      </c>
      <c r="C1157" t="s">
        <v>3596</v>
      </c>
      <c r="F1157" t="s">
        <v>1593</v>
      </c>
      <c r="G1157" t="s">
        <v>1681</v>
      </c>
      <c r="H1157" t="s">
        <v>51</v>
      </c>
      <c r="I1157" t="s">
        <v>1682</v>
      </c>
      <c r="J1157" t="s">
        <v>3585</v>
      </c>
      <c r="L1157" t="s">
        <v>1291</v>
      </c>
    </row>
    <row r="1158" spans="1:12" x14ac:dyDescent="0.25">
      <c r="A1158" t="s">
        <v>3597</v>
      </c>
      <c r="B1158" t="s">
        <v>3583</v>
      </c>
      <c r="C1158" t="s">
        <v>3598</v>
      </c>
      <c r="F1158" t="s">
        <v>3584</v>
      </c>
      <c r="G1158" t="s">
        <v>1681</v>
      </c>
      <c r="H1158" t="s">
        <v>51</v>
      </c>
      <c r="I1158" t="s">
        <v>1682</v>
      </c>
      <c r="J1158" t="s">
        <v>3585</v>
      </c>
      <c r="L1158" t="s">
        <v>1291</v>
      </c>
    </row>
    <row r="1159" spans="1:12" x14ac:dyDescent="0.25">
      <c r="A1159" t="s">
        <v>3599</v>
      </c>
      <c r="B1159" t="s">
        <v>3600</v>
      </c>
      <c r="C1159" t="s">
        <v>3601</v>
      </c>
      <c r="F1159" t="s">
        <v>3602</v>
      </c>
      <c r="G1159" t="s">
        <v>1681</v>
      </c>
      <c r="H1159" t="s">
        <v>51</v>
      </c>
      <c r="I1159" t="s">
        <v>1682</v>
      </c>
      <c r="J1159" t="s">
        <v>1683</v>
      </c>
      <c r="L1159" t="s">
        <v>1291</v>
      </c>
    </row>
    <row r="1160" spans="1:12" x14ac:dyDescent="0.25">
      <c r="A1160" t="s">
        <v>3603</v>
      </c>
      <c r="B1160" t="s">
        <v>3604</v>
      </c>
      <c r="C1160" t="s">
        <v>3605</v>
      </c>
      <c r="F1160" t="s">
        <v>3606</v>
      </c>
      <c r="G1160" t="s">
        <v>1681</v>
      </c>
      <c r="H1160" t="s">
        <v>51</v>
      </c>
      <c r="I1160" t="s">
        <v>1682</v>
      </c>
      <c r="J1160" t="s">
        <v>1683</v>
      </c>
      <c r="L1160" t="s">
        <v>1291</v>
      </c>
    </row>
    <row r="1161" spans="1:12" x14ac:dyDescent="0.25">
      <c r="A1161" t="s">
        <v>3607</v>
      </c>
      <c r="B1161" t="s">
        <v>3608</v>
      </c>
      <c r="C1161" t="s">
        <v>3609</v>
      </c>
      <c r="F1161" t="s">
        <v>3602</v>
      </c>
      <c r="G1161" t="s">
        <v>1681</v>
      </c>
      <c r="H1161" t="s">
        <v>51</v>
      </c>
      <c r="I1161" t="s">
        <v>1682</v>
      </c>
      <c r="J1161" t="s">
        <v>1683</v>
      </c>
      <c r="L1161" t="s">
        <v>1291</v>
      </c>
    </row>
    <row r="1162" spans="1:12" x14ac:dyDescent="0.25">
      <c r="A1162" t="s">
        <v>3610</v>
      </c>
      <c r="B1162" t="s">
        <v>3611</v>
      </c>
      <c r="C1162" t="s">
        <v>3612</v>
      </c>
      <c r="F1162" t="s">
        <v>3613</v>
      </c>
      <c r="G1162" t="s">
        <v>1681</v>
      </c>
      <c r="H1162" t="s">
        <v>51</v>
      </c>
      <c r="I1162" t="s">
        <v>1682</v>
      </c>
      <c r="J1162" t="s">
        <v>1683</v>
      </c>
      <c r="L1162" t="s">
        <v>1684</v>
      </c>
    </row>
    <row r="1163" spans="1:12" x14ac:dyDescent="0.25">
      <c r="A1163" t="s">
        <v>3614</v>
      </c>
      <c r="B1163" t="s">
        <v>3615</v>
      </c>
      <c r="C1163" t="s">
        <v>3616</v>
      </c>
      <c r="F1163" t="s">
        <v>1593</v>
      </c>
      <c r="G1163" t="s">
        <v>1681</v>
      </c>
      <c r="H1163" t="s">
        <v>51</v>
      </c>
      <c r="I1163" t="s">
        <v>1682</v>
      </c>
      <c r="J1163" t="s">
        <v>1683</v>
      </c>
      <c r="L1163" t="s">
        <v>1684</v>
      </c>
    </row>
    <row r="1164" spans="1:12" x14ac:dyDescent="0.25">
      <c r="A1164" t="s">
        <v>3617</v>
      </c>
      <c r="B1164" t="s">
        <v>3618</v>
      </c>
      <c r="C1164" t="s">
        <v>3619</v>
      </c>
      <c r="F1164" t="s">
        <v>1590</v>
      </c>
      <c r="G1164" t="s">
        <v>1681</v>
      </c>
      <c r="H1164" t="s">
        <v>51</v>
      </c>
      <c r="I1164" t="s">
        <v>1682</v>
      </c>
      <c r="J1164" t="s">
        <v>1683</v>
      </c>
      <c r="L1164" t="s">
        <v>1684</v>
      </c>
    </row>
    <row r="1165" spans="1:12" x14ac:dyDescent="0.25">
      <c r="A1165" t="s">
        <v>3620</v>
      </c>
      <c r="B1165" t="s">
        <v>3621</v>
      </c>
      <c r="C1165" t="s">
        <v>3622</v>
      </c>
      <c r="F1165" t="s">
        <v>3581</v>
      </c>
      <c r="G1165" t="s">
        <v>1681</v>
      </c>
      <c r="H1165" t="s">
        <v>51</v>
      </c>
      <c r="I1165" t="s">
        <v>1682</v>
      </c>
      <c r="J1165" t="s">
        <v>1683</v>
      </c>
      <c r="L1165" t="s">
        <v>1684</v>
      </c>
    </row>
    <row r="1166" spans="1:12" x14ac:dyDescent="0.25">
      <c r="A1166" t="s">
        <v>3623</v>
      </c>
      <c r="B1166" t="s">
        <v>3624</v>
      </c>
      <c r="C1166" t="s">
        <v>3625</v>
      </c>
      <c r="F1166" t="s">
        <v>3626</v>
      </c>
      <c r="G1166" t="s">
        <v>1681</v>
      </c>
      <c r="H1166" t="s">
        <v>51</v>
      </c>
      <c r="I1166" t="s">
        <v>1682</v>
      </c>
      <c r="J1166" t="s">
        <v>1683</v>
      </c>
      <c r="L1166" t="s">
        <v>1684</v>
      </c>
    </row>
    <row r="1167" spans="1:12" x14ac:dyDescent="0.25">
      <c r="A1167" t="s">
        <v>3627</v>
      </c>
      <c r="B1167" t="s">
        <v>3628</v>
      </c>
      <c r="C1167" t="s">
        <v>3629</v>
      </c>
      <c r="F1167" t="s">
        <v>3630</v>
      </c>
      <c r="G1167" t="s">
        <v>1681</v>
      </c>
      <c r="H1167" t="s">
        <v>51</v>
      </c>
      <c r="I1167" t="s">
        <v>1682</v>
      </c>
      <c r="J1167" t="s">
        <v>1683</v>
      </c>
      <c r="L1167" t="s">
        <v>1684</v>
      </c>
    </row>
    <row r="1168" spans="1:12" x14ac:dyDescent="0.25">
      <c r="A1168" t="s">
        <v>3631</v>
      </c>
      <c r="B1168" t="s">
        <v>3632</v>
      </c>
      <c r="F1168" t="s">
        <v>82</v>
      </c>
      <c r="G1168" t="s">
        <v>50</v>
      </c>
      <c r="H1168" t="s">
        <v>51</v>
      </c>
      <c r="I1168" t="s">
        <v>3633</v>
      </c>
      <c r="J1168" t="s">
        <v>3634</v>
      </c>
      <c r="L1168" t="s">
        <v>1684</v>
      </c>
    </row>
    <row r="1169" spans="1:12" x14ac:dyDescent="0.25">
      <c r="A1169" t="s">
        <v>3635</v>
      </c>
      <c r="B1169" t="s">
        <v>3636</v>
      </c>
      <c r="C1169" t="s">
        <v>3637</v>
      </c>
      <c r="F1169" t="s">
        <v>515</v>
      </c>
      <c r="G1169" t="s">
        <v>1681</v>
      </c>
      <c r="H1169" t="s">
        <v>51</v>
      </c>
      <c r="I1169" t="s">
        <v>1682</v>
      </c>
      <c r="J1169" t="s">
        <v>1683</v>
      </c>
      <c r="L1169" t="s">
        <v>1684</v>
      </c>
    </row>
    <row r="1170" spans="1:12" x14ac:dyDescent="0.25">
      <c r="A1170" t="s">
        <v>3638</v>
      </c>
      <c r="B1170" t="s">
        <v>3576</v>
      </c>
      <c r="C1170" t="s">
        <v>3639</v>
      </c>
      <c r="F1170" t="s">
        <v>515</v>
      </c>
      <c r="G1170" t="s">
        <v>1681</v>
      </c>
      <c r="H1170" t="s">
        <v>51</v>
      </c>
      <c r="I1170" t="s">
        <v>1682</v>
      </c>
      <c r="J1170" t="s">
        <v>1683</v>
      </c>
      <c r="L1170" t="s">
        <v>1684</v>
      </c>
    </row>
    <row r="1171" spans="1:12" x14ac:dyDescent="0.25">
      <c r="A1171" t="s">
        <v>3640</v>
      </c>
      <c r="B1171" t="s">
        <v>3547</v>
      </c>
      <c r="C1171" t="s">
        <v>3641</v>
      </c>
      <c r="F1171" t="s">
        <v>3549</v>
      </c>
      <c r="G1171" t="s">
        <v>1681</v>
      </c>
      <c r="H1171" t="s">
        <v>51</v>
      </c>
      <c r="I1171" t="s">
        <v>1682</v>
      </c>
      <c r="J1171" t="s">
        <v>1683</v>
      </c>
      <c r="L1171" t="s">
        <v>1684</v>
      </c>
    </row>
    <row r="1172" spans="1:12" x14ac:dyDescent="0.25">
      <c r="A1172" t="s">
        <v>3642</v>
      </c>
      <c r="B1172" t="s">
        <v>3643</v>
      </c>
      <c r="C1172" t="s">
        <v>3644</v>
      </c>
      <c r="F1172" t="s">
        <v>2632</v>
      </c>
      <c r="G1172" t="s">
        <v>1681</v>
      </c>
      <c r="H1172" t="s">
        <v>51</v>
      </c>
      <c r="I1172" t="s">
        <v>1682</v>
      </c>
      <c r="J1172" t="s">
        <v>1683</v>
      </c>
      <c r="L1172" t="s">
        <v>1684</v>
      </c>
    </row>
    <row r="1173" spans="1:12" x14ac:dyDescent="0.25">
      <c r="A1173" t="s">
        <v>3645</v>
      </c>
      <c r="B1173" t="s">
        <v>3646</v>
      </c>
      <c r="C1173" t="s">
        <v>3647</v>
      </c>
      <c r="F1173" t="s">
        <v>3648</v>
      </c>
      <c r="G1173" t="s">
        <v>1681</v>
      </c>
      <c r="H1173" t="s">
        <v>51</v>
      </c>
      <c r="I1173" t="s">
        <v>1682</v>
      </c>
      <c r="J1173" t="s">
        <v>1683</v>
      </c>
      <c r="L1173" t="s">
        <v>1684</v>
      </c>
    </row>
    <row r="1174" spans="1:12" x14ac:dyDescent="0.25">
      <c r="A1174" t="s">
        <v>3649</v>
      </c>
      <c r="B1174" t="s">
        <v>3650</v>
      </c>
      <c r="C1174" t="s">
        <v>3651</v>
      </c>
      <c r="F1174" t="s">
        <v>131</v>
      </c>
      <c r="G1174" t="s">
        <v>1681</v>
      </c>
      <c r="H1174" t="s">
        <v>51</v>
      </c>
      <c r="I1174" t="s">
        <v>1682</v>
      </c>
      <c r="J1174" t="s">
        <v>1683</v>
      </c>
      <c r="L1174" t="s">
        <v>1684</v>
      </c>
    </row>
    <row r="1175" spans="1:12" x14ac:dyDescent="0.25">
      <c r="A1175" t="s">
        <v>3652</v>
      </c>
      <c r="B1175" t="s">
        <v>3593</v>
      </c>
      <c r="C1175" t="s">
        <v>3653</v>
      </c>
      <c r="F1175" t="s">
        <v>3654</v>
      </c>
      <c r="G1175" t="s">
        <v>1681</v>
      </c>
      <c r="H1175" t="s">
        <v>51</v>
      </c>
      <c r="I1175" t="s">
        <v>1682</v>
      </c>
      <c r="J1175" t="s">
        <v>1683</v>
      </c>
      <c r="L1175" t="s">
        <v>1684</v>
      </c>
    </row>
    <row r="1176" spans="1:12" x14ac:dyDescent="0.25">
      <c r="A1176" t="s">
        <v>3655</v>
      </c>
      <c r="B1176" t="s">
        <v>3656</v>
      </c>
      <c r="C1176" t="s">
        <v>3657</v>
      </c>
      <c r="F1176" t="s">
        <v>1760</v>
      </c>
      <c r="G1176" t="s">
        <v>1681</v>
      </c>
      <c r="H1176" t="s">
        <v>51</v>
      </c>
      <c r="I1176" t="s">
        <v>1682</v>
      </c>
      <c r="J1176" t="s">
        <v>1683</v>
      </c>
      <c r="L1176" t="s">
        <v>1684</v>
      </c>
    </row>
    <row r="1177" spans="1:12" x14ac:dyDescent="0.25">
      <c r="A1177" t="s">
        <v>3658</v>
      </c>
      <c r="B1177" t="s">
        <v>3659</v>
      </c>
      <c r="C1177" t="s">
        <v>3660</v>
      </c>
      <c r="F1177" t="s">
        <v>131</v>
      </c>
      <c r="G1177" t="s">
        <v>1681</v>
      </c>
      <c r="H1177" t="s">
        <v>51</v>
      </c>
      <c r="I1177" t="s">
        <v>1682</v>
      </c>
      <c r="J1177" t="s">
        <v>1683</v>
      </c>
      <c r="L1177" t="s">
        <v>1684</v>
      </c>
    </row>
    <row r="1178" spans="1:12" x14ac:dyDescent="0.25">
      <c r="A1178" t="s">
        <v>3661</v>
      </c>
      <c r="B1178" t="s">
        <v>3662</v>
      </c>
      <c r="C1178" t="s">
        <v>3663</v>
      </c>
      <c r="F1178" t="s">
        <v>515</v>
      </c>
      <c r="G1178" t="s">
        <v>1681</v>
      </c>
      <c r="H1178" t="s">
        <v>51</v>
      </c>
      <c r="I1178" t="s">
        <v>1682</v>
      </c>
      <c r="J1178" t="s">
        <v>1683</v>
      </c>
      <c r="L1178" t="s">
        <v>1684</v>
      </c>
    </row>
    <row r="1179" spans="1:12" x14ac:dyDescent="0.25">
      <c r="A1179" t="s">
        <v>3664</v>
      </c>
      <c r="B1179" t="s">
        <v>3665</v>
      </c>
      <c r="C1179" t="s">
        <v>3666</v>
      </c>
      <c r="F1179" t="s">
        <v>3542</v>
      </c>
      <c r="G1179" t="s">
        <v>1681</v>
      </c>
      <c r="H1179" t="s">
        <v>51</v>
      </c>
      <c r="I1179" t="s">
        <v>1682</v>
      </c>
      <c r="J1179" t="s">
        <v>1683</v>
      </c>
      <c r="L1179" t="s">
        <v>1684</v>
      </c>
    </row>
    <row r="1180" spans="1:12" x14ac:dyDescent="0.25">
      <c r="A1180" t="s">
        <v>3667</v>
      </c>
      <c r="B1180" t="s">
        <v>3668</v>
      </c>
      <c r="C1180" t="s">
        <v>3669</v>
      </c>
      <c r="F1180" t="s">
        <v>515</v>
      </c>
      <c r="G1180" t="s">
        <v>1681</v>
      </c>
      <c r="H1180" t="s">
        <v>51</v>
      </c>
      <c r="I1180" t="s">
        <v>1682</v>
      </c>
      <c r="J1180" t="s">
        <v>1683</v>
      </c>
      <c r="L1180" t="s">
        <v>1684</v>
      </c>
    </row>
    <row r="1181" spans="1:12" x14ac:dyDescent="0.25">
      <c r="A1181" t="s">
        <v>3670</v>
      </c>
      <c r="B1181" t="s">
        <v>3656</v>
      </c>
      <c r="C1181" t="s">
        <v>3657</v>
      </c>
      <c r="F1181" t="s">
        <v>1760</v>
      </c>
      <c r="G1181" t="s">
        <v>1681</v>
      </c>
      <c r="H1181" t="s">
        <v>51</v>
      </c>
      <c r="I1181" t="s">
        <v>1682</v>
      </c>
      <c r="J1181" t="s">
        <v>1683</v>
      </c>
      <c r="L1181" t="s">
        <v>1684</v>
      </c>
    </row>
    <row r="1182" spans="1:12" x14ac:dyDescent="0.25">
      <c r="A1182" t="s">
        <v>3671</v>
      </c>
      <c r="B1182" t="s">
        <v>3662</v>
      </c>
      <c r="C1182" t="s">
        <v>3672</v>
      </c>
      <c r="F1182" t="s">
        <v>515</v>
      </c>
      <c r="G1182" t="s">
        <v>1681</v>
      </c>
      <c r="H1182" t="s">
        <v>51</v>
      </c>
      <c r="I1182" t="s">
        <v>1682</v>
      </c>
      <c r="J1182" t="s">
        <v>1683</v>
      </c>
      <c r="L1182" t="s">
        <v>1684</v>
      </c>
    </row>
    <row r="1183" spans="1:12" x14ac:dyDescent="0.25">
      <c r="A1183" t="s">
        <v>3673</v>
      </c>
      <c r="B1183" t="s">
        <v>3668</v>
      </c>
      <c r="C1183" t="s">
        <v>3669</v>
      </c>
      <c r="F1183" t="s">
        <v>515</v>
      </c>
      <c r="G1183" t="s">
        <v>1681</v>
      </c>
      <c r="H1183" t="s">
        <v>51</v>
      </c>
      <c r="I1183" t="s">
        <v>1682</v>
      </c>
      <c r="J1183" t="s">
        <v>1683</v>
      </c>
      <c r="L1183" t="s">
        <v>1684</v>
      </c>
    </row>
    <row r="1184" spans="1:12" x14ac:dyDescent="0.25">
      <c r="A1184" t="s">
        <v>3674</v>
      </c>
      <c r="B1184" t="s">
        <v>3675</v>
      </c>
      <c r="C1184" t="s">
        <v>3676</v>
      </c>
      <c r="F1184" t="s">
        <v>2950</v>
      </c>
      <c r="G1184" t="s">
        <v>1722</v>
      </c>
      <c r="H1184" t="s">
        <v>51</v>
      </c>
      <c r="I1184" t="s">
        <v>1723</v>
      </c>
      <c r="J1184" t="s">
        <v>2289</v>
      </c>
      <c r="L1184" t="s">
        <v>2290</v>
      </c>
    </row>
    <row r="1185" spans="1:12" x14ac:dyDescent="0.25">
      <c r="A1185" t="s">
        <v>3677</v>
      </c>
      <c r="B1185" t="s">
        <v>3678</v>
      </c>
      <c r="C1185" t="s">
        <v>3679</v>
      </c>
      <c r="F1185" t="s">
        <v>2950</v>
      </c>
      <c r="G1185" t="s">
        <v>1722</v>
      </c>
      <c r="H1185" t="s">
        <v>51</v>
      </c>
      <c r="I1185" t="s">
        <v>1723</v>
      </c>
      <c r="J1185" t="s">
        <v>2289</v>
      </c>
      <c r="L1185" t="s">
        <v>2290</v>
      </c>
    </row>
    <row r="1186" spans="1:12" x14ac:dyDescent="0.25">
      <c r="A1186" t="s">
        <v>3680</v>
      </c>
      <c r="B1186" t="s">
        <v>3681</v>
      </c>
      <c r="C1186" t="s">
        <v>3682</v>
      </c>
      <c r="F1186" t="s">
        <v>1742</v>
      </c>
      <c r="G1186" t="s">
        <v>1722</v>
      </c>
      <c r="H1186" t="s">
        <v>51</v>
      </c>
      <c r="I1186" t="s">
        <v>1723</v>
      </c>
      <c r="J1186" t="s">
        <v>2289</v>
      </c>
      <c r="L1186" t="s">
        <v>2290</v>
      </c>
    </row>
    <row r="1187" spans="1:12" x14ac:dyDescent="0.25">
      <c r="A1187" t="s">
        <v>3683</v>
      </c>
      <c r="B1187" t="s">
        <v>3684</v>
      </c>
      <c r="C1187" t="s">
        <v>3685</v>
      </c>
      <c r="F1187" t="s">
        <v>1742</v>
      </c>
      <c r="G1187" t="s">
        <v>1722</v>
      </c>
      <c r="H1187" t="s">
        <v>51</v>
      </c>
      <c r="I1187" t="s">
        <v>1723</v>
      </c>
      <c r="J1187" t="s">
        <v>2289</v>
      </c>
      <c r="L1187" t="s">
        <v>2290</v>
      </c>
    </row>
    <row r="1188" spans="1:12" x14ac:dyDescent="0.25">
      <c r="A1188" t="s">
        <v>3686</v>
      </c>
      <c r="B1188" t="s">
        <v>3687</v>
      </c>
      <c r="C1188" t="s">
        <v>3688</v>
      </c>
      <c r="F1188" t="s">
        <v>2306</v>
      </c>
      <c r="G1188" t="s">
        <v>1722</v>
      </c>
      <c r="H1188" t="s">
        <v>51</v>
      </c>
      <c r="I1188" t="s">
        <v>1723</v>
      </c>
      <c r="J1188" t="s">
        <v>2289</v>
      </c>
      <c r="L1188" t="s">
        <v>2290</v>
      </c>
    </row>
    <row r="1189" spans="1:12" x14ac:dyDescent="0.25">
      <c r="A1189" t="s">
        <v>3689</v>
      </c>
      <c r="B1189" t="s">
        <v>3690</v>
      </c>
      <c r="C1189" t="s">
        <v>3691</v>
      </c>
      <c r="F1189" t="s">
        <v>1742</v>
      </c>
      <c r="G1189" t="s">
        <v>1722</v>
      </c>
      <c r="H1189" t="s">
        <v>51</v>
      </c>
      <c r="I1189" t="s">
        <v>1723</v>
      </c>
      <c r="J1189" t="s">
        <v>2289</v>
      </c>
      <c r="L1189" t="s">
        <v>2290</v>
      </c>
    </row>
    <row r="1190" spans="1:12" x14ac:dyDescent="0.25">
      <c r="A1190" t="s">
        <v>3692</v>
      </c>
      <c r="B1190" t="s">
        <v>3693</v>
      </c>
      <c r="C1190" t="s">
        <v>3694</v>
      </c>
      <c r="F1190" t="s">
        <v>1742</v>
      </c>
      <c r="G1190" t="s">
        <v>1722</v>
      </c>
      <c r="H1190" t="s">
        <v>51</v>
      </c>
      <c r="I1190" t="s">
        <v>1723</v>
      </c>
      <c r="J1190" t="s">
        <v>2289</v>
      </c>
      <c r="L1190" t="s">
        <v>2290</v>
      </c>
    </row>
    <row r="1191" spans="1:12" x14ac:dyDescent="0.25">
      <c r="A1191" t="s">
        <v>3695</v>
      </c>
      <c r="B1191" t="s">
        <v>3696</v>
      </c>
      <c r="C1191" t="s">
        <v>3697</v>
      </c>
      <c r="F1191" t="s">
        <v>2950</v>
      </c>
      <c r="G1191" t="s">
        <v>1722</v>
      </c>
      <c r="H1191" t="s">
        <v>51</v>
      </c>
      <c r="I1191" t="s">
        <v>1723</v>
      </c>
      <c r="J1191" t="s">
        <v>2289</v>
      </c>
      <c r="L1191" t="s">
        <v>2290</v>
      </c>
    </row>
    <row r="1192" spans="1:12" x14ac:dyDescent="0.25">
      <c r="A1192" t="s">
        <v>3698</v>
      </c>
      <c r="B1192" t="s">
        <v>3699</v>
      </c>
      <c r="C1192" t="s">
        <v>3700</v>
      </c>
      <c r="F1192" t="s">
        <v>1742</v>
      </c>
      <c r="G1192" t="s">
        <v>1722</v>
      </c>
      <c r="H1192" t="s">
        <v>51</v>
      </c>
      <c r="I1192" t="s">
        <v>1723</v>
      </c>
      <c r="J1192" t="s">
        <v>2289</v>
      </c>
      <c r="L1192" t="s">
        <v>2290</v>
      </c>
    </row>
    <row r="1193" spans="1:12" x14ac:dyDescent="0.25">
      <c r="A1193" t="s">
        <v>3701</v>
      </c>
      <c r="B1193" t="s">
        <v>3702</v>
      </c>
      <c r="F1193" t="s">
        <v>496</v>
      </c>
      <c r="G1193" t="s">
        <v>50</v>
      </c>
      <c r="H1193" t="s">
        <v>51</v>
      </c>
      <c r="I1193" t="s">
        <v>1400</v>
      </c>
      <c r="J1193" t="s">
        <v>1401</v>
      </c>
      <c r="L1193" t="s">
        <v>1271</v>
      </c>
    </row>
    <row r="1194" spans="1:12" x14ac:dyDescent="0.25">
      <c r="A1194" t="s">
        <v>3703</v>
      </c>
      <c r="B1194" t="s">
        <v>3704</v>
      </c>
      <c r="C1194" t="s">
        <v>3705</v>
      </c>
      <c r="F1194" t="s">
        <v>515</v>
      </c>
      <c r="G1194" t="s">
        <v>1681</v>
      </c>
      <c r="H1194" t="s">
        <v>51</v>
      </c>
      <c r="I1194" t="s">
        <v>1682</v>
      </c>
      <c r="J1194" t="s">
        <v>1683</v>
      </c>
      <c r="L1194" t="s">
        <v>1684</v>
      </c>
    </row>
    <row r="1195" spans="1:12" x14ac:dyDescent="0.25">
      <c r="A1195" t="s">
        <v>3706</v>
      </c>
      <c r="B1195" t="s">
        <v>3707</v>
      </c>
      <c r="C1195" t="s">
        <v>3708</v>
      </c>
      <c r="F1195" t="s">
        <v>3709</v>
      </c>
      <c r="G1195" t="s">
        <v>1681</v>
      </c>
      <c r="H1195" t="s">
        <v>51</v>
      </c>
      <c r="I1195" t="s">
        <v>1682</v>
      </c>
      <c r="J1195" t="s">
        <v>1683</v>
      </c>
      <c r="L1195" t="s">
        <v>1684</v>
      </c>
    </row>
    <row r="1196" spans="1:12" x14ac:dyDescent="0.25">
      <c r="A1196" t="s">
        <v>3710</v>
      </c>
      <c r="B1196" t="s">
        <v>3711</v>
      </c>
      <c r="C1196" t="s">
        <v>3712</v>
      </c>
      <c r="F1196" t="s">
        <v>1680</v>
      </c>
      <c r="G1196" t="s">
        <v>1681</v>
      </c>
      <c r="H1196" t="s">
        <v>51</v>
      </c>
      <c r="I1196" t="s">
        <v>1682</v>
      </c>
      <c r="J1196" t="s">
        <v>1683</v>
      </c>
      <c r="L1196" t="s">
        <v>1684</v>
      </c>
    </row>
    <row r="1197" spans="1:12" x14ac:dyDescent="0.25">
      <c r="A1197" t="s">
        <v>3713</v>
      </c>
      <c r="B1197" t="s">
        <v>3714</v>
      </c>
      <c r="C1197" t="s">
        <v>3715</v>
      </c>
      <c r="F1197" t="s">
        <v>3542</v>
      </c>
      <c r="G1197" t="s">
        <v>1681</v>
      </c>
      <c r="H1197" t="s">
        <v>51</v>
      </c>
      <c r="I1197" t="s">
        <v>1682</v>
      </c>
      <c r="J1197" t="s">
        <v>1683</v>
      </c>
      <c r="L1197" t="s">
        <v>1684</v>
      </c>
    </row>
    <row r="1198" spans="1:12" x14ac:dyDescent="0.25">
      <c r="A1198" t="s">
        <v>3716</v>
      </c>
      <c r="B1198" t="s">
        <v>3717</v>
      </c>
      <c r="C1198" t="s">
        <v>3718</v>
      </c>
      <c r="F1198" t="s">
        <v>3719</v>
      </c>
      <c r="G1198" t="s">
        <v>1681</v>
      </c>
      <c r="H1198" t="s">
        <v>51</v>
      </c>
      <c r="I1198" t="s">
        <v>1682</v>
      </c>
      <c r="J1198" t="s">
        <v>1683</v>
      </c>
      <c r="L1198" t="s">
        <v>1684</v>
      </c>
    </row>
    <row r="1199" spans="1:12" x14ac:dyDescent="0.25">
      <c r="A1199" t="s">
        <v>3720</v>
      </c>
      <c r="B1199" t="s">
        <v>3721</v>
      </c>
      <c r="C1199" t="s">
        <v>3722</v>
      </c>
      <c r="F1199" t="s">
        <v>1385</v>
      </c>
      <c r="G1199" t="s">
        <v>1681</v>
      </c>
      <c r="H1199" t="s">
        <v>51</v>
      </c>
      <c r="I1199" t="s">
        <v>1682</v>
      </c>
      <c r="J1199" t="s">
        <v>3585</v>
      </c>
      <c r="L1199" t="s">
        <v>1684</v>
      </c>
    </row>
    <row r="1200" spans="1:12" x14ac:dyDescent="0.25">
      <c r="A1200" t="s">
        <v>3723</v>
      </c>
      <c r="B1200" t="s">
        <v>3724</v>
      </c>
      <c r="C1200" t="s">
        <v>3725</v>
      </c>
      <c r="F1200" t="s">
        <v>3549</v>
      </c>
      <c r="G1200" t="s">
        <v>1681</v>
      </c>
      <c r="H1200" t="s">
        <v>51</v>
      </c>
      <c r="I1200" t="s">
        <v>1682</v>
      </c>
      <c r="J1200" t="s">
        <v>3585</v>
      </c>
      <c r="L1200" t="s">
        <v>1684</v>
      </c>
    </row>
    <row r="1201" spans="1:12" x14ac:dyDescent="0.25">
      <c r="A1201" t="s">
        <v>3726</v>
      </c>
      <c r="B1201" t="s">
        <v>3727</v>
      </c>
      <c r="C1201" t="s">
        <v>3728</v>
      </c>
      <c r="F1201" t="s">
        <v>1795</v>
      </c>
      <c r="G1201" t="s">
        <v>1681</v>
      </c>
      <c r="H1201" t="s">
        <v>51</v>
      </c>
      <c r="I1201" t="s">
        <v>1682</v>
      </c>
      <c r="J1201" t="s">
        <v>3585</v>
      </c>
      <c r="L1201" t="s">
        <v>1291</v>
      </c>
    </row>
    <row r="1202" spans="1:12" x14ac:dyDescent="0.25">
      <c r="A1202" t="s">
        <v>3729</v>
      </c>
      <c r="B1202" t="s">
        <v>3730</v>
      </c>
      <c r="C1202" t="s">
        <v>3731</v>
      </c>
      <c r="F1202" t="s">
        <v>1590</v>
      </c>
      <c r="G1202" t="s">
        <v>1681</v>
      </c>
      <c r="H1202" t="s">
        <v>51</v>
      </c>
      <c r="I1202" t="s">
        <v>1682</v>
      </c>
      <c r="J1202" t="s">
        <v>3585</v>
      </c>
      <c r="L1202" t="s">
        <v>1291</v>
      </c>
    </row>
    <row r="1203" spans="1:12" x14ac:dyDescent="0.25">
      <c r="A1203" t="s">
        <v>3732</v>
      </c>
      <c r="B1203" t="s">
        <v>3733</v>
      </c>
      <c r="C1203" t="s">
        <v>3734</v>
      </c>
      <c r="F1203" t="s">
        <v>2587</v>
      </c>
      <c r="G1203" t="s">
        <v>1681</v>
      </c>
      <c r="H1203" t="s">
        <v>51</v>
      </c>
      <c r="I1203" t="s">
        <v>1682</v>
      </c>
      <c r="J1203" t="s">
        <v>3585</v>
      </c>
      <c r="L1203" t="s">
        <v>1291</v>
      </c>
    </row>
    <row r="1204" spans="1:12" x14ac:dyDescent="0.25">
      <c r="A1204" t="s">
        <v>3735</v>
      </c>
      <c r="B1204" t="s">
        <v>3736</v>
      </c>
      <c r="C1204" t="s">
        <v>3737</v>
      </c>
      <c r="F1204" t="s">
        <v>1929</v>
      </c>
      <c r="G1204" t="s">
        <v>1681</v>
      </c>
      <c r="H1204" t="s">
        <v>51</v>
      </c>
      <c r="I1204" t="s">
        <v>1682</v>
      </c>
      <c r="J1204" t="s">
        <v>3585</v>
      </c>
      <c r="L1204" t="s">
        <v>1291</v>
      </c>
    </row>
    <row r="1205" spans="1:12" x14ac:dyDescent="0.25">
      <c r="A1205" t="s">
        <v>3738</v>
      </c>
      <c r="B1205" t="s">
        <v>3739</v>
      </c>
      <c r="C1205" t="s">
        <v>3740</v>
      </c>
      <c r="F1205" t="s">
        <v>3519</v>
      </c>
      <c r="G1205" t="s">
        <v>1681</v>
      </c>
      <c r="H1205" t="s">
        <v>51</v>
      </c>
      <c r="I1205" t="s">
        <v>1682</v>
      </c>
      <c r="J1205" t="s">
        <v>3585</v>
      </c>
      <c r="L1205" t="s">
        <v>1291</v>
      </c>
    </row>
    <row r="1206" spans="1:12" x14ac:dyDescent="0.25">
      <c r="A1206" t="s">
        <v>3741</v>
      </c>
      <c r="B1206" t="s">
        <v>3742</v>
      </c>
      <c r="C1206" t="s">
        <v>3743</v>
      </c>
      <c r="F1206" t="s">
        <v>3744</v>
      </c>
      <c r="G1206" t="s">
        <v>1681</v>
      </c>
      <c r="H1206" t="s">
        <v>51</v>
      </c>
      <c r="I1206" t="s">
        <v>1682</v>
      </c>
      <c r="J1206" t="s">
        <v>3585</v>
      </c>
      <c r="L1206" t="s">
        <v>1291</v>
      </c>
    </row>
    <row r="1207" spans="1:12" x14ac:dyDescent="0.25">
      <c r="A1207" t="s">
        <v>3745</v>
      </c>
      <c r="B1207" t="s">
        <v>3746</v>
      </c>
      <c r="C1207" t="s">
        <v>3747</v>
      </c>
      <c r="F1207" t="s">
        <v>1702</v>
      </c>
      <c r="G1207" t="s">
        <v>1681</v>
      </c>
      <c r="H1207" t="s">
        <v>51</v>
      </c>
      <c r="I1207" t="s">
        <v>1682</v>
      </c>
      <c r="J1207" t="s">
        <v>3585</v>
      </c>
      <c r="L1207" t="s">
        <v>1291</v>
      </c>
    </row>
    <row r="1208" spans="1:12" x14ac:dyDescent="0.25">
      <c r="A1208" t="s">
        <v>3748</v>
      </c>
      <c r="B1208" t="s">
        <v>3749</v>
      </c>
      <c r="C1208" t="s">
        <v>3750</v>
      </c>
      <c r="F1208" t="s">
        <v>1809</v>
      </c>
      <c r="G1208" t="s">
        <v>1681</v>
      </c>
      <c r="H1208" t="s">
        <v>51</v>
      </c>
      <c r="I1208" t="s">
        <v>1682</v>
      </c>
      <c r="J1208" t="s">
        <v>3530</v>
      </c>
      <c r="L1208" t="s">
        <v>1684</v>
      </c>
    </row>
    <row r="1209" spans="1:12" x14ac:dyDescent="0.25">
      <c r="A1209" t="s">
        <v>3751</v>
      </c>
      <c r="B1209" t="s">
        <v>3752</v>
      </c>
      <c r="C1209" t="s">
        <v>3753</v>
      </c>
      <c r="F1209" t="s">
        <v>3754</v>
      </c>
      <c r="G1209" t="s">
        <v>1681</v>
      </c>
      <c r="H1209" t="s">
        <v>51</v>
      </c>
      <c r="I1209" t="s">
        <v>1682</v>
      </c>
      <c r="J1209" t="s">
        <v>3530</v>
      </c>
      <c r="L1209" t="s">
        <v>1684</v>
      </c>
    </row>
    <row r="1210" spans="1:12" x14ac:dyDescent="0.25">
      <c r="A1210" t="s">
        <v>3755</v>
      </c>
      <c r="B1210" t="s">
        <v>3756</v>
      </c>
      <c r="C1210" t="s">
        <v>3757</v>
      </c>
      <c r="F1210" t="s">
        <v>3719</v>
      </c>
      <c r="G1210" t="s">
        <v>1681</v>
      </c>
      <c r="H1210" t="s">
        <v>51</v>
      </c>
      <c r="I1210" t="s">
        <v>1682</v>
      </c>
      <c r="J1210" t="s">
        <v>3530</v>
      </c>
      <c r="L1210" t="s">
        <v>1684</v>
      </c>
    </row>
    <row r="1211" spans="1:12" x14ac:dyDescent="0.25">
      <c r="A1211" t="s">
        <v>3758</v>
      </c>
      <c r="B1211" t="s">
        <v>3759</v>
      </c>
      <c r="C1211" t="s">
        <v>3760</v>
      </c>
      <c r="F1211" t="s">
        <v>3761</v>
      </c>
      <c r="G1211" t="s">
        <v>1681</v>
      </c>
      <c r="H1211" t="s">
        <v>51</v>
      </c>
      <c r="I1211" t="s">
        <v>1682</v>
      </c>
      <c r="J1211" t="s">
        <v>3530</v>
      </c>
      <c r="L1211" t="s">
        <v>1684</v>
      </c>
    </row>
    <row r="1212" spans="1:12" x14ac:dyDescent="0.25">
      <c r="A1212" t="s">
        <v>3762</v>
      </c>
      <c r="B1212" t="s">
        <v>3763</v>
      </c>
      <c r="C1212" t="s">
        <v>3764</v>
      </c>
      <c r="F1212" t="s">
        <v>2123</v>
      </c>
      <c r="G1212" t="s">
        <v>1681</v>
      </c>
      <c r="H1212" t="s">
        <v>51</v>
      </c>
      <c r="I1212" t="s">
        <v>1682</v>
      </c>
      <c r="J1212" t="s">
        <v>3530</v>
      </c>
      <c r="L1212" t="s">
        <v>1684</v>
      </c>
    </row>
    <row r="1213" spans="1:12" x14ac:dyDescent="0.25">
      <c r="A1213" t="s">
        <v>3765</v>
      </c>
      <c r="B1213" t="s">
        <v>3766</v>
      </c>
      <c r="C1213" t="s">
        <v>3767</v>
      </c>
      <c r="F1213" t="s">
        <v>2442</v>
      </c>
      <c r="G1213" t="s">
        <v>1681</v>
      </c>
      <c r="H1213" t="s">
        <v>51</v>
      </c>
      <c r="I1213" t="s">
        <v>1682</v>
      </c>
      <c r="J1213" t="s">
        <v>3530</v>
      </c>
      <c r="L1213" t="s">
        <v>1684</v>
      </c>
    </row>
    <row r="1214" spans="1:12" x14ac:dyDescent="0.25">
      <c r="A1214" t="s">
        <v>3768</v>
      </c>
      <c r="B1214" t="s">
        <v>3769</v>
      </c>
      <c r="C1214" t="s">
        <v>3770</v>
      </c>
      <c r="F1214" t="s">
        <v>1767</v>
      </c>
      <c r="G1214" t="s">
        <v>1681</v>
      </c>
      <c r="H1214" t="s">
        <v>51</v>
      </c>
      <c r="I1214" t="s">
        <v>1682</v>
      </c>
      <c r="J1214" t="s">
        <v>3530</v>
      </c>
      <c r="L1214" t="s">
        <v>1684</v>
      </c>
    </row>
    <row r="1215" spans="1:12" x14ac:dyDescent="0.25">
      <c r="A1215" t="s">
        <v>3771</v>
      </c>
      <c r="B1215" t="s">
        <v>3772</v>
      </c>
      <c r="C1215" t="s">
        <v>3773</v>
      </c>
      <c r="F1215" t="s">
        <v>2123</v>
      </c>
      <c r="G1215" t="s">
        <v>1681</v>
      </c>
      <c r="H1215" t="s">
        <v>51</v>
      </c>
      <c r="I1215" t="s">
        <v>1682</v>
      </c>
      <c r="J1215" t="s">
        <v>3530</v>
      </c>
      <c r="L1215" t="s">
        <v>1684</v>
      </c>
    </row>
    <row r="1216" spans="1:12" x14ac:dyDescent="0.25">
      <c r="A1216" t="s">
        <v>3774</v>
      </c>
      <c r="B1216" t="s">
        <v>3775</v>
      </c>
      <c r="C1216" t="s">
        <v>3776</v>
      </c>
      <c r="F1216" t="s">
        <v>3777</v>
      </c>
      <c r="G1216" t="s">
        <v>1681</v>
      </c>
      <c r="H1216" t="s">
        <v>51</v>
      </c>
      <c r="I1216" t="s">
        <v>1682</v>
      </c>
      <c r="J1216" t="s">
        <v>3530</v>
      </c>
      <c r="L1216" t="s">
        <v>1684</v>
      </c>
    </row>
    <row r="1217" spans="1:12" x14ac:dyDescent="0.25">
      <c r="A1217" t="s">
        <v>3778</v>
      </c>
      <c r="B1217" t="s">
        <v>3779</v>
      </c>
      <c r="C1217" t="s">
        <v>3780</v>
      </c>
      <c r="F1217" t="s">
        <v>2123</v>
      </c>
      <c r="G1217" t="s">
        <v>1681</v>
      </c>
      <c r="H1217" t="s">
        <v>51</v>
      </c>
      <c r="I1217" t="s">
        <v>1682</v>
      </c>
      <c r="J1217" t="s">
        <v>3530</v>
      </c>
      <c r="L1217" t="s">
        <v>1684</v>
      </c>
    </row>
    <row r="1218" spans="1:12" x14ac:dyDescent="0.25">
      <c r="A1218" t="s">
        <v>3781</v>
      </c>
      <c r="B1218" t="s">
        <v>3782</v>
      </c>
      <c r="C1218" t="s">
        <v>3783</v>
      </c>
      <c r="F1218" t="s">
        <v>1680</v>
      </c>
      <c r="G1218" t="s">
        <v>1681</v>
      </c>
      <c r="H1218" t="s">
        <v>51</v>
      </c>
      <c r="I1218" t="s">
        <v>1682</v>
      </c>
      <c r="J1218" t="s">
        <v>3784</v>
      </c>
      <c r="L1218" t="s">
        <v>1684</v>
      </c>
    </row>
    <row r="1219" spans="1:12" x14ac:dyDescent="0.25">
      <c r="A1219" t="s">
        <v>3785</v>
      </c>
      <c r="B1219" t="s">
        <v>3786</v>
      </c>
      <c r="C1219" t="s">
        <v>3787</v>
      </c>
      <c r="F1219" t="s">
        <v>1608</v>
      </c>
      <c r="G1219" t="s">
        <v>1681</v>
      </c>
      <c r="H1219" t="s">
        <v>51</v>
      </c>
      <c r="I1219" t="s">
        <v>1682</v>
      </c>
      <c r="J1219" t="s">
        <v>3784</v>
      </c>
      <c r="L1219" t="s">
        <v>1684</v>
      </c>
    </row>
    <row r="1220" spans="1:12" x14ac:dyDescent="0.25">
      <c r="A1220" t="s">
        <v>3788</v>
      </c>
      <c r="B1220" t="s">
        <v>3789</v>
      </c>
      <c r="C1220" t="s">
        <v>3790</v>
      </c>
      <c r="F1220" t="s">
        <v>3791</v>
      </c>
      <c r="G1220" t="s">
        <v>1681</v>
      </c>
      <c r="H1220" t="s">
        <v>51</v>
      </c>
      <c r="I1220" t="s">
        <v>1682</v>
      </c>
      <c r="J1220" t="s">
        <v>3784</v>
      </c>
      <c r="L1220" t="s">
        <v>1684</v>
      </c>
    </row>
    <row r="1221" spans="1:12" x14ac:dyDescent="0.25">
      <c r="A1221" t="s">
        <v>3792</v>
      </c>
      <c r="B1221" t="s">
        <v>3793</v>
      </c>
      <c r="C1221" t="s">
        <v>3794</v>
      </c>
      <c r="F1221" t="s">
        <v>1809</v>
      </c>
      <c r="G1221" t="s">
        <v>1681</v>
      </c>
      <c r="H1221" t="s">
        <v>51</v>
      </c>
      <c r="I1221" t="s">
        <v>1682</v>
      </c>
      <c r="J1221" t="s">
        <v>3530</v>
      </c>
      <c r="L1221" t="s">
        <v>1684</v>
      </c>
    </row>
    <row r="1222" spans="1:12" x14ac:dyDescent="0.25">
      <c r="A1222" t="s">
        <v>3795</v>
      </c>
      <c r="B1222" t="s">
        <v>3796</v>
      </c>
      <c r="C1222" t="s">
        <v>3797</v>
      </c>
      <c r="F1222" t="s">
        <v>3798</v>
      </c>
      <c r="G1222" t="s">
        <v>1681</v>
      </c>
      <c r="H1222" t="s">
        <v>51</v>
      </c>
      <c r="I1222" t="s">
        <v>1682</v>
      </c>
      <c r="J1222" t="s">
        <v>3585</v>
      </c>
      <c r="L1222" t="s">
        <v>1684</v>
      </c>
    </row>
    <row r="1223" spans="1:12" x14ac:dyDescent="0.25">
      <c r="A1223" t="s">
        <v>3799</v>
      </c>
      <c r="B1223" t="s">
        <v>3800</v>
      </c>
      <c r="C1223" t="s">
        <v>3801</v>
      </c>
      <c r="F1223" t="s">
        <v>1385</v>
      </c>
      <c r="G1223" t="s">
        <v>1681</v>
      </c>
      <c r="H1223" t="s">
        <v>51</v>
      </c>
      <c r="I1223" t="s">
        <v>1682</v>
      </c>
      <c r="J1223" t="s">
        <v>3585</v>
      </c>
      <c r="L1223" t="s">
        <v>1684</v>
      </c>
    </row>
    <row r="1224" spans="1:12" x14ac:dyDescent="0.25">
      <c r="A1224" t="s">
        <v>3802</v>
      </c>
      <c r="B1224" t="s">
        <v>3803</v>
      </c>
      <c r="C1224" t="s">
        <v>3804</v>
      </c>
      <c r="F1224" t="s">
        <v>1680</v>
      </c>
      <c r="G1224" t="s">
        <v>1681</v>
      </c>
      <c r="H1224" t="s">
        <v>51</v>
      </c>
      <c r="I1224" t="s">
        <v>1682</v>
      </c>
      <c r="J1224" t="s">
        <v>3585</v>
      </c>
      <c r="L1224" t="s">
        <v>1684</v>
      </c>
    </row>
    <row r="1225" spans="1:12" x14ac:dyDescent="0.25">
      <c r="A1225" t="s">
        <v>3805</v>
      </c>
      <c r="B1225" t="s">
        <v>2052</v>
      </c>
      <c r="C1225" t="s">
        <v>3806</v>
      </c>
      <c r="F1225" t="s">
        <v>1593</v>
      </c>
      <c r="G1225" t="s">
        <v>1681</v>
      </c>
      <c r="H1225" t="s">
        <v>51</v>
      </c>
      <c r="I1225" t="s">
        <v>1682</v>
      </c>
      <c r="J1225" t="s">
        <v>3585</v>
      </c>
      <c r="L1225" t="s">
        <v>1684</v>
      </c>
    </row>
    <row r="1226" spans="1:12" x14ac:dyDescent="0.25">
      <c r="A1226" t="s">
        <v>3807</v>
      </c>
      <c r="B1226" t="s">
        <v>3808</v>
      </c>
      <c r="C1226" t="s">
        <v>3809</v>
      </c>
      <c r="F1226" t="s">
        <v>3810</v>
      </c>
      <c r="G1226" t="s">
        <v>1681</v>
      </c>
      <c r="H1226" t="s">
        <v>51</v>
      </c>
      <c r="I1226" t="s">
        <v>1682</v>
      </c>
      <c r="J1226" t="s">
        <v>3585</v>
      </c>
      <c r="L1226" t="s">
        <v>1684</v>
      </c>
    </row>
    <row r="1227" spans="1:12" x14ac:dyDescent="0.25">
      <c r="A1227" t="s">
        <v>3811</v>
      </c>
      <c r="B1227" t="s">
        <v>3812</v>
      </c>
      <c r="C1227" t="s">
        <v>3813</v>
      </c>
      <c r="F1227" t="s">
        <v>3814</v>
      </c>
      <c r="G1227" t="s">
        <v>1681</v>
      </c>
      <c r="H1227" t="s">
        <v>51</v>
      </c>
      <c r="I1227" t="s">
        <v>1682</v>
      </c>
      <c r="J1227" t="s">
        <v>3585</v>
      </c>
      <c r="L1227" t="s">
        <v>1684</v>
      </c>
    </row>
    <row r="1228" spans="1:12" x14ac:dyDescent="0.25">
      <c r="A1228" t="s">
        <v>3815</v>
      </c>
      <c r="B1228" t="s">
        <v>3816</v>
      </c>
      <c r="C1228" t="s">
        <v>3817</v>
      </c>
      <c r="F1228" t="s">
        <v>1680</v>
      </c>
      <c r="G1228" t="s">
        <v>1681</v>
      </c>
      <c r="H1228" t="s">
        <v>51</v>
      </c>
      <c r="I1228" t="s">
        <v>1682</v>
      </c>
      <c r="J1228" t="s">
        <v>3585</v>
      </c>
      <c r="L1228" t="s">
        <v>1684</v>
      </c>
    </row>
    <row r="1229" spans="1:12" x14ac:dyDescent="0.25">
      <c r="A1229" t="s">
        <v>3818</v>
      </c>
      <c r="B1229" t="s">
        <v>3819</v>
      </c>
      <c r="C1229" t="s">
        <v>3820</v>
      </c>
      <c r="F1229" t="s">
        <v>1680</v>
      </c>
      <c r="G1229" t="s">
        <v>1681</v>
      </c>
      <c r="H1229" t="s">
        <v>51</v>
      </c>
      <c r="I1229" t="s">
        <v>1682</v>
      </c>
      <c r="J1229" t="s">
        <v>3585</v>
      </c>
      <c r="L1229" t="s">
        <v>1684</v>
      </c>
    </row>
    <row r="1230" spans="1:12" x14ac:dyDescent="0.25">
      <c r="A1230" t="s">
        <v>3821</v>
      </c>
      <c r="B1230" t="s">
        <v>3822</v>
      </c>
      <c r="C1230" t="s">
        <v>3823</v>
      </c>
      <c r="F1230" t="s">
        <v>3824</v>
      </c>
      <c r="G1230" t="s">
        <v>1681</v>
      </c>
      <c r="H1230" t="s">
        <v>51</v>
      </c>
      <c r="I1230" t="s">
        <v>1682</v>
      </c>
      <c r="J1230" t="s">
        <v>3585</v>
      </c>
      <c r="L1230" t="s">
        <v>1684</v>
      </c>
    </row>
    <row r="1231" spans="1:12" x14ac:dyDescent="0.25">
      <c r="A1231" t="s">
        <v>3825</v>
      </c>
      <c r="B1231" t="s">
        <v>3826</v>
      </c>
      <c r="C1231" t="s">
        <v>3827</v>
      </c>
      <c r="F1231" t="s">
        <v>1756</v>
      </c>
      <c r="G1231" t="s">
        <v>1681</v>
      </c>
      <c r="H1231" t="s">
        <v>51</v>
      </c>
      <c r="I1231" t="s">
        <v>1682</v>
      </c>
      <c r="J1231" t="s">
        <v>3585</v>
      </c>
      <c r="L1231" t="s">
        <v>1684</v>
      </c>
    </row>
    <row r="1232" spans="1:12" x14ac:dyDescent="0.25">
      <c r="A1232" t="s">
        <v>3828</v>
      </c>
      <c r="B1232" t="s">
        <v>3829</v>
      </c>
      <c r="C1232" t="s">
        <v>3830</v>
      </c>
      <c r="F1232" t="s">
        <v>3831</v>
      </c>
      <c r="G1232" t="s">
        <v>1681</v>
      </c>
      <c r="H1232" t="s">
        <v>51</v>
      </c>
      <c r="I1232" t="s">
        <v>1682</v>
      </c>
      <c r="J1232" t="s">
        <v>3585</v>
      </c>
      <c r="L1232" t="s">
        <v>1684</v>
      </c>
    </row>
    <row r="1233" spans="1:12" x14ac:dyDescent="0.25">
      <c r="A1233" t="s">
        <v>3832</v>
      </c>
      <c r="B1233" t="s">
        <v>3833</v>
      </c>
      <c r="C1233" t="s">
        <v>3834</v>
      </c>
      <c r="F1233" t="s">
        <v>3835</v>
      </c>
      <c r="G1233" t="s">
        <v>1681</v>
      </c>
      <c r="H1233" t="s">
        <v>51</v>
      </c>
      <c r="I1233" t="s">
        <v>1682</v>
      </c>
      <c r="J1233" t="s">
        <v>3585</v>
      </c>
      <c r="L1233" t="s">
        <v>1684</v>
      </c>
    </row>
    <row r="1234" spans="1:12" x14ac:dyDescent="0.25">
      <c r="A1234" t="s">
        <v>3836</v>
      </c>
      <c r="B1234" t="s">
        <v>3837</v>
      </c>
      <c r="C1234" t="s">
        <v>3838</v>
      </c>
      <c r="F1234" t="s">
        <v>1596</v>
      </c>
      <c r="G1234" t="s">
        <v>1681</v>
      </c>
      <c r="H1234" t="s">
        <v>51</v>
      </c>
      <c r="I1234" t="s">
        <v>1682</v>
      </c>
      <c r="J1234" t="s">
        <v>3585</v>
      </c>
      <c r="L1234" t="s">
        <v>1684</v>
      </c>
    </row>
    <row r="1235" spans="1:12" x14ac:dyDescent="0.25">
      <c r="A1235" t="s">
        <v>3839</v>
      </c>
      <c r="B1235" t="s">
        <v>3840</v>
      </c>
      <c r="C1235" t="s">
        <v>3841</v>
      </c>
      <c r="F1235" t="s">
        <v>3842</v>
      </c>
      <c r="G1235" t="s">
        <v>1681</v>
      </c>
      <c r="H1235" t="s">
        <v>51</v>
      </c>
      <c r="I1235" t="s">
        <v>1682</v>
      </c>
      <c r="J1235" t="s">
        <v>3585</v>
      </c>
      <c r="L1235" t="s">
        <v>1684</v>
      </c>
    </row>
    <row r="1236" spans="1:12" x14ac:dyDescent="0.25">
      <c r="A1236" t="s">
        <v>3843</v>
      </c>
      <c r="B1236" t="s">
        <v>3844</v>
      </c>
      <c r="C1236" t="s">
        <v>3845</v>
      </c>
      <c r="F1236" t="s">
        <v>3846</v>
      </c>
      <c r="G1236" t="s">
        <v>1681</v>
      </c>
      <c r="H1236" t="s">
        <v>51</v>
      </c>
      <c r="I1236" t="s">
        <v>1682</v>
      </c>
      <c r="J1236" t="s">
        <v>3585</v>
      </c>
      <c r="L1236" t="s">
        <v>1684</v>
      </c>
    </row>
    <row r="1237" spans="1:12" x14ac:dyDescent="0.25">
      <c r="A1237" t="s">
        <v>3847</v>
      </c>
      <c r="B1237" t="s">
        <v>3848</v>
      </c>
      <c r="C1237" t="s">
        <v>3849</v>
      </c>
      <c r="F1237" t="s">
        <v>3850</v>
      </c>
      <c r="G1237" t="s">
        <v>1681</v>
      </c>
      <c r="H1237" t="s">
        <v>51</v>
      </c>
      <c r="I1237" t="s">
        <v>1682</v>
      </c>
      <c r="J1237" t="s">
        <v>3585</v>
      </c>
      <c r="L1237" t="s">
        <v>1684</v>
      </c>
    </row>
    <row r="1238" spans="1:12" x14ac:dyDescent="0.25">
      <c r="A1238" t="s">
        <v>3851</v>
      </c>
      <c r="B1238" t="s">
        <v>3852</v>
      </c>
      <c r="C1238" t="s">
        <v>3853</v>
      </c>
      <c r="F1238" t="s">
        <v>1680</v>
      </c>
      <c r="G1238" t="s">
        <v>1681</v>
      </c>
      <c r="H1238" t="s">
        <v>51</v>
      </c>
      <c r="I1238" t="s">
        <v>1682</v>
      </c>
      <c r="J1238" t="s">
        <v>3585</v>
      </c>
      <c r="L1238" t="s">
        <v>1684</v>
      </c>
    </row>
    <row r="1239" spans="1:12" x14ac:dyDescent="0.25">
      <c r="A1239" t="s">
        <v>3854</v>
      </c>
      <c r="B1239" t="s">
        <v>3855</v>
      </c>
      <c r="C1239" t="s">
        <v>3856</v>
      </c>
      <c r="F1239" t="s">
        <v>3238</v>
      </c>
      <c r="G1239" t="s">
        <v>1681</v>
      </c>
      <c r="H1239" t="s">
        <v>51</v>
      </c>
      <c r="I1239" t="s">
        <v>1682</v>
      </c>
      <c r="J1239" t="s">
        <v>3585</v>
      </c>
      <c r="L1239" t="s">
        <v>1684</v>
      </c>
    </row>
    <row r="1240" spans="1:12" x14ac:dyDescent="0.25">
      <c r="A1240" t="s">
        <v>3857</v>
      </c>
      <c r="B1240" t="s">
        <v>3858</v>
      </c>
      <c r="C1240" t="s">
        <v>3859</v>
      </c>
      <c r="F1240" t="s">
        <v>3860</v>
      </c>
      <c r="G1240" t="s">
        <v>1681</v>
      </c>
      <c r="H1240" t="s">
        <v>51</v>
      </c>
      <c r="I1240" t="s">
        <v>1682</v>
      </c>
      <c r="J1240" t="s">
        <v>3585</v>
      </c>
      <c r="L1240" t="s">
        <v>1684</v>
      </c>
    </row>
    <row r="1241" spans="1:12" x14ac:dyDescent="0.25">
      <c r="A1241" t="s">
        <v>3861</v>
      </c>
      <c r="B1241" t="s">
        <v>3862</v>
      </c>
      <c r="C1241" t="s">
        <v>3863</v>
      </c>
      <c r="F1241" t="s">
        <v>3864</v>
      </c>
      <c r="G1241" t="s">
        <v>1681</v>
      </c>
      <c r="H1241" t="s">
        <v>51</v>
      </c>
      <c r="I1241" t="s">
        <v>1682</v>
      </c>
      <c r="J1241" t="s">
        <v>3585</v>
      </c>
      <c r="L1241" t="s">
        <v>1684</v>
      </c>
    </row>
    <row r="1242" spans="1:12" x14ac:dyDescent="0.25">
      <c r="A1242" t="s">
        <v>3865</v>
      </c>
      <c r="B1242" t="s">
        <v>3866</v>
      </c>
      <c r="C1242" t="s">
        <v>3867</v>
      </c>
      <c r="F1242" t="s">
        <v>3868</v>
      </c>
      <c r="G1242" t="s">
        <v>1681</v>
      </c>
      <c r="H1242" t="s">
        <v>51</v>
      </c>
      <c r="I1242" t="s">
        <v>1682</v>
      </c>
      <c r="J1242" t="s">
        <v>3585</v>
      </c>
      <c r="L1242" t="s">
        <v>1684</v>
      </c>
    </row>
    <row r="1243" spans="1:12" x14ac:dyDescent="0.25">
      <c r="A1243" t="s">
        <v>3869</v>
      </c>
      <c r="B1243" t="s">
        <v>3870</v>
      </c>
      <c r="C1243" t="s">
        <v>3871</v>
      </c>
      <c r="F1243" t="s">
        <v>3872</v>
      </c>
      <c r="G1243" t="s">
        <v>1681</v>
      </c>
      <c r="H1243" t="s">
        <v>51</v>
      </c>
      <c r="I1243" t="s">
        <v>1682</v>
      </c>
      <c r="J1243" t="s">
        <v>3585</v>
      </c>
      <c r="L1243" t="s">
        <v>1684</v>
      </c>
    </row>
    <row r="1244" spans="1:12" x14ac:dyDescent="0.25">
      <c r="A1244" t="s">
        <v>3873</v>
      </c>
      <c r="B1244" t="s">
        <v>3874</v>
      </c>
      <c r="C1244" t="s">
        <v>3875</v>
      </c>
      <c r="F1244" t="s">
        <v>3876</v>
      </c>
      <c r="G1244" t="s">
        <v>1681</v>
      </c>
      <c r="H1244" t="s">
        <v>51</v>
      </c>
      <c r="I1244" t="s">
        <v>1682</v>
      </c>
      <c r="J1244" t="s">
        <v>3585</v>
      </c>
      <c r="L1244" t="s">
        <v>1684</v>
      </c>
    </row>
    <row r="1245" spans="1:12" x14ac:dyDescent="0.25">
      <c r="A1245" t="s">
        <v>3877</v>
      </c>
      <c r="B1245" t="s">
        <v>3878</v>
      </c>
      <c r="C1245" t="s">
        <v>3879</v>
      </c>
      <c r="F1245" t="s">
        <v>1632</v>
      </c>
      <c r="G1245" t="s">
        <v>1681</v>
      </c>
      <c r="H1245" t="s">
        <v>51</v>
      </c>
      <c r="I1245" t="s">
        <v>1682</v>
      </c>
      <c r="J1245" t="s">
        <v>3585</v>
      </c>
      <c r="L1245" t="s">
        <v>1684</v>
      </c>
    </row>
    <row r="1246" spans="1:12" x14ac:dyDescent="0.25">
      <c r="A1246" t="s">
        <v>3880</v>
      </c>
      <c r="B1246" t="s">
        <v>3881</v>
      </c>
      <c r="C1246" t="s">
        <v>3882</v>
      </c>
      <c r="F1246" t="s">
        <v>3777</v>
      </c>
      <c r="G1246" t="s">
        <v>1681</v>
      </c>
      <c r="H1246" t="s">
        <v>51</v>
      </c>
      <c r="I1246" t="s">
        <v>1682</v>
      </c>
      <c r="J1246" t="s">
        <v>3585</v>
      </c>
      <c r="L1246" t="s">
        <v>1684</v>
      </c>
    </row>
    <row r="1247" spans="1:12" x14ac:dyDescent="0.25">
      <c r="A1247" t="s">
        <v>3883</v>
      </c>
      <c r="B1247" t="s">
        <v>3884</v>
      </c>
      <c r="C1247" t="s">
        <v>3885</v>
      </c>
      <c r="F1247" t="s">
        <v>1680</v>
      </c>
      <c r="G1247" t="s">
        <v>1681</v>
      </c>
      <c r="H1247" t="s">
        <v>51</v>
      </c>
      <c r="I1247" t="s">
        <v>1682</v>
      </c>
      <c r="J1247" t="s">
        <v>3585</v>
      </c>
      <c r="L1247" t="s">
        <v>1684</v>
      </c>
    </row>
    <row r="1248" spans="1:12" x14ac:dyDescent="0.25">
      <c r="A1248" t="s">
        <v>3886</v>
      </c>
      <c r="B1248" t="s">
        <v>3887</v>
      </c>
      <c r="C1248" t="s">
        <v>3888</v>
      </c>
      <c r="F1248" t="s">
        <v>2099</v>
      </c>
      <c r="G1248" t="s">
        <v>1681</v>
      </c>
      <c r="H1248" t="s">
        <v>51</v>
      </c>
      <c r="I1248" t="s">
        <v>1682</v>
      </c>
      <c r="J1248" t="s">
        <v>3585</v>
      </c>
      <c r="L1248" t="s">
        <v>1684</v>
      </c>
    </row>
    <row r="1249" spans="1:12" x14ac:dyDescent="0.25">
      <c r="A1249" t="s">
        <v>3889</v>
      </c>
      <c r="B1249" t="s">
        <v>3707</v>
      </c>
      <c r="C1249" t="s">
        <v>3890</v>
      </c>
      <c r="F1249" t="s">
        <v>3891</v>
      </c>
      <c r="G1249" t="s">
        <v>1681</v>
      </c>
      <c r="H1249" t="s">
        <v>51</v>
      </c>
      <c r="I1249" t="s">
        <v>1682</v>
      </c>
      <c r="J1249" t="s">
        <v>3585</v>
      </c>
      <c r="L1249" t="s">
        <v>1684</v>
      </c>
    </row>
    <row r="1250" spans="1:12" x14ac:dyDescent="0.25">
      <c r="A1250" t="s">
        <v>3892</v>
      </c>
      <c r="B1250" t="s">
        <v>3893</v>
      </c>
      <c r="C1250" t="s">
        <v>3894</v>
      </c>
      <c r="F1250" t="s">
        <v>3895</v>
      </c>
      <c r="G1250" t="s">
        <v>1681</v>
      </c>
      <c r="H1250" t="s">
        <v>51</v>
      </c>
      <c r="I1250" t="s">
        <v>1682</v>
      </c>
      <c r="J1250" t="s">
        <v>3585</v>
      </c>
      <c r="L1250" t="s">
        <v>1684</v>
      </c>
    </row>
    <row r="1251" spans="1:12" x14ac:dyDescent="0.25">
      <c r="A1251" t="s">
        <v>3896</v>
      </c>
      <c r="B1251" t="s">
        <v>3897</v>
      </c>
      <c r="C1251" t="s">
        <v>3898</v>
      </c>
      <c r="F1251" t="s">
        <v>3899</v>
      </c>
      <c r="G1251" t="s">
        <v>1722</v>
      </c>
      <c r="H1251" t="s">
        <v>51</v>
      </c>
      <c r="I1251" t="s">
        <v>1723</v>
      </c>
      <c r="J1251" t="s">
        <v>2289</v>
      </c>
      <c r="L1251" t="s">
        <v>2290</v>
      </c>
    </row>
    <row r="1252" spans="1:12" x14ac:dyDescent="0.25">
      <c r="A1252" t="s">
        <v>3900</v>
      </c>
      <c r="B1252" t="s">
        <v>3901</v>
      </c>
      <c r="C1252" t="s">
        <v>3902</v>
      </c>
      <c r="F1252" t="s">
        <v>1670</v>
      </c>
      <c r="G1252" t="s">
        <v>1722</v>
      </c>
      <c r="H1252" t="s">
        <v>51</v>
      </c>
      <c r="I1252" t="s">
        <v>1723</v>
      </c>
      <c r="J1252" t="s">
        <v>2289</v>
      </c>
      <c r="L1252" t="s">
        <v>2290</v>
      </c>
    </row>
    <row r="1253" spans="1:12" x14ac:dyDescent="0.25">
      <c r="A1253" t="s">
        <v>3903</v>
      </c>
      <c r="B1253" t="s">
        <v>3904</v>
      </c>
      <c r="C1253" t="s">
        <v>3905</v>
      </c>
      <c r="F1253" t="s">
        <v>1917</v>
      </c>
      <c r="G1253" t="s">
        <v>1722</v>
      </c>
      <c r="H1253" t="s">
        <v>51</v>
      </c>
      <c r="I1253" t="s">
        <v>1723</v>
      </c>
      <c r="J1253" t="s">
        <v>2289</v>
      </c>
      <c r="L1253" t="s">
        <v>2290</v>
      </c>
    </row>
    <row r="1254" spans="1:12" x14ac:dyDescent="0.25">
      <c r="A1254" t="s">
        <v>3906</v>
      </c>
      <c r="B1254" t="s">
        <v>3907</v>
      </c>
      <c r="C1254" t="s">
        <v>3908</v>
      </c>
      <c r="F1254" t="s">
        <v>3899</v>
      </c>
      <c r="G1254" t="s">
        <v>1722</v>
      </c>
      <c r="H1254" t="s">
        <v>51</v>
      </c>
      <c r="I1254" t="s">
        <v>1723</v>
      </c>
      <c r="J1254" t="s">
        <v>2289</v>
      </c>
      <c r="L1254" t="s">
        <v>2290</v>
      </c>
    </row>
    <row r="1255" spans="1:12" x14ac:dyDescent="0.25">
      <c r="A1255" t="s">
        <v>3909</v>
      </c>
      <c r="B1255" t="s">
        <v>3910</v>
      </c>
      <c r="C1255" t="s">
        <v>3911</v>
      </c>
      <c r="F1255" t="s">
        <v>1670</v>
      </c>
      <c r="G1255" t="s">
        <v>1722</v>
      </c>
      <c r="H1255" t="s">
        <v>51</v>
      </c>
      <c r="I1255" t="s">
        <v>1723</v>
      </c>
      <c r="J1255" t="s">
        <v>2289</v>
      </c>
      <c r="L1255" t="s">
        <v>2290</v>
      </c>
    </row>
    <row r="1256" spans="1:12" x14ac:dyDescent="0.25">
      <c r="A1256" t="s">
        <v>3912</v>
      </c>
      <c r="B1256" t="s">
        <v>3913</v>
      </c>
      <c r="C1256" t="s">
        <v>3914</v>
      </c>
      <c r="F1256" t="s">
        <v>2239</v>
      </c>
      <c r="G1256" t="s">
        <v>1722</v>
      </c>
      <c r="H1256" t="s">
        <v>51</v>
      </c>
      <c r="I1256" t="s">
        <v>1723</v>
      </c>
      <c r="J1256" t="s">
        <v>2289</v>
      </c>
      <c r="L1256" t="s">
        <v>2290</v>
      </c>
    </row>
    <row r="1257" spans="1:12" x14ac:dyDescent="0.25">
      <c r="A1257" t="s">
        <v>3915</v>
      </c>
      <c r="B1257" t="s">
        <v>3916</v>
      </c>
      <c r="C1257" t="s">
        <v>3917</v>
      </c>
      <c r="F1257" t="s">
        <v>1742</v>
      </c>
      <c r="G1257" t="s">
        <v>1722</v>
      </c>
      <c r="H1257" t="s">
        <v>51</v>
      </c>
      <c r="I1257" t="s">
        <v>1723</v>
      </c>
      <c r="J1257" t="s">
        <v>2289</v>
      </c>
      <c r="L1257" t="s">
        <v>2290</v>
      </c>
    </row>
    <row r="1258" spans="1:12" x14ac:dyDescent="0.25">
      <c r="A1258" t="s">
        <v>3918</v>
      </c>
      <c r="B1258" t="s">
        <v>3919</v>
      </c>
      <c r="C1258" t="s">
        <v>3920</v>
      </c>
      <c r="F1258" t="s">
        <v>1670</v>
      </c>
      <c r="G1258" t="s">
        <v>1722</v>
      </c>
      <c r="H1258" t="s">
        <v>51</v>
      </c>
      <c r="I1258" t="s">
        <v>1723</v>
      </c>
      <c r="J1258" t="s">
        <v>2289</v>
      </c>
      <c r="L1258" t="s">
        <v>2290</v>
      </c>
    </row>
    <row r="1259" spans="1:12" x14ac:dyDescent="0.25">
      <c r="A1259" t="s">
        <v>3921</v>
      </c>
      <c r="B1259" t="s">
        <v>3922</v>
      </c>
      <c r="C1259" t="s">
        <v>3923</v>
      </c>
      <c r="F1259" t="s">
        <v>3899</v>
      </c>
      <c r="G1259" t="s">
        <v>1722</v>
      </c>
      <c r="H1259" t="s">
        <v>51</v>
      </c>
      <c r="I1259" t="s">
        <v>1723</v>
      </c>
      <c r="J1259" t="s">
        <v>2289</v>
      </c>
      <c r="L1259" t="s">
        <v>2290</v>
      </c>
    </row>
    <row r="1260" spans="1:12" x14ac:dyDescent="0.25">
      <c r="A1260" t="s">
        <v>3924</v>
      </c>
      <c r="B1260" t="s">
        <v>3925</v>
      </c>
      <c r="C1260" t="s">
        <v>3926</v>
      </c>
      <c r="F1260" t="s">
        <v>188</v>
      </c>
      <c r="G1260" t="s">
        <v>1722</v>
      </c>
      <c r="H1260" t="s">
        <v>51</v>
      </c>
      <c r="I1260" t="s">
        <v>1723</v>
      </c>
      <c r="J1260" t="s">
        <v>2289</v>
      </c>
      <c r="L1260" t="s">
        <v>2290</v>
      </c>
    </row>
    <row r="1261" spans="1:12" x14ac:dyDescent="0.25">
      <c r="A1261" t="s">
        <v>3927</v>
      </c>
      <c r="B1261" t="s">
        <v>3928</v>
      </c>
      <c r="C1261" t="s">
        <v>3929</v>
      </c>
      <c r="F1261" t="s">
        <v>152</v>
      </c>
      <c r="G1261" t="s">
        <v>1722</v>
      </c>
      <c r="H1261" t="s">
        <v>51</v>
      </c>
      <c r="I1261" t="s">
        <v>1723</v>
      </c>
      <c r="J1261" t="s">
        <v>2289</v>
      </c>
      <c r="L1261" t="s">
        <v>2290</v>
      </c>
    </row>
    <row r="1262" spans="1:12" x14ac:dyDescent="0.25">
      <c r="A1262" t="s">
        <v>3930</v>
      </c>
      <c r="B1262" t="s">
        <v>3931</v>
      </c>
      <c r="C1262" t="s">
        <v>3932</v>
      </c>
      <c r="F1262" t="s">
        <v>188</v>
      </c>
      <c r="G1262" t="s">
        <v>1722</v>
      </c>
      <c r="H1262" t="s">
        <v>51</v>
      </c>
      <c r="I1262" t="s">
        <v>1723</v>
      </c>
      <c r="J1262" t="s">
        <v>2289</v>
      </c>
      <c r="L1262" t="s">
        <v>2290</v>
      </c>
    </row>
    <row r="1263" spans="1:12" x14ac:dyDescent="0.25">
      <c r="A1263" t="s">
        <v>3933</v>
      </c>
      <c r="B1263" t="s">
        <v>3934</v>
      </c>
      <c r="C1263" t="s">
        <v>3935</v>
      </c>
      <c r="F1263" t="s">
        <v>188</v>
      </c>
      <c r="G1263" t="s">
        <v>1722</v>
      </c>
      <c r="H1263" t="s">
        <v>51</v>
      </c>
      <c r="I1263" t="s">
        <v>1723</v>
      </c>
      <c r="J1263" t="s">
        <v>2289</v>
      </c>
      <c r="L1263" t="s">
        <v>2290</v>
      </c>
    </row>
    <row r="1264" spans="1:12" x14ac:dyDescent="0.25">
      <c r="A1264" t="s">
        <v>3936</v>
      </c>
      <c r="B1264" t="s">
        <v>3937</v>
      </c>
      <c r="C1264" t="s">
        <v>3938</v>
      </c>
      <c r="F1264" t="s">
        <v>152</v>
      </c>
      <c r="G1264" t="s">
        <v>1722</v>
      </c>
      <c r="H1264" t="s">
        <v>51</v>
      </c>
      <c r="I1264" t="s">
        <v>1723</v>
      </c>
      <c r="J1264" t="s">
        <v>2289</v>
      </c>
      <c r="L1264" t="s">
        <v>2290</v>
      </c>
    </row>
    <row r="1265" spans="1:12" x14ac:dyDescent="0.25">
      <c r="A1265" t="s">
        <v>3939</v>
      </c>
      <c r="B1265" t="s">
        <v>3940</v>
      </c>
      <c r="C1265" t="s">
        <v>3941</v>
      </c>
      <c r="F1265" t="s">
        <v>188</v>
      </c>
      <c r="G1265" t="s">
        <v>1722</v>
      </c>
      <c r="H1265" t="s">
        <v>51</v>
      </c>
      <c r="I1265" t="s">
        <v>1723</v>
      </c>
      <c r="J1265" t="s">
        <v>2289</v>
      </c>
      <c r="L1265" t="s">
        <v>2290</v>
      </c>
    </row>
    <row r="1266" spans="1:12" x14ac:dyDescent="0.25">
      <c r="A1266" t="s">
        <v>3942</v>
      </c>
      <c r="B1266" t="s">
        <v>3943</v>
      </c>
      <c r="C1266" t="s">
        <v>3944</v>
      </c>
      <c r="F1266" t="s">
        <v>188</v>
      </c>
      <c r="G1266" t="s">
        <v>1722</v>
      </c>
      <c r="H1266" t="s">
        <v>51</v>
      </c>
      <c r="I1266" t="s">
        <v>1723</v>
      </c>
      <c r="J1266" t="s">
        <v>2289</v>
      </c>
      <c r="L1266" t="s">
        <v>2290</v>
      </c>
    </row>
    <row r="1267" spans="1:12" x14ac:dyDescent="0.25">
      <c r="A1267" t="s">
        <v>3945</v>
      </c>
      <c r="B1267" t="s">
        <v>3946</v>
      </c>
      <c r="C1267" t="s">
        <v>3947</v>
      </c>
      <c r="F1267" t="s">
        <v>188</v>
      </c>
      <c r="G1267" t="s">
        <v>1722</v>
      </c>
      <c r="H1267" t="s">
        <v>51</v>
      </c>
      <c r="I1267" t="s">
        <v>1723</v>
      </c>
      <c r="J1267" t="s">
        <v>2289</v>
      </c>
      <c r="L1267" t="s">
        <v>2290</v>
      </c>
    </row>
    <row r="1268" spans="1:12" x14ac:dyDescent="0.25">
      <c r="A1268" t="s">
        <v>3948</v>
      </c>
      <c r="B1268" t="s">
        <v>3949</v>
      </c>
      <c r="C1268" t="s">
        <v>3950</v>
      </c>
      <c r="F1268" t="s">
        <v>188</v>
      </c>
      <c r="G1268" t="s">
        <v>1722</v>
      </c>
      <c r="H1268" t="s">
        <v>51</v>
      </c>
      <c r="I1268" t="s">
        <v>1723</v>
      </c>
      <c r="J1268" t="s">
        <v>2289</v>
      </c>
      <c r="L1268" t="s">
        <v>2290</v>
      </c>
    </row>
    <row r="1269" spans="1:12" x14ac:dyDescent="0.25">
      <c r="A1269" t="s">
        <v>3951</v>
      </c>
      <c r="B1269" t="s">
        <v>3952</v>
      </c>
      <c r="C1269" t="s">
        <v>3953</v>
      </c>
      <c r="F1269" t="s">
        <v>188</v>
      </c>
      <c r="G1269" t="s">
        <v>1722</v>
      </c>
      <c r="H1269" t="s">
        <v>51</v>
      </c>
      <c r="I1269" t="s">
        <v>1723</v>
      </c>
      <c r="J1269" t="s">
        <v>2289</v>
      </c>
      <c r="L1269" t="s">
        <v>2290</v>
      </c>
    </row>
    <row r="1270" spans="1:12" x14ac:dyDescent="0.25">
      <c r="A1270" t="s">
        <v>3954</v>
      </c>
      <c r="B1270" t="s">
        <v>3955</v>
      </c>
      <c r="C1270" t="s">
        <v>3956</v>
      </c>
      <c r="F1270" t="s">
        <v>188</v>
      </c>
      <c r="G1270" t="s">
        <v>1722</v>
      </c>
      <c r="H1270" t="s">
        <v>51</v>
      </c>
      <c r="I1270" t="s">
        <v>1723</v>
      </c>
      <c r="J1270" t="s">
        <v>2289</v>
      </c>
      <c r="L1270" t="s">
        <v>2290</v>
      </c>
    </row>
    <row r="1271" spans="1:12" x14ac:dyDescent="0.25">
      <c r="A1271" t="s">
        <v>3957</v>
      </c>
      <c r="B1271" t="s">
        <v>3958</v>
      </c>
      <c r="C1271" t="s">
        <v>3959</v>
      </c>
      <c r="F1271" t="s">
        <v>188</v>
      </c>
      <c r="G1271" t="s">
        <v>1722</v>
      </c>
      <c r="H1271" t="s">
        <v>51</v>
      </c>
      <c r="I1271" t="s">
        <v>1723</v>
      </c>
      <c r="J1271" t="s">
        <v>2289</v>
      </c>
      <c r="L1271" t="s">
        <v>2290</v>
      </c>
    </row>
    <row r="1272" spans="1:12" x14ac:dyDescent="0.25">
      <c r="A1272" t="s">
        <v>3960</v>
      </c>
      <c r="B1272" t="s">
        <v>3961</v>
      </c>
      <c r="C1272" t="s">
        <v>3962</v>
      </c>
      <c r="F1272" t="s">
        <v>152</v>
      </c>
      <c r="G1272" t="s">
        <v>1722</v>
      </c>
      <c r="H1272" t="s">
        <v>51</v>
      </c>
      <c r="I1272" t="s">
        <v>1723</v>
      </c>
      <c r="J1272" t="s">
        <v>3963</v>
      </c>
      <c r="L1272" t="s">
        <v>3964</v>
      </c>
    </row>
    <row r="1273" spans="1:12" x14ac:dyDescent="0.25">
      <c r="A1273" t="s">
        <v>3965</v>
      </c>
      <c r="B1273" t="s">
        <v>3966</v>
      </c>
      <c r="C1273" t="s">
        <v>3967</v>
      </c>
      <c r="F1273" t="s">
        <v>3213</v>
      </c>
      <c r="G1273" t="s">
        <v>1722</v>
      </c>
      <c r="H1273" t="s">
        <v>51</v>
      </c>
      <c r="I1273" t="s">
        <v>1723</v>
      </c>
      <c r="J1273" t="s">
        <v>3963</v>
      </c>
      <c r="L1273" t="s">
        <v>3964</v>
      </c>
    </row>
    <row r="1274" spans="1:12" x14ac:dyDescent="0.25">
      <c r="A1274" t="s">
        <v>3968</v>
      </c>
      <c r="B1274" t="s">
        <v>3969</v>
      </c>
      <c r="C1274" t="s">
        <v>3970</v>
      </c>
      <c r="F1274" t="s">
        <v>3213</v>
      </c>
      <c r="G1274" t="s">
        <v>1722</v>
      </c>
      <c r="H1274" t="s">
        <v>51</v>
      </c>
      <c r="I1274" t="s">
        <v>1723</v>
      </c>
      <c r="J1274" t="s">
        <v>3963</v>
      </c>
      <c r="L1274" t="s">
        <v>3964</v>
      </c>
    </row>
    <row r="1275" spans="1:12" x14ac:dyDescent="0.25">
      <c r="A1275" t="s">
        <v>3971</v>
      </c>
      <c r="B1275" t="s">
        <v>3972</v>
      </c>
      <c r="C1275" t="s">
        <v>3973</v>
      </c>
      <c r="F1275" t="s">
        <v>1140</v>
      </c>
      <c r="G1275" t="s">
        <v>1722</v>
      </c>
      <c r="H1275" t="s">
        <v>51</v>
      </c>
      <c r="I1275" t="s">
        <v>1723</v>
      </c>
      <c r="J1275" t="s">
        <v>3963</v>
      </c>
      <c r="L1275" t="s">
        <v>3964</v>
      </c>
    </row>
    <row r="1276" spans="1:12" x14ac:dyDescent="0.25">
      <c r="A1276" t="s">
        <v>3974</v>
      </c>
      <c r="B1276" t="s">
        <v>3975</v>
      </c>
      <c r="C1276" t="s">
        <v>3976</v>
      </c>
      <c r="F1276" t="s">
        <v>188</v>
      </c>
      <c r="G1276" t="s">
        <v>1722</v>
      </c>
      <c r="H1276" t="s">
        <v>51</v>
      </c>
      <c r="I1276" t="s">
        <v>1723</v>
      </c>
      <c r="J1276" t="s">
        <v>3963</v>
      </c>
      <c r="L1276" t="s">
        <v>3964</v>
      </c>
    </row>
    <row r="1277" spans="1:12" x14ac:dyDescent="0.25">
      <c r="A1277" t="s">
        <v>3977</v>
      </c>
      <c r="B1277" t="s">
        <v>3978</v>
      </c>
      <c r="C1277" t="s">
        <v>3979</v>
      </c>
      <c r="F1277" t="s">
        <v>188</v>
      </c>
      <c r="G1277" t="s">
        <v>1722</v>
      </c>
      <c r="H1277" t="s">
        <v>51</v>
      </c>
      <c r="I1277" t="s">
        <v>1723</v>
      </c>
      <c r="J1277" t="s">
        <v>3963</v>
      </c>
      <c r="L1277" t="s">
        <v>3964</v>
      </c>
    </row>
    <row r="1278" spans="1:12" x14ac:dyDescent="0.25">
      <c r="A1278" t="s">
        <v>3980</v>
      </c>
      <c r="B1278" t="s">
        <v>3981</v>
      </c>
      <c r="C1278" t="s">
        <v>3982</v>
      </c>
      <c r="F1278" t="s">
        <v>1851</v>
      </c>
      <c r="G1278" t="s">
        <v>1722</v>
      </c>
      <c r="H1278" t="s">
        <v>51</v>
      </c>
      <c r="I1278" t="s">
        <v>1723</v>
      </c>
      <c r="J1278" t="s">
        <v>3963</v>
      </c>
      <c r="L1278" t="s">
        <v>3964</v>
      </c>
    </row>
    <row r="1279" spans="1:12" x14ac:dyDescent="0.25">
      <c r="A1279" t="s">
        <v>3983</v>
      </c>
      <c r="B1279" t="s">
        <v>3984</v>
      </c>
      <c r="C1279" t="s">
        <v>3985</v>
      </c>
      <c r="F1279" t="s">
        <v>398</v>
      </c>
      <c r="G1279" t="s">
        <v>1722</v>
      </c>
      <c r="H1279" t="s">
        <v>51</v>
      </c>
      <c r="I1279" t="s">
        <v>1723</v>
      </c>
      <c r="J1279" t="s">
        <v>3963</v>
      </c>
      <c r="L1279" t="s">
        <v>3964</v>
      </c>
    </row>
    <row r="1280" spans="1:12" x14ac:dyDescent="0.25">
      <c r="A1280" t="s">
        <v>3986</v>
      </c>
      <c r="B1280" t="s">
        <v>3987</v>
      </c>
      <c r="C1280" t="s">
        <v>3988</v>
      </c>
      <c r="F1280" t="s">
        <v>188</v>
      </c>
      <c r="G1280" t="s">
        <v>1722</v>
      </c>
      <c r="H1280" t="s">
        <v>51</v>
      </c>
      <c r="I1280" t="s">
        <v>1723</v>
      </c>
      <c r="J1280" t="s">
        <v>3963</v>
      </c>
      <c r="L1280" t="s">
        <v>3964</v>
      </c>
    </row>
    <row r="1281" spans="1:12" x14ac:dyDescent="0.25">
      <c r="A1281" t="s">
        <v>3989</v>
      </c>
      <c r="B1281" t="s">
        <v>3990</v>
      </c>
      <c r="C1281" t="s">
        <v>3991</v>
      </c>
      <c r="F1281" t="s">
        <v>398</v>
      </c>
      <c r="G1281" t="s">
        <v>1722</v>
      </c>
      <c r="H1281" t="s">
        <v>51</v>
      </c>
      <c r="I1281" t="s">
        <v>1723</v>
      </c>
      <c r="J1281" t="s">
        <v>3963</v>
      </c>
      <c r="L1281" t="s">
        <v>3964</v>
      </c>
    </row>
    <row r="1282" spans="1:12" x14ac:dyDescent="0.25">
      <c r="A1282" t="s">
        <v>3992</v>
      </c>
      <c r="B1282" t="s">
        <v>3993</v>
      </c>
      <c r="C1282" t="s">
        <v>3994</v>
      </c>
      <c r="F1282" t="s">
        <v>1140</v>
      </c>
      <c r="G1282" t="s">
        <v>1722</v>
      </c>
      <c r="H1282" t="s">
        <v>51</v>
      </c>
      <c r="I1282" t="s">
        <v>1723</v>
      </c>
      <c r="J1282" t="s">
        <v>3963</v>
      </c>
      <c r="L1282" t="s">
        <v>3964</v>
      </c>
    </row>
    <row r="1283" spans="1:12" x14ac:dyDescent="0.25">
      <c r="A1283" t="s">
        <v>3995</v>
      </c>
      <c r="B1283" t="s">
        <v>3996</v>
      </c>
      <c r="C1283" t="s">
        <v>3997</v>
      </c>
      <c r="F1283" t="s">
        <v>152</v>
      </c>
      <c r="G1283" t="s">
        <v>1722</v>
      </c>
      <c r="H1283" t="s">
        <v>51</v>
      </c>
      <c r="I1283" t="s">
        <v>1723</v>
      </c>
      <c r="J1283" t="s">
        <v>3963</v>
      </c>
      <c r="L1283" t="s">
        <v>3964</v>
      </c>
    </row>
    <row r="1284" spans="1:12" x14ac:dyDescent="0.25">
      <c r="A1284" t="s">
        <v>3998</v>
      </c>
      <c r="B1284" t="s">
        <v>3999</v>
      </c>
      <c r="C1284" t="s">
        <v>4000</v>
      </c>
      <c r="F1284" t="s">
        <v>398</v>
      </c>
      <c r="G1284" t="s">
        <v>1722</v>
      </c>
      <c r="H1284" t="s">
        <v>51</v>
      </c>
      <c r="I1284" t="s">
        <v>1723</v>
      </c>
      <c r="J1284" t="s">
        <v>3963</v>
      </c>
      <c r="L1284" t="s">
        <v>3964</v>
      </c>
    </row>
    <row r="1285" spans="1:12" x14ac:dyDescent="0.25">
      <c r="A1285" t="s">
        <v>4001</v>
      </c>
      <c r="B1285" t="s">
        <v>4002</v>
      </c>
      <c r="C1285" t="s">
        <v>4003</v>
      </c>
      <c r="F1285" t="s">
        <v>1140</v>
      </c>
      <c r="G1285" t="s">
        <v>1722</v>
      </c>
      <c r="H1285" t="s">
        <v>51</v>
      </c>
      <c r="I1285" t="s">
        <v>1723</v>
      </c>
      <c r="J1285" t="s">
        <v>3963</v>
      </c>
      <c r="L1285" t="s">
        <v>3964</v>
      </c>
    </row>
    <row r="1286" spans="1:12" x14ac:dyDescent="0.25">
      <c r="A1286" t="s">
        <v>4004</v>
      </c>
      <c r="B1286" t="s">
        <v>4005</v>
      </c>
      <c r="C1286" t="s">
        <v>4006</v>
      </c>
      <c r="F1286" t="s">
        <v>2950</v>
      </c>
      <c r="G1286" t="s">
        <v>1722</v>
      </c>
      <c r="H1286" t="s">
        <v>51</v>
      </c>
      <c r="I1286" t="s">
        <v>1723</v>
      </c>
      <c r="J1286" t="s">
        <v>3963</v>
      </c>
      <c r="L1286" t="s">
        <v>3964</v>
      </c>
    </row>
    <row r="1287" spans="1:12" x14ac:dyDescent="0.25">
      <c r="A1287" t="s">
        <v>4007</v>
      </c>
      <c r="B1287" t="s">
        <v>3281</v>
      </c>
      <c r="F1287" t="s">
        <v>1617</v>
      </c>
      <c r="G1287" t="s">
        <v>123</v>
      </c>
      <c r="H1287" t="s">
        <v>51</v>
      </c>
      <c r="I1287" t="s">
        <v>124</v>
      </c>
      <c r="J1287" t="s">
        <v>125</v>
      </c>
      <c r="L1287" t="s">
        <v>126</v>
      </c>
    </row>
    <row r="1288" spans="1:12" x14ac:dyDescent="0.25">
      <c r="A1288" t="s">
        <v>4008</v>
      </c>
      <c r="B1288" t="s">
        <v>4009</v>
      </c>
      <c r="F1288" t="s">
        <v>122</v>
      </c>
      <c r="G1288" t="s">
        <v>123</v>
      </c>
      <c r="H1288" t="s">
        <v>51</v>
      </c>
      <c r="I1288" t="s">
        <v>124</v>
      </c>
      <c r="J1288" t="s">
        <v>125</v>
      </c>
      <c r="L1288" t="s">
        <v>126</v>
      </c>
    </row>
    <row r="1289" spans="1:12" x14ac:dyDescent="0.25">
      <c r="A1289" t="s">
        <v>4010</v>
      </c>
      <c r="B1289" t="s">
        <v>4011</v>
      </c>
      <c r="C1289" t="s">
        <v>4012</v>
      </c>
      <c r="F1289" t="s">
        <v>2370</v>
      </c>
      <c r="G1289" t="s">
        <v>1722</v>
      </c>
      <c r="H1289" t="s">
        <v>51</v>
      </c>
      <c r="I1289" t="s">
        <v>1723</v>
      </c>
      <c r="J1289" t="s">
        <v>2289</v>
      </c>
      <c r="L1289" t="s">
        <v>2290</v>
      </c>
    </row>
    <row r="1290" spans="1:12" x14ac:dyDescent="0.25">
      <c r="A1290" t="s">
        <v>4013</v>
      </c>
      <c r="B1290" t="s">
        <v>4014</v>
      </c>
      <c r="C1290" t="s">
        <v>4015</v>
      </c>
      <c r="F1290" t="s">
        <v>2007</v>
      </c>
      <c r="G1290" t="s">
        <v>1722</v>
      </c>
      <c r="H1290" t="s">
        <v>51</v>
      </c>
      <c r="I1290" t="s">
        <v>1723</v>
      </c>
      <c r="J1290" t="s">
        <v>2289</v>
      </c>
      <c r="L1290" t="s">
        <v>2290</v>
      </c>
    </row>
    <row r="1291" spans="1:12" x14ac:dyDescent="0.25">
      <c r="A1291" t="s">
        <v>4016</v>
      </c>
      <c r="B1291" t="s">
        <v>4017</v>
      </c>
      <c r="C1291" t="s">
        <v>4018</v>
      </c>
      <c r="F1291" t="s">
        <v>1734</v>
      </c>
      <c r="G1291" t="s">
        <v>1722</v>
      </c>
      <c r="H1291" t="s">
        <v>51</v>
      </c>
      <c r="I1291" t="s">
        <v>1723</v>
      </c>
      <c r="J1291" t="s">
        <v>2289</v>
      </c>
      <c r="L1291" t="s">
        <v>2290</v>
      </c>
    </row>
    <row r="1292" spans="1:12" x14ac:dyDescent="0.25">
      <c r="A1292" t="s">
        <v>4019</v>
      </c>
      <c r="B1292" t="s">
        <v>4020</v>
      </c>
      <c r="C1292" t="s">
        <v>4021</v>
      </c>
      <c r="F1292" t="s">
        <v>1734</v>
      </c>
      <c r="G1292" t="s">
        <v>1722</v>
      </c>
      <c r="H1292" t="s">
        <v>51</v>
      </c>
      <c r="I1292" t="s">
        <v>1723</v>
      </c>
      <c r="J1292" t="s">
        <v>2289</v>
      </c>
      <c r="L1292" t="s">
        <v>2290</v>
      </c>
    </row>
    <row r="1293" spans="1:12" x14ac:dyDescent="0.25">
      <c r="A1293" t="s">
        <v>4022</v>
      </c>
      <c r="B1293" t="s">
        <v>4023</v>
      </c>
      <c r="C1293" t="s">
        <v>4024</v>
      </c>
      <c r="F1293" t="s">
        <v>1670</v>
      </c>
      <c r="G1293" t="s">
        <v>1722</v>
      </c>
      <c r="H1293" t="s">
        <v>51</v>
      </c>
      <c r="I1293" t="s">
        <v>1723</v>
      </c>
      <c r="J1293" t="s">
        <v>2289</v>
      </c>
      <c r="L1293" t="s">
        <v>2290</v>
      </c>
    </row>
    <row r="1294" spans="1:12" x14ac:dyDescent="0.25">
      <c r="A1294" t="s">
        <v>4025</v>
      </c>
      <c r="B1294" t="s">
        <v>4026</v>
      </c>
      <c r="C1294" t="s">
        <v>4027</v>
      </c>
      <c r="F1294" t="s">
        <v>1734</v>
      </c>
      <c r="G1294" t="s">
        <v>1722</v>
      </c>
      <c r="H1294" t="s">
        <v>51</v>
      </c>
      <c r="I1294" t="s">
        <v>1723</v>
      </c>
      <c r="J1294" t="s">
        <v>2289</v>
      </c>
      <c r="L1294" t="s">
        <v>2290</v>
      </c>
    </row>
    <row r="1295" spans="1:12" x14ac:dyDescent="0.25">
      <c r="A1295" t="s">
        <v>4028</v>
      </c>
      <c r="B1295" t="s">
        <v>4029</v>
      </c>
      <c r="C1295" t="s">
        <v>4030</v>
      </c>
      <c r="F1295" t="s">
        <v>1734</v>
      </c>
      <c r="G1295" t="s">
        <v>1722</v>
      </c>
      <c r="H1295" t="s">
        <v>51</v>
      </c>
      <c r="I1295" t="s">
        <v>1723</v>
      </c>
      <c r="J1295" t="s">
        <v>2289</v>
      </c>
      <c r="L1295" t="s">
        <v>2290</v>
      </c>
    </row>
    <row r="1296" spans="1:12" x14ac:dyDescent="0.25">
      <c r="A1296" t="s">
        <v>4031</v>
      </c>
      <c r="B1296" t="s">
        <v>4032</v>
      </c>
      <c r="C1296" t="s">
        <v>4033</v>
      </c>
      <c r="F1296" t="s">
        <v>1734</v>
      </c>
      <c r="G1296" t="s">
        <v>1722</v>
      </c>
      <c r="H1296" t="s">
        <v>51</v>
      </c>
      <c r="I1296" t="s">
        <v>1723</v>
      </c>
      <c r="J1296" t="s">
        <v>2289</v>
      </c>
      <c r="L1296" t="s">
        <v>2290</v>
      </c>
    </row>
    <row r="1297" spans="1:12" x14ac:dyDescent="0.25">
      <c r="A1297" t="s">
        <v>4034</v>
      </c>
      <c r="B1297" t="s">
        <v>4035</v>
      </c>
      <c r="C1297" t="s">
        <v>4036</v>
      </c>
      <c r="F1297" t="s">
        <v>1734</v>
      </c>
      <c r="G1297" t="s">
        <v>1722</v>
      </c>
      <c r="H1297" t="s">
        <v>51</v>
      </c>
      <c r="I1297" t="s">
        <v>1723</v>
      </c>
      <c r="J1297" t="s">
        <v>2289</v>
      </c>
      <c r="L1297" t="s">
        <v>2290</v>
      </c>
    </row>
    <row r="1298" spans="1:12" x14ac:dyDescent="0.25">
      <c r="A1298" t="s">
        <v>4037</v>
      </c>
      <c r="B1298" t="s">
        <v>4038</v>
      </c>
      <c r="C1298" t="s">
        <v>4039</v>
      </c>
      <c r="F1298" t="s">
        <v>2370</v>
      </c>
      <c r="G1298" t="s">
        <v>1722</v>
      </c>
      <c r="H1298" t="s">
        <v>51</v>
      </c>
      <c r="I1298" t="s">
        <v>1723</v>
      </c>
      <c r="J1298" t="s">
        <v>2289</v>
      </c>
      <c r="L1298" t="s">
        <v>2290</v>
      </c>
    </row>
    <row r="1299" spans="1:12" x14ac:dyDescent="0.25">
      <c r="A1299" t="s">
        <v>4040</v>
      </c>
      <c r="B1299" t="s">
        <v>4041</v>
      </c>
      <c r="C1299" t="s">
        <v>4042</v>
      </c>
      <c r="F1299" t="s">
        <v>1140</v>
      </c>
      <c r="G1299" t="s">
        <v>1722</v>
      </c>
      <c r="H1299" t="s">
        <v>51</v>
      </c>
      <c r="I1299" t="s">
        <v>1723</v>
      </c>
      <c r="J1299" t="s">
        <v>4043</v>
      </c>
      <c r="L1299" t="s">
        <v>4044</v>
      </c>
    </row>
    <row r="1300" spans="1:12" x14ac:dyDescent="0.25">
      <c r="A1300" t="s">
        <v>4045</v>
      </c>
      <c r="B1300" t="s">
        <v>4046</v>
      </c>
      <c r="C1300" t="s">
        <v>4047</v>
      </c>
      <c r="F1300" t="s">
        <v>1140</v>
      </c>
      <c r="G1300" t="s">
        <v>1722</v>
      </c>
      <c r="H1300" t="s">
        <v>51</v>
      </c>
      <c r="I1300" t="s">
        <v>1723</v>
      </c>
      <c r="J1300" t="s">
        <v>4043</v>
      </c>
      <c r="L1300" t="s">
        <v>4044</v>
      </c>
    </row>
    <row r="1301" spans="1:12" x14ac:dyDescent="0.25">
      <c r="A1301" t="s">
        <v>4048</v>
      </c>
      <c r="B1301" t="s">
        <v>2352</v>
      </c>
      <c r="C1301" t="s">
        <v>4049</v>
      </c>
      <c r="F1301" t="s">
        <v>1140</v>
      </c>
      <c r="G1301" t="s">
        <v>1722</v>
      </c>
      <c r="H1301" t="s">
        <v>51</v>
      </c>
      <c r="I1301" t="s">
        <v>1723</v>
      </c>
      <c r="J1301" t="s">
        <v>4043</v>
      </c>
      <c r="L1301" t="s">
        <v>4044</v>
      </c>
    </row>
    <row r="1302" spans="1:12" x14ac:dyDescent="0.25">
      <c r="A1302" t="s">
        <v>4050</v>
      </c>
      <c r="B1302" t="s">
        <v>4051</v>
      </c>
      <c r="C1302" t="s">
        <v>4052</v>
      </c>
      <c r="F1302" t="s">
        <v>4053</v>
      </c>
      <c r="G1302" t="s">
        <v>1722</v>
      </c>
      <c r="H1302" t="s">
        <v>51</v>
      </c>
      <c r="I1302" t="s">
        <v>1723</v>
      </c>
      <c r="J1302" t="s">
        <v>4043</v>
      </c>
      <c r="L1302" t="s">
        <v>4044</v>
      </c>
    </row>
    <row r="1303" spans="1:12" x14ac:dyDescent="0.25">
      <c r="A1303" t="s">
        <v>4054</v>
      </c>
      <c r="B1303" t="s">
        <v>4055</v>
      </c>
      <c r="C1303" t="s">
        <v>4056</v>
      </c>
      <c r="F1303" t="s">
        <v>1140</v>
      </c>
      <c r="G1303" t="s">
        <v>1722</v>
      </c>
      <c r="H1303" t="s">
        <v>51</v>
      </c>
      <c r="I1303" t="s">
        <v>1723</v>
      </c>
      <c r="J1303" t="s">
        <v>4043</v>
      </c>
      <c r="L1303" t="s">
        <v>4044</v>
      </c>
    </row>
    <row r="1304" spans="1:12" x14ac:dyDescent="0.25">
      <c r="A1304" t="s">
        <v>4057</v>
      </c>
      <c r="B1304" t="s">
        <v>4058</v>
      </c>
      <c r="C1304" t="s">
        <v>4059</v>
      </c>
      <c r="F1304" t="s">
        <v>1140</v>
      </c>
      <c r="G1304" t="s">
        <v>1722</v>
      </c>
      <c r="H1304" t="s">
        <v>51</v>
      </c>
      <c r="I1304" t="s">
        <v>1723</v>
      </c>
      <c r="J1304" t="s">
        <v>4043</v>
      </c>
      <c r="L1304" t="s">
        <v>4044</v>
      </c>
    </row>
    <row r="1305" spans="1:12" x14ac:dyDescent="0.25">
      <c r="A1305" t="s">
        <v>4060</v>
      </c>
      <c r="B1305" t="s">
        <v>4061</v>
      </c>
      <c r="C1305" t="s">
        <v>4062</v>
      </c>
      <c r="F1305" t="s">
        <v>1140</v>
      </c>
      <c r="G1305" t="s">
        <v>1722</v>
      </c>
      <c r="H1305" t="s">
        <v>51</v>
      </c>
      <c r="I1305" t="s">
        <v>1723</v>
      </c>
      <c r="J1305" t="s">
        <v>4043</v>
      </c>
      <c r="L1305" t="s">
        <v>4044</v>
      </c>
    </row>
    <row r="1306" spans="1:12" x14ac:dyDescent="0.25">
      <c r="A1306" t="s">
        <v>4063</v>
      </c>
      <c r="B1306" t="s">
        <v>4064</v>
      </c>
      <c r="C1306" t="s">
        <v>4065</v>
      </c>
      <c r="F1306" t="s">
        <v>1140</v>
      </c>
      <c r="G1306" t="s">
        <v>1722</v>
      </c>
      <c r="H1306" t="s">
        <v>51</v>
      </c>
      <c r="I1306" t="s">
        <v>1723</v>
      </c>
      <c r="J1306" t="s">
        <v>4043</v>
      </c>
      <c r="L1306" t="s">
        <v>4044</v>
      </c>
    </row>
    <row r="1307" spans="1:12" x14ac:dyDescent="0.25">
      <c r="A1307" t="s">
        <v>4066</v>
      </c>
      <c r="B1307" t="s">
        <v>4067</v>
      </c>
      <c r="C1307" t="s">
        <v>4068</v>
      </c>
      <c r="F1307" t="s">
        <v>1140</v>
      </c>
      <c r="G1307" t="s">
        <v>1722</v>
      </c>
      <c r="H1307" t="s">
        <v>51</v>
      </c>
      <c r="I1307" t="s">
        <v>1723</v>
      </c>
      <c r="J1307" t="s">
        <v>4043</v>
      </c>
      <c r="L1307" t="s">
        <v>4044</v>
      </c>
    </row>
    <row r="1308" spans="1:12" x14ac:dyDescent="0.25">
      <c r="A1308" t="s">
        <v>4069</v>
      </c>
      <c r="B1308" t="s">
        <v>4070</v>
      </c>
      <c r="C1308" t="s">
        <v>4071</v>
      </c>
      <c r="F1308" t="s">
        <v>1140</v>
      </c>
      <c r="G1308" t="s">
        <v>1722</v>
      </c>
      <c r="H1308" t="s">
        <v>51</v>
      </c>
      <c r="I1308" t="s">
        <v>1723</v>
      </c>
      <c r="J1308" t="s">
        <v>4043</v>
      </c>
      <c r="L1308" t="s">
        <v>4044</v>
      </c>
    </row>
    <row r="1309" spans="1:12" x14ac:dyDescent="0.25">
      <c r="A1309" t="s">
        <v>4072</v>
      </c>
      <c r="B1309" t="s">
        <v>4073</v>
      </c>
      <c r="C1309" t="s">
        <v>4074</v>
      </c>
      <c r="F1309" t="s">
        <v>1140</v>
      </c>
      <c r="G1309" t="s">
        <v>1722</v>
      </c>
      <c r="H1309" t="s">
        <v>51</v>
      </c>
      <c r="I1309" t="s">
        <v>1723</v>
      </c>
      <c r="J1309" t="s">
        <v>4043</v>
      </c>
      <c r="L1309" t="s">
        <v>4044</v>
      </c>
    </row>
    <row r="1310" spans="1:12" x14ac:dyDescent="0.25">
      <c r="A1310" t="s">
        <v>4075</v>
      </c>
      <c r="B1310" t="s">
        <v>4076</v>
      </c>
      <c r="C1310" t="s">
        <v>4077</v>
      </c>
      <c r="F1310" t="s">
        <v>398</v>
      </c>
      <c r="G1310" t="s">
        <v>1722</v>
      </c>
      <c r="H1310" t="s">
        <v>51</v>
      </c>
      <c r="I1310" t="s">
        <v>1723</v>
      </c>
      <c r="J1310" t="s">
        <v>4043</v>
      </c>
      <c r="L1310" t="s">
        <v>4044</v>
      </c>
    </row>
    <row r="1311" spans="1:12" x14ac:dyDescent="0.25">
      <c r="A1311" t="s">
        <v>4078</v>
      </c>
      <c r="B1311" t="s">
        <v>4079</v>
      </c>
      <c r="C1311" t="s">
        <v>4080</v>
      </c>
      <c r="F1311" t="s">
        <v>188</v>
      </c>
      <c r="G1311" t="s">
        <v>1722</v>
      </c>
      <c r="H1311" t="s">
        <v>51</v>
      </c>
      <c r="I1311" t="s">
        <v>1723</v>
      </c>
      <c r="J1311" t="s">
        <v>4043</v>
      </c>
      <c r="L1311" t="s">
        <v>4044</v>
      </c>
    </row>
    <row r="1312" spans="1:12" x14ac:dyDescent="0.25">
      <c r="A1312" t="s">
        <v>4081</v>
      </c>
      <c r="B1312" t="s">
        <v>4082</v>
      </c>
      <c r="C1312" t="s">
        <v>4083</v>
      </c>
      <c r="F1312" t="s">
        <v>398</v>
      </c>
      <c r="G1312" t="s">
        <v>1722</v>
      </c>
      <c r="H1312" t="s">
        <v>51</v>
      </c>
      <c r="I1312" t="s">
        <v>1723</v>
      </c>
      <c r="J1312" t="s">
        <v>4043</v>
      </c>
      <c r="L1312" t="s">
        <v>4044</v>
      </c>
    </row>
    <row r="1313" spans="1:12" x14ac:dyDescent="0.25">
      <c r="A1313" t="s">
        <v>4084</v>
      </c>
      <c r="B1313" t="s">
        <v>2346</v>
      </c>
      <c r="C1313" t="s">
        <v>4085</v>
      </c>
      <c r="F1313" t="s">
        <v>1140</v>
      </c>
      <c r="G1313" t="s">
        <v>1722</v>
      </c>
      <c r="H1313" t="s">
        <v>51</v>
      </c>
      <c r="I1313" t="s">
        <v>1723</v>
      </c>
      <c r="J1313" t="s">
        <v>4043</v>
      </c>
      <c r="L1313" t="s">
        <v>4044</v>
      </c>
    </row>
    <row r="1314" spans="1:12" x14ac:dyDescent="0.25">
      <c r="A1314" t="s">
        <v>4086</v>
      </c>
      <c r="B1314" t="s">
        <v>4087</v>
      </c>
      <c r="C1314" t="s">
        <v>4088</v>
      </c>
      <c r="F1314" t="s">
        <v>1140</v>
      </c>
      <c r="G1314" t="s">
        <v>1722</v>
      </c>
      <c r="H1314" t="s">
        <v>51</v>
      </c>
      <c r="I1314" t="s">
        <v>1723</v>
      </c>
      <c r="J1314" t="s">
        <v>4043</v>
      </c>
      <c r="L1314" t="s">
        <v>4044</v>
      </c>
    </row>
    <row r="1315" spans="1:12" x14ac:dyDescent="0.25">
      <c r="A1315" t="s">
        <v>4089</v>
      </c>
      <c r="B1315" t="s">
        <v>4090</v>
      </c>
      <c r="C1315" t="s">
        <v>4091</v>
      </c>
      <c r="F1315" t="s">
        <v>1140</v>
      </c>
      <c r="G1315" t="s">
        <v>1722</v>
      </c>
      <c r="H1315" t="s">
        <v>51</v>
      </c>
      <c r="I1315" t="s">
        <v>1723</v>
      </c>
      <c r="J1315" t="s">
        <v>4043</v>
      </c>
      <c r="L1315" t="s">
        <v>4044</v>
      </c>
    </row>
    <row r="1316" spans="1:12" x14ac:dyDescent="0.25">
      <c r="A1316" t="s">
        <v>4092</v>
      </c>
      <c r="B1316" t="s">
        <v>4093</v>
      </c>
      <c r="C1316" t="s">
        <v>4094</v>
      </c>
      <c r="F1316" t="s">
        <v>1140</v>
      </c>
      <c r="G1316" t="s">
        <v>1722</v>
      </c>
      <c r="H1316" t="s">
        <v>51</v>
      </c>
      <c r="I1316" t="s">
        <v>1723</v>
      </c>
      <c r="J1316" t="s">
        <v>4043</v>
      </c>
      <c r="L1316" t="s">
        <v>4044</v>
      </c>
    </row>
    <row r="1317" spans="1:12" x14ac:dyDescent="0.25">
      <c r="A1317" t="s">
        <v>4095</v>
      </c>
      <c r="B1317" t="s">
        <v>4096</v>
      </c>
      <c r="C1317" t="s">
        <v>4097</v>
      </c>
      <c r="F1317" t="s">
        <v>1140</v>
      </c>
      <c r="G1317" t="s">
        <v>1722</v>
      </c>
      <c r="H1317" t="s">
        <v>51</v>
      </c>
      <c r="I1317" t="s">
        <v>1723</v>
      </c>
      <c r="J1317" t="s">
        <v>4043</v>
      </c>
      <c r="L1317" t="s">
        <v>4044</v>
      </c>
    </row>
    <row r="1318" spans="1:12" x14ac:dyDescent="0.25">
      <c r="A1318" t="s">
        <v>4098</v>
      </c>
      <c r="B1318" t="s">
        <v>2340</v>
      </c>
      <c r="C1318" t="s">
        <v>4099</v>
      </c>
      <c r="F1318" t="s">
        <v>1140</v>
      </c>
      <c r="G1318" t="s">
        <v>1722</v>
      </c>
      <c r="H1318" t="s">
        <v>51</v>
      </c>
      <c r="I1318" t="s">
        <v>1723</v>
      </c>
      <c r="J1318" t="s">
        <v>4043</v>
      </c>
      <c r="L1318" t="s">
        <v>4044</v>
      </c>
    </row>
    <row r="1319" spans="1:12" x14ac:dyDescent="0.25">
      <c r="A1319" t="s">
        <v>4100</v>
      </c>
      <c r="B1319" t="s">
        <v>3284</v>
      </c>
      <c r="F1319" t="s">
        <v>1593</v>
      </c>
      <c r="G1319" t="s">
        <v>123</v>
      </c>
      <c r="H1319" t="s">
        <v>51</v>
      </c>
      <c r="I1319" t="s">
        <v>124</v>
      </c>
      <c r="J1319" t="s">
        <v>125</v>
      </c>
      <c r="L1319" t="s">
        <v>126</v>
      </c>
    </row>
    <row r="1320" spans="1:12" x14ac:dyDescent="0.25">
      <c r="A1320" t="s">
        <v>4101</v>
      </c>
      <c r="B1320" t="s">
        <v>4102</v>
      </c>
      <c r="F1320" t="s">
        <v>4103</v>
      </c>
      <c r="G1320" t="s">
        <v>123</v>
      </c>
      <c r="H1320" t="s">
        <v>51</v>
      </c>
      <c r="I1320" t="s">
        <v>124</v>
      </c>
      <c r="J1320" t="s">
        <v>125</v>
      </c>
      <c r="L1320" t="s">
        <v>126</v>
      </c>
    </row>
    <row r="1321" spans="1:12" x14ac:dyDescent="0.25">
      <c r="A1321" t="s">
        <v>4104</v>
      </c>
      <c r="B1321" t="s">
        <v>4105</v>
      </c>
      <c r="F1321" t="s">
        <v>4103</v>
      </c>
      <c r="G1321" t="s">
        <v>123</v>
      </c>
      <c r="H1321" t="s">
        <v>51</v>
      </c>
      <c r="I1321" t="s">
        <v>124</v>
      </c>
      <c r="J1321" t="s">
        <v>125</v>
      </c>
      <c r="L1321" t="s">
        <v>126</v>
      </c>
    </row>
    <row r="1322" spans="1:12" x14ac:dyDescent="0.25">
      <c r="A1322" t="s">
        <v>4106</v>
      </c>
      <c r="B1322" t="s">
        <v>4107</v>
      </c>
      <c r="C1322" t="s">
        <v>4108</v>
      </c>
      <c r="F1322" t="s">
        <v>4109</v>
      </c>
      <c r="G1322" t="s">
        <v>1722</v>
      </c>
      <c r="H1322" t="s">
        <v>51</v>
      </c>
      <c r="I1322" t="s">
        <v>1723</v>
      </c>
      <c r="J1322" t="s">
        <v>4110</v>
      </c>
      <c r="L1322" t="s">
        <v>4044</v>
      </c>
    </row>
    <row r="1323" spans="1:12" x14ac:dyDescent="0.25">
      <c r="A1323" t="s">
        <v>4111</v>
      </c>
      <c r="B1323" t="s">
        <v>4112</v>
      </c>
      <c r="C1323" t="s">
        <v>4113</v>
      </c>
      <c r="F1323" t="s">
        <v>4114</v>
      </c>
      <c r="G1323" t="s">
        <v>1722</v>
      </c>
      <c r="H1323" t="s">
        <v>51</v>
      </c>
      <c r="I1323" t="s">
        <v>1723</v>
      </c>
      <c r="J1323" t="s">
        <v>4110</v>
      </c>
      <c r="L1323" t="s">
        <v>4044</v>
      </c>
    </row>
    <row r="1324" spans="1:12" x14ac:dyDescent="0.25">
      <c r="A1324" t="s">
        <v>4115</v>
      </c>
      <c r="B1324" t="s">
        <v>4116</v>
      </c>
      <c r="C1324" t="s">
        <v>4117</v>
      </c>
      <c r="F1324" t="s">
        <v>4118</v>
      </c>
      <c r="G1324" t="s">
        <v>1722</v>
      </c>
      <c r="H1324" t="s">
        <v>51</v>
      </c>
      <c r="I1324" t="s">
        <v>1723</v>
      </c>
      <c r="J1324" t="s">
        <v>4110</v>
      </c>
      <c r="L1324" t="s">
        <v>4044</v>
      </c>
    </row>
    <row r="1325" spans="1:12" x14ac:dyDescent="0.25">
      <c r="A1325" t="s">
        <v>4119</v>
      </c>
      <c r="B1325" t="s">
        <v>4120</v>
      </c>
      <c r="C1325" t="s">
        <v>4121</v>
      </c>
      <c r="F1325" t="s">
        <v>4122</v>
      </c>
      <c r="G1325" t="s">
        <v>1722</v>
      </c>
      <c r="H1325" t="s">
        <v>51</v>
      </c>
      <c r="I1325" t="s">
        <v>1723</v>
      </c>
      <c r="J1325" t="s">
        <v>4110</v>
      </c>
      <c r="L1325" t="s">
        <v>4044</v>
      </c>
    </row>
    <row r="1326" spans="1:12" x14ac:dyDescent="0.25">
      <c r="A1326" t="s">
        <v>4123</v>
      </c>
      <c r="B1326" t="s">
        <v>4124</v>
      </c>
      <c r="C1326" t="s">
        <v>4125</v>
      </c>
      <c r="F1326" t="s">
        <v>4126</v>
      </c>
      <c r="G1326" t="s">
        <v>1722</v>
      </c>
      <c r="H1326" t="s">
        <v>51</v>
      </c>
      <c r="I1326" t="s">
        <v>1723</v>
      </c>
      <c r="J1326" t="s">
        <v>2289</v>
      </c>
      <c r="L1326" t="s">
        <v>2290</v>
      </c>
    </row>
    <row r="1327" spans="1:12" x14ac:dyDescent="0.25">
      <c r="A1327" t="s">
        <v>4127</v>
      </c>
      <c r="B1327" t="s">
        <v>4128</v>
      </c>
      <c r="C1327" t="s">
        <v>4129</v>
      </c>
      <c r="F1327" t="s">
        <v>4130</v>
      </c>
      <c r="G1327" t="s">
        <v>1722</v>
      </c>
      <c r="H1327" t="s">
        <v>51</v>
      </c>
      <c r="I1327" t="s">
        <v>1723</v>
      </c>
      <c r="J1327" t="s">
        <v>2289</v>
      </c>
      <c r="L1327" t="s">
        <v>2290</v>
      </c>
    </row>
    <row r="1328" spans="1:12" x14ac:dyDescent="0.25">
      <c r="A1328" t="s">
        <v>4131</v>
      </c>
      <c r="B1328" t="s">
        <v>4132</v>
      </c>
      <c r="C1328" t="s">
        <v>4133</v>
      </c>
      <c r="F1328" t="s">
        <v>2451</v>
      </c>
      <c r="G1328" t="s">
        <v>1722</v>
      </c>
      <c r="H1328" t="s">
        <v>51</v>
      </c>
      <c r="I1328" t="s">
        <v>1723</v>
      </c>
      <c r="J1328" t="s">
        <v>2289</v>
      </c>
      <c r="L1328" t="s">
        <v>2290</v>
      </c>
    </row>
    <row r="1329" spans="1:12" x14ac:dyDescent="0.25">
      <c r="A1329" t="s">
        <v>4134</v>
      </c>
      <c r="B1329" t="s">
        <v>4135</v>
      </c>
      <c r="C1329" t="s">
        <v>4136</v>
      </c>
      <c r="F1329" t="s">
        <v>2451</v>
      </c>
      <c r="G1329" t="s">
        <v>1722</v>
      </c>
      <c r="H1329" t="s">
        <v>51</v>
      </c>
      <c r="I1329" t="s">
        <v>1723</v>
      </c>
      <c r="J1329" t="s">
        <v>2289</v>
      </c>
      <c r="L1329" t="s">
        <v>2290</v>
      </c>
    </row>
    <row r="1330" spans="1:12" x14ac:dyDescent="0.25">
      <c r="A1330" t="s">
        <v>4137</v>
      </c>
      <c r="B1330" t="s">
        <v>4138</v>
      </c>
      <c r="C1330" t="s">
        <v>4139</v>
      </c>
      <c r="F1330" t="s">
        <v>2363</v>
      </c>
      <c r="G1330" t="s">
        <v>1722</v>
      </c>
      <c r="H1330" t="s">
        <v>51</v>
      </c>
      <c r="I1330" t="s">
        <v>1723</v>
      </c>
      <c r="J1330" t="s">
        <v>2289</v>
      </c>
      <c r="L1330" t="s">
        <v>2290</v>
      </c>
    </row>
    <row r="1331" spans="1:12" x14ac:dyDescent="0.25">
      <c r="A1331" t="s">
        <v>4140</v>
      </c>
      <c r="B1331" t="s">
        <v>4141</v>
      </c>
      <c r="C1331" t="s">
        <v>4142</v>
      </c>
      <c r="F1331" t="s">
        <v>4126</v>
      </c>
      <c r="G1331" t="s">
        <v>1722</v>
      </c>
      <c r="H1331" t="s">
        <v>51</v>
      </c>
      <c r="I1331" t="s">
        <v>1723</v>
      </c>
      <c r="J1331" t="s">
        <v>2289</v>
      </c>
      <c r="L1331" t="s">
        <v>2290</v>
      </c>
    </row>
    <row r="1332" spans="1:12" x14ac:dyDescent="0.25">
      <c r="A1332" t="s">
        <v>4143</v>
      </c>
      <c r="B1332" t="s">
        <v>4144</v>
      </c>
      <c r="C1332" t="s">
        <v>4145</v>
      </c>
      <c r="F1332" t="s">
        <v>2363</v>
      </c>
      <c r="G1332" t="s">
        <v>1722</v>
      </c>
      <c r="H1332" t="s">
        <v>51</v>
      </c>
      <c r="I1332" t="s">
        <v>1723</v>
      </c>
      <c r="J1332" t="s">
        <v>2289</v>
      </c>
      <c r="L1332" t="s">
        <v>2290</v>
      </c>
    </row>
    <row r="1333" spans="1:12" x14ac:dyDescent="0.25">
      <c r="A1333" t="s">
        <v>4146</v>
      </c>
      <c r="B1333" t="s">
        <v>4147</v>
      </c>
      <c r="C1333" t="s">
        <v>4148</v>
      </c>
      <c r="F1333" t="s">
        <v>4130</v>
      </c>
      <c r="G1333" t="s">
        <v>1722</v>
      </c>
      <c r="H1333" t="s">
        <v>51</v>
      </c>
      <c r="I1333" t="s">
        <v>1723</v>
      </c>
      <c r="J1333" t="s">
        <v>2289</v>
      </c>
      <c r="L1333" t="s">
        <v>2290</v>
      </c>
    </row>
    <row r="1334" spans="1:12" x14ac:dyDescent="0.25">
      <c r="A1334" t="s">
        <v>4149</v>
      </c>
      <c r="B1334" t="s">
        <v>4150</v>
      </c>
      <c r="C1334" t="s">
        <v>4151</v>
      </c>
      <c r="F1334" t="s">
        <v>4130</v>
      </c>
      <c r="G1334" t="s">
        <v>1722</v>
      </c>
      <c r="H1334" t="s">
        <v>51</v>
      </c>
      <c r="I1334" t="s">
        <v>1723</v>
      </c>
      <c r="J1334" t="s">
        <v>2289</v>
      </c>
      <c r="L1334" t="s">
        <v>2290</v>
      </c>
    </row>
    <row r="1335" spans="1:12" x14ac:dyDescent="0.25">
      <c r="A1335" t="s">
        <v>4152</v>
      </c>
      <c r="B1335" t="s">
        <v>4153</v>
      </c>
      <c r="C1335" t="s">
        <v>4154</v>
      </c>
      <c r="F1335" t="s">
        <v>4130</v>
      </c>
      <c r="G1335" t="s">
        <v>1722</v>
      </c>
      <c r="H1335" t="s">
        <v>51</v>
      </c>
      <c r="I1335" t="s">
        <v>1723</v>
      </c>
      <c r="J1335" t="s">
        <v>2289</v>
      </c>
      <c r="L1335" t="s">
        <v>2290</v>
      </c>
    </row>
    <row r="1336" spans="1:12" x14ac:dyDescent="0.25">
      <c r="A1336" t="s">
        <v>4155</v>
      </c>
      <c r="B1336" t="s">
        <v>4156</v>
      </c>
      <c r="C1336" t="s">
        <v>4157</v>
      </c>
      <c r="F1336" t="s">
        <v>1140</v>
      </c>
      <c r="G1336" t="s">
        <v>1722</v>
      </c>
      <c r="H1336" t="s">
        <v>51</v>
      </c>
      <c r="I1336" t="s">
        <v>1723</v>
      </c>
      <c r="J1336" t="s">
        <v>2289</v>
      </c>
      <c r="L1336" t="s">
        <v>2290</v>
      </c>
    </row>
    <row r="1337" spans="1:12" x14ac:dyDescent="0.25">
      <c r="A1337" t="s">
        <v>4158</v>
      </c>
      <c r="B1337" t="s">
        <v>4159</v>
      </c>
      <c r="C1337" t="s">
        <v>4160</v>
      </c>
      <c r="F1337" t="s">
        <v>188</v>
      </c>
      <c r="G1337" t="s">
        <v>1722</v>
      </c>
      <c r="H1337" t="s">
        <v>51</v>
      </c>
      <c r="I1337" t="s">
        <v>1723</v>
      </c>
      <c r="J1337" t="s">
        <v>2289</v>
      </c>
      <c r="L1337" t="s">
        <v>2290</v>
      </c>
    </row>
    <row r="1338" spans="1:12" x14ac:dyDescent="0.25">
      <c r="A1338" t="s">
        <v>4161</v>
      </c>
      <c r="B1338" t="s">
        <v>4162</v>
      </c>
      <c r="C1338" t="s">
        <v>4163</v>
      </c>
      <c r="F1338" t="s">
        <v>4164</v>
      </c>
      <c r="G1338" t="s">
        <v>1722</v>
      </c>
      <c r="H1338" t="s">
        <v>51</v>
      </c>
      <c r="I1338" t="s">
        <v>1723</v>
      </c>
      <c r="J1338" t="s">
        <v>2289</v>
      </c>
      <c r="L1338" t="s">
        <v>2290</v>
      </c>
    </row>
    <row r="1339" spans="1:12" x14ac:dyDescent="0.25">
      <c r="A1339" t="s">
        <v>4165</v>
      </c>
      <c r="B1339" t="s">
        <v>4166</v>
      </c>
      <c r="C1339" t="s">
        <v>4167</v>
      </c>
      <c r="F1339" t="s">
        <v>652</v>
      </c>
      <c r="G1339" t="s">
        <v>1722</v>
      </c>
      <c r="H1339" t="s">
        <v>51</v>
      </c>
      <c r="I1339" t="s">
        <v>1723</v>
      </c>
      <c r="J1339" t="s">
        <v>2289</v>
      </c>
      <c r="L1339" t="s">
        <v>2290</v>
      </c>
    </row>
    <row r="1340" spans="1:12" x14ac:dyDescent="0.25">
      <c r="A1340" t="s">
        <v>4168</v>
      </c>
      <c r="B1340" t="s">
        <v>4169</v>
      </c>
      <c r="C1340" t="s">
        <v>4170</v>
      </c>
      <c r="F1340" t="s">
        <v>4164</v>
      </c>
      <c r="G1340" t="s">
        <v>1722</v>
      </c>
      <c r="H1340" t="s">
        <v>51</v>
      </c>
      <c r="I1340" t="s">
        <v>1723</v>
      </c>
      <c r="J1340" t="s">
        <v>2289</v>
      </c>
      <c r="L1340" t="s">
        <v>2290</v>
      </c>
    </row>
    <row r="1341" spans="1:12" x14ac:dyDescent="0.25">
      <c r="A1341" t="s">
        <v>4171</v>
      </c>
      <c r="B1341" t="s">
        <v>4172</v>
      </c>
      <c r="C1341" t="s">
        <v>4173</v>
      </c>
      <c r="F1341" t="s">
        <v>188</v>
      </c>
      <c r="G1341" t="s">
        <v>1722</v>
      </c>
      <c r="H1341" t="s">
        <v>51</v>
      </c>
      <c r="I1341" t="s">
        <v>1723</v>
      </c>
      <c r="J1341" t="s">
        <v>2289</v>
      </c>
      <c r="L1341" t="s">
        <v>2290</v>
      </c>
    </row>
    <row r="1342" spans="1:12" x14ac:dyDescent="0.25">
      <c r="A1342" t="s">
        <v>4174</v>
      </c>
      <c r="B1342" t="s">
        <v>4175</v>
      </c>
      <c r="C1342" t="s">
        <v>4176</v>
      </c>
      <c r="F1342" t="s">
        <v>1670</v>
      </c>
      <c r="G1342" t="s">
        <v>1722</v>
      </c>
      <c r="H1342" t="s">
        <v>51</v>
      </c>
      <c r="I1342" t="s">
        <v>1723</v>
      </c>
      <c r="J1342" t="s">
        <v>2289</v>
      </c>
      <c r="L1342" t="s">
        <v>2290</v>
      </c>
    </row>
    <row r="1343" spans="1:12" x14ac:dyDescent="0.25">
      <c r="A1343" t="s">
        <v>4177</v>
      </c>
      <c r="B1343" t="s">
        <v>4178</v>
      </c>
      <c r="C1343" t="s">
        <v>4179</v>
      </c>
      <c r="F1343" t="s">
        <v>188</v>
      </c>
      <c r="G1343" t="s">
        <v>1722</v>
      </c>
      <c r="H1343" t="s">
        <v>51</v>
      </c>
      <c r="I1343" t="s">
        <v>1723</v>
      </c>
      <c r="J1343" t="s">
        <v>2289</v>
      </c>
      <c r="L1343" t="s">
        <v>2290</v>
      </c>
    </row>
    <row r="1344" spans="1:12" x14ac:dyDescent="0.25">
      <c r="A1344" t="s">
        <v>4180</v>
      </c>
      <c r="B1344" t="s">
        <v>4181</v>
      </c>
      <c r="C1344" t="s">
        <v>4182</v>
      </c>
      <c r="F1344" t="s">
        <v>115</v>
      </c>
      <c r="G1344" t="s">
        <v>1722</v>
      </c>
      <c r="H1344" t="s">
        <v>51</v>
      </c>
      <c r="I1344" t="s">
        <v>1723</v>
      </c>
      <c r="J1344" t="s">
        <v>2289</v>
      </c>
      <c r="L1344" t="s">
        <v>2290</v>
      </c>
    </row>
    <row r="1345" spans="1:12" x14ac:dyDescent="0.25">
      <c r="A1345" t="s">
        <v>4183</v>
      </c>
      <c r="B1345" t="s">
        <v>4184</v>
      </c>
      <c r="C1345" t="s">
        <v>4185</v>
      </c>
      <c r="F1345" t="s">
        <v>2278</v>
      </c>
      <c r="G1345" t="s">
        <v>1722</v>
      </c>
      <c r="H1345" t="s">
        <v>51</v>
      </c>
      <c r="I1345" t="s">
        <v>1723</v>
      </c>
      <c r="J1345" t="s">
        <v>2289</v>
      </c>
      <c r="L1345" t="s">
        <v>2290</v>
      </c>
    </row>
    <row r="1346" spans="1:12" x14ac:dyDescent="0.25">
      <c r="A1346" t="s">
        <v>4186</v>
      </c>
      <c r="B1346" t="s">
        <v>4187</v>
      </c>
      <c r="C1346" t="s">
        <v>4188</v>
      </c>
      <c r="F1346" t="s">
        <v>277</v>
      </c>
      <c r="G1346" t="s">
        <v>1722</v>
      </c>
      <c r="H1346" t="s">
        <v>51</v>
      </c>
      <c r="I1346" t="s">
        <v>1723</v>
      </c>
      <c r="J1346" t="s">
        <v>2289</v>
      </c>
      <c r="L1346" t="s">
        <v>2290</v>
      </c>
    </row>
    <row r="1347" spans="1:12" x14ac:dyDescent="0.25">
      <c r="A1347" t="s">
        <v>4189</v>
      </c>
      <c r="B1347" t="s">
        <v>4190</v>
      </c>
      <c r="C1347" t="s">
        <v>4191</v>
      </c>
      <c r="F1347" t="s">
        <v>2278</v>
      </c>
      <c r="G1347" t="s">
        <v>1722</v>
      </c>
      <c r="H1347" t="s">
        <v>51</v>
      </c>
      <c r="I1347" t="s">
        <v>1723</v>
      </c>
      <c r="J1347" t="s">
        <v>2289</v>
      </c>
      <c r="L1347" t="s">
        <v>2290</v>
      </c>
    </row>
    <row r="1348" spans="1:12" x14ac:dyDescent="0.25">
      <c r="A1348" t="s">
        <v>4192</v>
      </c>
      <c r="B1348" t="s">
        <v>4193</v>
      </c>
      <c r="C1348" t="s">
        <v>4194</v>
      </c>
      <c r="F1348" t="s">
        <v>2370</v>
      </c>
      <c r="G1348" t="s">
        <v>1722</v>
      </c>
      <c r="H1348" t="s">
        <v>51</v>
      </c>
      <c r="I1348" t="s">
        <v>1723</v>
      </c>
      <c r="J1348" t="s">
        <v>2289</v>
      </c>
      <c r="L1348" t="s">
        <v>2290</v>
      </c>
    </row>
    <row r="1349" spans="1:12" x14ac:dyDescent="0.25">
      <c r="A1349" t="s">
        <v>4195</v>
      </c>
      <c r="B1349" t="s">
        <v>4196</v>
      </c>
      <c r="C1349" t="s">
        <v>4197</v>
      </c>
      <c r="F1349" t="s">
        <v>4198</v>
      </c>
      <c r="G1349" t="s">
        <v>1722</v>
      </c>
      <c r="H1349" t="s">
        <v>51</v>
      </c>
      <c r="I1349" t="s">
        <v>1723</v>
      </c>
      <c r="J1349" t="s">
        <v>2289</v>
      </c>
      <c r="L1349" t="s">
        <v>2290</v>
      </c>
    </row>
    <row r="1350" spans="1:12" x14ac:dyDescent="0.25">
      <c r="A1350" t="s">
        <v>4199</v>
      </c>
      <c r="B1350" t="s">
        <v>4200</v>
      </c>
      <c r="C1350" t="s">
        <v>4201</v>
      </c>
      <c r="F1350" t="s">
        <v>2370</v>
      </c>
      <c r="G1350" t="s">
        <v>1722</v>
      </c>
      <c r="H1350" t="s">
        <v>51</v>
      </c>
      <c r="I1350" t="s">
        <v>1723</v>
      </c>
      <c r="J1350" t="s">
        <v>2289</v>
      </c>
      <c r="L1350" t="s">
        <v>2290</v>
      </c>
    </row>
    <row r="1351" spans="1:12" x14ac:dyDescent="0.25">
      <c r="A1351" t="s">
        <v>4202</v>
      </c>
      <c r="B1351" t="s">
        <v>4203</v>
      </c>
      <c r="C1351" t="s">
        <v>4204</v>
      </c>
      <c r="F1351" t="s">
        <v>2370</v>
      </c>
      <c r="G1351" t="s">
        <v>1722</v>
      </c>
      <c r="H1351" t="s">
        <v>51</v>
      </c>
      <c r="I1351" t="s">
        <v>1723</v>
      </c>
      <c r="J1351" t="s">
        <v>2289</v>
      </c>
      <c r="L1351" t="s">
        <v>2290</v>
      </c>
    </row>
    <row r="1352" spans="1:12" x14ac:dyDescent="0.25">
      <c r="A1352" t="s">
        <v>4205</v>
      </c>
      <c r="B1352" t="s">
        <v>4206</v>
      </c>
      <c r="C1352" t="s">
        <v>4207</v>
      </c>
      <c r="F1352" t="s">
        <v>2370</v>
      </c>
      <c r="G1352" t="s">
        <v>1722</v>
      </c>
      <c r="H1352" t="s">
        <v>51</v>
      </c>
      <c r="I1352" t="s">
        <v>1723</v>
      </c>
      <c r="J1352" t="s">
        <v>2289</v>
      </c>
      <c r="L1352" t="s">
        <v>2290</v>
      </c>
    </row>
    <row r="1353" spans="1:12" x14ac:dyDescent="0.25">
      <c r="A1353" t="s">
        <v>4208</v>
      </c>
      <c r="B1353" t="s">
        <v>4209</v>
      </c>
      <c r="C1353" t="s">
        <v>4210</v>
      </c>
      <c r="F1353" t="s">
        <v>1848</v>
      </c>
      <c r="G1353" t="s">
        <v>1722</v>
      </c>
      <c r="H1353" t="s">
        <v>51</v>
      </c>
      <c r="I1353" t="s">
        <v>1723</v>
      </c>
      <c r="J1353" t="s">
        <v>2289</v>
      </c>
      <c r="L1353" t="s">
        <v>2290</v>
      </c>
    </row>
    <row r="1354" spans="1:12" x14ac:dyDescent="0.25">
      <c r="A1354" t="s">
        <v>4211</v>
      </c>
      <c r="B1354" t="s">
        <v>4212</v>
      </c>
      <c r="C1354" t="s">
        <v>4213</v>
      </c>
      <c r="F1354" t="s">
        <v>2370</v>
      </c>
      <c r="G1354" t="s">
        <v>1722</v>
      </c>
      <c r="H1354" t="s">
        <v>51</v>
      </c>
      <c r="I1354" t="s">
        <v>1723</v>
      </c>
      <c r="J1354" t="s">
        <v>2289</v>
      </c>
      <c r="L1354" t="s">
        <v>2290</v>
      </c>
    </row>
    <row r="1355" spans="1:12" x14ac:dyDescent="0.25">
      <c r="A1355" t="s">
        <v>4214</v>
      </c>
      <c r="B1355" t="s">
        <v>4215</v>
      </c>
      <c r="C1355" t="s">
        <v>4216</v>
      </c>
      <c r="F1355" t="s">
        <v>2370</v>
      </c>
      <c r="G1355" t="s">
        <v>1722</v>
      </c>
      <c r="H1355" t="s">
        <v>51</v>
      </c>
      <c r="I1355" t="s">
        <v>1723</v>
      </c>
      <c r="J1355" t="s">
        <v>2289</v>
      </c>
      <c r="L1355" t="s">
        <v>2290</v>
      </c>
    </row>
    <row r="1356" spans="1:12" x14ac:dyDescent="0.25">
      <c r="A1356" t="s">
        <v>4217</v>
      </c>
      <c r="B1356" t="s">
        <v>4218</v>
      </c>
      <c r="C1356" t="s">
        <v>4219</v>
      </c>
      <c r="F1356" t="s">
        <v>2370</v>
      </c>
      <c r="G1356" t="s">
        <v>1722</v>
      </c>
      <c r="H1356" t="s">
        <v>51</v>
      </c>
      <c r="I1356" t="s">
        <v>1723</v>
      </c>
      <c r="J1356" t="s">
        <v>2289</v>
      </c>
      <c r="L1356" t="s">
        <v>2290</v>
      </c>
    </row>
    <row r="1357" spans="1:12" x14ac:dyDescent="0.25">
      <c r="A1357" t="s">
        <v>4220</v>
      </c>
      <c r="B1357" t="s">
        <v>4196</v>
      </c>
      <c r="C1357" t="s">
        <v>4221</v>
      </c>
      <c r="F1357" t="s">
        <v>4198</v>
      </c>
      <c r="G1357" t="s">
        <v>1722</v>
      </c>
      <c r="H1357" t="s">
        <v>51</v>
      </c>
      <c r="I1357" t="s">
        <v>1723</v>
      </c>
      <c r="J1357" t="s">
        <v>2289</v>
      </c>
      <c r="L1357" t="s">
        <v>2290</v>
      </c>
    </row>
    <row r="1358" spans="1:12" x14ac:dyDescent="0.25">
      <c r="A1358" t="s">
        <v>4222</v>
      </c>
      <c r="B1358" t="s">
        <v>4223</v>
      </c>
      <c r="C1358" t="s">
        <v>4224</v>
      </c>
      <c r="F1358" t="s">
        <v>2370</v>
      </c>
      <c r="G1358" t="s">
        <v>1722</v>
      </c>
      <c r="H1358" t="s">
        <v>51</v>
      </c>
      <c r="I1358" t="s">
        <v>1723</v>
      </c>
      <c r="J1358" t="s">
        <v>2289</v>
      </c>
      <c r="L1358" t="s">
        <v>2290</v>
      </c>
    </row>
    <row r="1359" spans="1:12" x14ac:dyDescent="0.25">
      <c r="A1359" t="s">
        <v>4225</v>
      </c>
      <c r="B1359" t="s">
        <v>4226</v>
      </c>
      <c r="C1359" t="s">
        <v>4227</v>
      </c>
      <c r="F1359" t="s">
        <v>2370</v>
      </c>
      <c r="G1359" t="s">
        <v>1722</v>
      </c>
      <c r="H1359" t="s">
        <v>51</v>
      </c>
      <c r="I1359" t="s">
        <v>1723</v>
      </c>
      <c r="J1359" t="s">
        <v>2289</v>
      </c>
      <c r="L1359" t="s">
        <v>2290</v>
      </c>
    </row>
    <row r="1360" spans="1:12" x14ac:dyDescent="0.25">
      <c r="A1360" t="s">
        <v>4228</v>
      </c>
      <c r="B1360" t="s">
        <v>4229</v>
      </c>
      <c r="C1360" t="s">
        <v>4230</v>
      </c>
      <c r="F1360" t="s">
        <v>2370</v>
      </c>
      <c r="G1360" t="s">
        <v>1722</v>
      </c>
      <c r="H1360" t="s">
        <v>51</v>
      </c>
      <c r="I1360" t="s">
        <v>1723</v>
      </c>
      <c r="J1360" t="s">
        <v>2289</v>
      </c>
      <c r="L1360" t="s">
        <v>2290</v>
      </c>
    </row>
    <row r="1361" spans="1:12" x14ac:dyDescent="0.25">
      <c r="A1361" t="s">
        <v>4231</v>
      </c>
      <c r="B1361" t="s">
        <v>4232</v>
      </c>
      <c r="C1361" t="s">
        <v>4233</v>
      </c>
      <c r="F1361" t="s">
        <v>2370</v>
      </c>
      <c r="G1361" t="s">
        <v>1722</v>
      </c>
      <c r="H1361" t="s">
        <v>51</v>
      </c>
      <c r="I1361" t="s">
        <v>1723</v>
      </c>
      <c r="J1361" t="s">
        <v>2289</v>
      </c>
      <c r="L1361" t="s">
        <v>2290</v>
      </c>
    </row>
    <row r="1362" spans="1:12" x14ac:dyDescent="0.25">
      <c r="A1362" t="s">
        <v>4234</v>
      </c>
      <c r="B1362" t="s">
        <v>4235</v>
      </c>
      <c r="C1362" t="s">
        <v>4236</v>
      </c>
      <c r="F1362" t="s">
        <v>2370</v>
      </c>
      <c r="G1362" t="s">
        <v>1722</v>
      </c>
      <c r="H1362" t="s">
        <v>51</v>
      </c>
      <c r="I1362" t="s">
        <v>1723</v>
      </c>
      <c r="J1362" t="s">
        <v>2289</v>
      </c>
      <c r="L1362" t="s">
        <v>2290</v>
      </c>
    </row>
    <row r="1363" spans="1:12" x14ac:dyDescent="0.25">
      <c r="A1363" t="s">
        <v>4237</v>
      </c>
      <c r="B1363" t="s">
        <v>4238</v>
      </c>
      <c r="C1363" t="s">
        <v>4239</v>
      </c>
      <c r="F1363" t="s">
        <v>4240</v>
      </c>
      <c r="G1363" t="s">
        <v>1722</v>
      </c>
      <c r="H1363" t="s">
        <v>51</v>
      </c>
      <c r="I1363" t="s">
        <v>1723</v>
      </c>
      <c r="J1363" t="s">
        <v>2289</v>
      </c>
      <c r="L1363" t="s">
        <v>2290</v>
      </c>
    </row>
    <row r="1364" spans="1:12" x14ac:dyDescent="0.25">
      <c r="A1364" t="s">
        <v>4241</v>
      </c>
      <c r="B1364" t="s">
        <v>4242</v>
      </c>
      <c r="C1364" t="s">
        <v>4243</v>
      </c>
      <c r="F1364" t="s">
        <v>2370</v>
      </c>
      <c r="G1364" t="s">
        <v>1722</v>
      </c>
      <c r="H1364" t="s">
        <v>51</v>
      </c>
      <c r="I1364" t="s">
        <v>1723</v>
      </c>
      <c r="J1364" t="s">
        <v>2289</v>
      </c>
      <c r="L1364" t="s">
        <v>2290</v>
      </c>
    </row>
    <row r="1365" spans="1:12" x14ac:dyDescent="0.25">
      <c r="A1365" t="s">
        <v>4244</v>
      </c>
      <c r="B1365" t="s">
        <v>4245</v>
      </c>
      <c r="C1365" t="s">
        <v>4246</v>
      </c>
      <c r="F1365" t="s">
        <v>2370</v>
      </c>
      <c r="G1365" t="s">
        <v>1722</v>
      </c>
      <c r="H1365" t="s">
        <v>51</v>
      </c>
      <c r="I1365" t="s">
        <v>1723</v>
      </c>
      <c r="J1365" t="s">
        <v>2289</v>
      </c>
      <c r="L1365" t="s">
        <v>2290</v>
      </c>
    </row>
    <row r="1366" spans="1:12" x14ac:dyDescent="0.25">
      <c r="A1366" t="s">
        <v>4247</v>
      </c>
      <c r="B1366" t="s">
        <v>4248</v>
      </c>
      <c r="C1366" t="s">
        <v>4249</v>
      </c>
      <c r="F1366" t="s">
        <v>2370</v>
      </c>
      <c r="G1366" t="s">
        <v>1722</v>
      </c>
      <c r="H1366" t="s">
        <v>51</v>
      </c>
      <c r="I1366" t="s">
        <v>1723</v>
      </c>
      <c r="J1366" t="s">
        <v>2289</v>
      </c>
      <c r="L1366" t="s">
        <v>2290</v>
      </c>
    </row>
    <row r="1367" spans="1:12" x14ac:dyDescent="0.25">
      <c r="A1367" t="s">
        <v>4250</v>
      </c>
      <c r="B1367" t="s">
        <v>4251</v>
      </c>
      <c r="C1367" t="s">
        <v>4252</v>
      </c>
      <c r="F1367" t="s">
        <v>2370</v>
      </c>
      <c r="G1367" t="s">
        <v>1722</v>
      </c>
      <c r="H1367" t="s">
        <v>51</v>
      </c>
      <c r="I1367" t="s">
        <v>1723</v>
      </c>
      <c r="J1367" t="s">
        <v>2289</v>
      </c>
      <c r="L1367" t="s">
        <v>2290</v>
      </c>
    </row>
    <row r="1368" spans="1:12" x14ac:dyDescent="0.25">
      <c r="A1368" t="s">
        <v>4253</v>
      </c>
      <c r="B1368" t="s">
        <v>4254</v>
      </c>
      <c r="C1368" t="s">
        <v>4255</v>
      </c>
      <c r="F1368" t="s">
        <v>4240</v>
      </c>
      <c r="G1368" t="s">
        <v>1722</v>
      </c>
      <c r="H1368" t="s">
        <v>51</v>
      </c>
      <c r="I1368" t="s">
        <v>1723</v>
      </c>
      <c r="J1368" t="s">
        <v>2289</v>
      </c>
      <c r="L1368" t="s">
        <v>2290</v>
      </c>
    </row>
    <row r="1369" spans="1:12" x14ac:dyDescent="0.25">
      <c r="A1369" t="s">
        <v>4256</v>
      </c>
      <c r="B1369" t="s">
        <v>4257</v>
      </c>
      <c r="C1369" t="s">
        <v>4258</v>
      </c>
      <c r="F1369" t="s">
        <v>152</v>
      </c>
      <c r="G1369" t="s">
        <v>1722</v>
      </c>
      <c r="H1369" t="s">
        <v>51</v>
      </c>
      <c r="I1369" t="s">
        <v>1723</v>
      </c>
      <c r="J1369" t="s">
        <v>2289</v>
      </c>
      <c r="L1369" t="s">
        <v>2290</v>
      </c>
    </row>
    <row r="1370" spans="1:12" x14ac:dyDescent="0.25">
      <c r="A1370" t="s">
        <v>4259</v>
      </c>
      <c r="B1370" t="s">
        <v>4260</v>
      </c>
      <c r="C1370" t="s">
        <v>4261</v>
      </c>
      <c r="F1370" t="s">
        <v>1734</v>
      </c>
      <c r="G1370" t="s">
        <v>1722</v>
      </c>
      <c r="H1370" t="s">
        <v>51</v>
      </c>
      <c r="I1370" t="s">
        <v>1723</v>
      </c>
      <c r="J1370" t="s">
        <v>2289</v>
      </c>
      <c r="L1370" t="s">
        <v>2290</v>
      </c>
    </row>
    <row r="1371" spans="1:12" x14ac:dyDescent="0.25">
      <c r="A1371" t="s">
        <v>4262</v>
      </c>
      <c r="B1371" t="s">
        <v>4263</v>
      </c>
      <c r="C1371" t="s">
        <v>4264</v>
      </c>
      <c r="F1371" t="s">
        <v>1734</v>
      </c>
      <c r="G1371" t="s">
        <v>1722</v>
      </c>
      <c r="H1371" t="s">
        <v>51</v>
      </c>
      <c r="I1371" t="s">
        <v>1723</v>
      </c>
      <c r="J1371" t="s">
        <v>2289</v>
      </c>
      <c r="L1371" t="s">
        <v>2290</v>
      </c>
    </row>
    <row r="1372" spans="1:12" x14ac:dyDescent="0.25">
      <c r="A1372" t="s">
        <v>4265</v>
      </c>
      <c r="B1372" t="s">
        <v>4266</v>
      </c>
      <c r="C1372" t="s">
        <v>4267</v>
      </c>
      <c r="F1372" t="s">
        <v>652</v>
      </c>
      <c r="G1372" t="s">
        <v>1722</v>
      </c>
      <c r="H1372" t="s">
        <v>51</v>
      </c>
      <c r="I1372" t="s">
        <v>1723</v>
      </c>
      <c r="J1372" t="s">
        <v>2289</v>
      </c>
      <c r="L1372" t="s">
        <v>2290</v>
      </c>
    </row>
    <row r="1373" spans="1:12" x14ac:dyDescent="0.25">
      <c r="A1373" t="s">
        <v>4268</v>
      </c>
      <c r="B1373" t="s">
        <v>4269</v>
      </c>
      <c r="C1373" t="s">
        <v>4270</v>
      </c>
      <c r="F1373" t="s">
        <v>152</v>
      </c>
      <c r="G1373" t="s">
        <v>1722</v>
      </c>
      <c r="H1373" t="s">
        <v>51</v>
      </c>
      <c r="I1373" t="s">
        <v>1723</v>
      </c>
      <c r="J1373" t="s">
        <v>2289</v>
      </c>
      <c r="L1373" t="s">
        <v>2290</v>
      </c>
    </row>
    <row r="1374" spans="1:12" x14ac:dyDescent="0.25">
      <c r="A1374" t="s">
        <v>4271</v>
      </c>
      <c r="B1374" t="s">
        <v>4272</v>
      </c>
      <c r="C1374" t="s">
        <v>4273</v>
      </c>
      <c r="F1374" t="s">
        <v>1670</v>
      </c>
      <c r="G1374" t="s">
        <v>1722</v>
      </c>
      <c r="H1374" t="s">
        <v>51</v>
      </c>
      <c r="I1374" t="s">
        <v>1723</v>
      </c>
      <c r="J1374" t="s">
        <v>2289</v>
      </c>
      <c r="L1374" t="s">
        <v>2290</v>
      </c>
    </row>
    <row r="1375" spans="1:12" x14ac:dyDescent="0.25">
      <c r="A1375" t="s">
        <v>4274</v>
      </c>
      <c r="B1375" t="s">
        <v>4275</v>
      </c>
      <c r="C1375" t="s">
        <v>4276</v>
      </c>
      <c r="F1375" t="s">
        <v>1734</v>
      </c>
      <c r="G1375" t="s">
        <v>1722</v>
      </c>
      <c r="H1375" t="s">
        <v>51</v>
      </c>
      <c r="I1375" t="s">
        <v>1723</v>
      </c>
      <c r="J1375" t="s">
        <v>2289</v>
      </c>
      <c r="L1375" t="s">
        <v>2290</v>
      </c>
    </row>
    <row r="1376" spans="1:12" x14ac:dyDescent="0.25">
      <c r="A1376" t="s">
        <v>4277</v>
      </c>
      <c r="B1376" t="s">
        <v>4278</v>
      </c>
      <c r="C1376" t="s">
        <v>4279</v>
      </c>
      <c r="F1376" t="s">
        <v>152</v>
      </c>
      <c r="G1376" t="s">
        <v>1722</v>
      </c>
      <c r="H1376" t="s">
        <v>51</v>
      </c>
      <c r="I1376" t="s">
        <v>1723</v>
      </c>
      <c r="J1376" t="s">
        <v>2289</v>
      </c>
      <c r="L1376" t="s">
        <v>2290</v>
      </c>
    </row>
    <row r="1377" spans="1:12" x14ac:dyDescent="0.25">
      <c r="A1377" t="s">
        <v>4280</v>
      </c>
      <c r="B1377" t="s">
        <v>4281</v>
      </c>
      <c r="C1377" t="s">
        <v>4282</v>
      </c>
      <c r="F1377" t="s">
        <v>152</v>
      </c>
      <c r="G1377" t="s">
        <v>1722</v>
      </c>
      <c r="H1377" t="s">
        <v>51</v>
      </c>
      <c r="I1377" t="s">
        <v>1723</v>
      </c>
      <c r="J1377" t="s">
        <v>2289</v>
      </c>
      <c r="L1377" t="s">
        <v>2290</v>
      </c>
    </row>
    <row r="1378" spans="1:12" x14ac:dyDescent="0.25">
      <c r="A1378" t="s">
        <v>4283</v>
      </c>
      <c r="B1378" t="s">
        <v>4284</v>
      </c>
      <c r="C1378" t="s">
        <v>4285</v>
      </c>
      <c r="F1378" t="s">
        <v>1734</v>
      </c>
      <c r="G1378" t="s">
        <v>1722</v>
      </c>
      <c r="H1378" t="s">
        <v>51</v>
      </c>
      <c r="I1378" t="s">
        <v>1723</v>
      </c>
      <c r="J1378" t="s">
        <v>2289</v>
      </c>
      <c r="L1378" t="s">
        <v>2290</v>
      </c>
    </row>
    <row r="1379" spans="1:12" x14ac:dyDescent="0.25">
      <c r="A1379" t="s">
        <v>4286</v>
      </c>
      <c r="B1379" t="s">
        <v>4287</v>
      </c>
      <c r="C1379" t="s">
        <v>4288</v>
      </c>
      <c r="F1379" t="s">
        <v>277</v>
      </c>
      <c r="G1379" t="s">
        <v>1722</v>
      </c>
      <c r="H1379" t="s">
        <v>51</v>
      </c>
      <c r="I1379" t="s">
        <v>1723</v>
      </c>
      <c r="J1379" t="s">
        <v>2289</v>
      </c>
      <c r="L1379" t="s">
        <v>2290</v>
      </c>
    </row>
    <row r="1380" spans="1:12" x14ac:dyDescent="0.25">
      <c r="A1380" t="s">
        <v>4289</v>
      </c>
      <c r="B1380" t="s">
        <v>4290</v>
      </c>
      <c r="C1380" t="s">
        <v>4291</v>
      </c>
      <c r="F1380" t="s">
        <v>1670</v>
      </c>
      <c r="G1380" t="s">
        <v>1722</v>
      </c>
      <c r="H1380" t="s">
        <v>51</v>
      </c>
      <c r="I1380" t="s">
        <v>1723</v>
      </c>
      <c r="J1380" t="s">
        <v>2289</v>
      </c>
      <c r="L1380" t="s">
        <v>2290</v>
      </c>
    </row>
    <row r="1381" spans="1:12" x14ac:dyDescent="0.25">
      <c r="A1381" t="s">
        <v>4292</v>
      </c>
      <c r="B1381" t="s">
        <v>4293</v>
      </c>
      <c r="C1381" t="s">
        <v>4294</v>
      </c>
      <c r="F1381" t="s">
        <v>1670</v>
      </c>
      <c r="G1381" t="s">
        <v>1722</v>
      </c>
      <c r="H1381" t="s">
        <v>51</v>
      </c>
      <c r="I1381" t="s">
        <v>1723</v>
      </c>
      <c r="J1381" t="s">
        <v>2289</v>
      </c>
      <c r="L1381" t="s">
        <v>2290</v>
      </c>
    </row>
    <row r="1382" spans="1:12" x14ac:dyDescent="0.25">
      <c r="A1382" t="s">
        <v>4295</v>
      </c>
      <c r="B1382" t="s">
        <v>4296</v>
      </c>
      <c r="C1382" t="s">
        <v>4297</v>
      </c>
      <c r="F1382" t="s">
        <v>277</v>
      </c>
      <c r="G1382" t="s">
        <v>1722</v>
      </c>
      <c r="H1382" t="s">
        <v>51</v>
      </c>
      <c r="I1382" t="s">
        <v>1723</v>
      </c>
      <c r="J1382" t="s">
        <v>2289</v>
      </c>
      <c r="L1382" t="s">
        <v>2290</v>
      </c>
    </row>
    <row r="1383" spans="1:12" x14ac:dyDescent="0.25">
      <c r="A1383" t="s">
        <v>4298</v>
      </c>
      <c r="B1383" t="s">
        <v>4299</v>
      </c>
      <c r="C1383" t="s">
        <v>4300</v>
      </c>
      <c r="F1383" t="s">
        <v>2950</v>
      </c>
      <c r="G1383" t="s">
        <v>1722</v>
      </c>
      <c r="H1383" t="s">
        <v>51</v>
      </c>
      <c r="I1383" t="s">
        <v>1723</v>
      </c>
      <c r="J1383" t="s">
        <v>2289</v>
      </c>
      <c r="L1383" t="s">
        <v>2290</v>
      </c>
    </row>
    <row r="1384" spans="1:12" x14ac:dyDescent="0.25">
      <c r="A1384" t="s">
        <v>4301</v>
      </c>
      <c r="B1384" t="s">
        <v>4302</v>
      </c>
      <c r="C1384" t="s">
        <v>4303</v>
      </c>
      <c r="F1384" t="s">
        <v>1851</v>
      </c>
      <c r="G1384" t="s">
        <v>1722</v>
      </c>
      <c r="H1384" t="s">
        <v>51</v>
      </c>
      <c r="I1384" t="s">
        <v>1723</v>
      </c>
      <c r="J1384" t="s">
        <v>2289</v>
      </c>
      <c r="L1384" t="s">
        <v>2290</v>
      </c>
    </row>
    <row r="1385" spans="1:12" x14ac:dyDescent="0.25">
      <c r="A1385" t="s">
        <v>4304</v>
      </c>
      <c r="B1385" t="s">
        <v>4305</v>
      </c>
      <c r="C1385" t="s">
        <v>4306</v>
      </c>
      <c r="F1385" t="s">
        <v>1851</v>
      </c>
      <c r="G1385" t="s">
        <v>1722</v>
      </c>
      <c r="H1385" t="s">
        <v>51</v>
      </c>
      <c r="I1385" t="s">
        <v>1723</v>
      </c>
      <c r="J1385" t="s">
        <v>2289</v>
      </c>
      <c r="L1385" t="s">
        <v>2290</v>
      </c>
    </row>
    <row r="1386" spans="1:12" x14ac:dyDescent="0.25">
      <c r="A1386" t="s">
        <v>4307</v>
      </c>
      <c r="B1386" t="s">
        <v>4308</v>
      </c>
      <c r="C1386" t="s">
        <v>4309</v>
      </c>
      <c r="F1386" t="s">
        <v>2235</v>
      </c>
      <c r="G1386" t="s">
        <v>1722</v>
      </c>
      <c r="H1386" t="s">
        <v>51</v>
      </c>
      <c r="I1386" t="s">
        <v>1723</v>
      </c>
      <c r="J1386" t="s">
        <v>2289</v>
      </c>
      <c r="L1386" t="s">
        <v>2290</v>
      </c>
    </row>
    <row r="1387" spans="1:12" x14ac:dyDescent="0.25">
      <c r="A1387" t="s">
        <v>4310</v>
      </c>
      <c r="B1387" t="s">
        <v>4311</v>
      </c>
      <c r="C1387" t="s">
        <v>4312</v>
      </c>
      <c r="F1387" t="s">
        <v>4313</v>
      </c>
      <c r="G1387" t="s">
        <v>1722</v>
      </c>
      <c r="H1387" t="s">
        <v>51</v>
      </c>
      <c r="I1387" t="s">
        <v>1723</v>
      </c>
      <c r="J1387" t="s">
        <v>2289</v>
      </c>
      <c r="L1387" t="s">
        <v>2290</v>
      </c>
    </row>
    <row r="1388" spans="1:12" x14ac:dyDescent="0.25">
      <c r="A1388" t="s">
        <v>4314</v>
      </c>
      <c r="B1388" t="s">
        <v>4315</v>
      </c>
      <c r="C1388" t="s">
        <v>4316</v>
      </c>
      <c r="F1388" t="s">
        <v>4164</v>
      </c>
      <c r="G1388" t="s">
        <v>1722</v>
      </c>
      <c r="H1388" t="s">
        <v>51</v>
      </c>
      <c r="I1388" t="s">
        <v>1723</v>
      </c>
      <c r="J1388" t="s">
        <v>2289</v>
      </c>
      <c r="L1388" t="s">
        <v>2290</v>
      </c>
    </row>
    <row r="1389" spans="1:12" x14ac:dyDescent="0.25">
      <c r="A1389" t="s">
        <v>4317</v>
      </c>
      <c r="B1389" t="s">
        <v>4318</v>
      </c>
      <c r="C1389" t="s">
        <v>4319</v>
      </c>
      <c r="F1389" t="s">
        <v>2950</v>
      </c>
      <c r="G1389" t="s">
        <v>1722</v>
      </c>
      <c r="H1389" t="s">
        <v>51</v>
      </c>
      <c r="I1389" t="s">
        <v>1723</v>
      </c>
      <c r="J1389" t="s">
        <v>2289</v>
      </c>
      <c r="L1389" t="s">
        <v>2290</v>
      </c>
    </row>
    <row r="1390" spans="1:12" x14ac:dyDescent="0.25">
      <c r="A1390" t="s">
        <v>4320</v>
      </c>
      <c r="B1390" t="s">
        <v>4321</v>
      </c>
      <c r="C1390" t="s">
        <v>4322</v>
      </c>
      <c r="F1390" t="s">
        <v>2239</v>
      </c>
      <c r="G1390" t="s">
        <v>1722</v>
      </c>
      <c r="H1390" t="s">
        <v>51</v>
      </c>
      <c r="I1390" t="s">
        <v>1723</v>
      </c>
      <c r="J1390" t="s">
        <v>2289</v>
      </c>
      <c r="L1390" t="s">
        <v>2290</v>
      </c>
    </row>
    <row r="1391" spans="1:12" x14ac:dyDescent="0.25">
      <c r="A1391" t="s">
        <v>4323</v>
      </c>
      <c r="B1391" t="s">
        <v>4324</v>
      </c>
      <c r="C1391" t="s">
        <v>4325</v>
      </c>
      <c r="F1391" t="s">
        <v>2235</v>
      </c>
      <c r="G1391" t="s">
        <v>1722</v>
      </c>
      <c r="H1391" t="s">
        <v>51</v>
      </c>
      <c r="I1391" t="s">
        <v>1723</v>
      </c>
      <c r="J1391" t="s">
        <v>2289</v>
      </c>
      <c r="L1391" t="s">
        <v>2290</v>
      </c>
    </row>
    <row r="1392" spans="1:12" x14ac:dyDescent="0.25">
      <c r="A1392" t="s">
        <v>4326</v>
      </c>
      <c r="B1392" t="s">
        <v>4327</v>
      </c>
      <c r="C1392" t="s">
        <v>4328</v>
      </c>
      <c r="F1392" t="s">
        <v>398</v>
      </c>
      <c r="G1392" t="s">
        <v>1722</v>
      </c>
      <c r="H1392" t="s">
        <v>51</v>
      </c>
      <c r="I1392" t="s">
        <v>1723</v>
      </c>
      <c r="J1392" t="s">
        <v>2289</v>
      </c>
      <c r="L1392" t="s">
        <v>2290</v>
      </c>
    </row>
    <row r="1393" spans="1:12" x14ac:dyDescent="0.25">
      <c r="A1393" t="s">
        <v>4329</v>
      </c>
      <c r="B1393" t="s">
        <v>4330</v>
      </c>
      <c r="C1393" t="s">
        <v>4331</v>
      </c>
      <c r="F1393" t="s">
        <v>1140</v>
      </c>
      <c r="G1393" t="s">
        <v>1722</v>
      </c>
      <c r="H1393" t="s">
        <v>51</v>
      </c>
      <c r="I1393" t="s">
        <v>1723</v>
      </c>
      <c r="J1393" t="s">
        <v>2289</v>
      </c>
      <c r="L1393" t="s">
        <v>2290</v>
      </c>
    </row>
    <row r="1394" spans="1:12" x14ac:dyDescent="0.25">
      <c r="A1394" t="s">
        <v>4332</v>
      </c>
      <c r="B1394" t="s">
        <v>4333</v>
      </c>
      <c r="C1394" t="s">
        <v>4334</v>
      </c>
      <c r="F1394" t="s">
        <v>152</v>
      </c>
      <c r="G1394" t="s">
        <v>1722</v>
      </c>
      <c r="H1394" t="s">
        <v>51</v>
      </c>
      <c r="I1394" t="s">
        <v>1723</v>
      </c>
      <c r="J1394" t="s">
        <v>2289</v>
      </c>
      <c r="L1394" t="s">
        <v>2290</v>
      </c>
    </row>
    <row r="1395" spans="1:12" x14ac:dyDescent="0.25">
      <c r="A1395" t="s">
        <v>4335</v>
      </c>
      <c r="B1395" t="s">
        <v>4336</v>
      </c>
      <c r="C1395" t="s">
        <v>4337</v>
      </c>
      <c r="F1395" t="s">
        <v>188</v>
      </c>
      <c r="G1395" t="s">
        <v>1722</v>
      </c>
      <c r="H1395" t="s">
        <v>51</v>
      </c>
      <c r="I1395" t="s">
        <v>1723</v>
      </c>
      <c r="J1395" t="s">
        <v>2289</v>
      </c>
      <c r="L1395" t="s">
        <v>2290</v>
      </c>
    </row>
    <row r="1396" spans="1:12" x14ac:dyDescent="0.25">
      <c r="A1396" t="s">
        <v>4338</v>
      </c>
      <c r="B1396" t="s">
        <v>4339</v>
      </c>
      <c r="C1396" t="s">
        <v>4340</v>
      </c>
      <c r="F1396" t="s">
        <v>1670</v>
      </c>
      <c r="G1396" t="s">
        <v>1722</v>
      </c>
      <c r="H1396" t="s">
        <v>51</v>
      </c>
      <c r="I1396" t="s">
        <v>1723</v>
      </c>
      <c r="J1396" t="s">
        <v>2289</v>
      </c>
      <c r="L1396" t="s">
        <v>2290</v>
      </c>
    </row>
    <row r="1397" spans="1:12" x14ac:dyDescent="0.25">
      <c r="A1397" t="s">
        <v>4341</v>
      </c>
      <c r="B1397" t="s">
        <v>4342</v>
      </c>
      <c r="C1397" t="s">
        <v>4343</v>
      </c>
      <c r="F1397" t="s">
        <v>1160</v>
      </c>
      <c r="G1397" t="s">
        <v>1722</v>
      </c>
      <c r="H1397" t="s">
        <v>51</v>
      </c>
      <c r="I1397" t="s">
        <v>1723</v>
      </c>
      <c r="J1397" t="s">
        <v>2289</v>
      </c>
      <c r="L1397" t="s">
        <v>2290</v>
      </c>
    </row>
    <row r="1398" spans="1:12" x14ac:dyDescent="0.25">
      <c r="A1398" t="s">
        <v>4344</v>
      </c>
      <c r="B1398" t="s">
        <v>4345</v>
      </c>
      <c r="C1398" t="s">
        <v>4346</v>
      </c>
      <c r="F1398" t="s">
        <v>398</v>
      </c>
      <c r="G1398" t="s">
        <v>1722</v>
      </c>
      <c r="H1398" t="s">
        <v>51</v>
      </c>
      <c r="I1398" t="s">
        <v>1723</v>
      </c>
      <c r="J1398" t="s">
        <v>2289</v>
      </c>
      <c r="L1398" t="s">
        <v>2290</v>
      </c>
    </row>
    <row r="1399" spans="1:12" x14ac:dyDescent="0.25">
      <c r="A1399" t="s">
        <v>4347</v>
      </c>
      <c r="B1399" t="s">
        <v>4348</v>
      </c>
      <c r="C1399" t="s">
        <v>4349</v>
      </c>
      <c r="F1399" t="s">
        <v>4164</v>
      </c>
      <c r="G1399" t="s">
        <v>1722</v>
      </c>
      <c r="H1399" t="s">
        <v>51</v>
      </c>
      <c r="I1399" t="s">
        <v>1723</v>
      </c>
      <c r="J1399" t="s">
        <v>2289</v>
      </c>
      <c r="L1399" t="s">
        <v>2290</v>
      </c>
    </row>
    <row r="1400" spans="1:12" x14ac:dyDescent="0.25">
      <c r="A1400" t="s">
        <v>4350</v>
      </c>
      <c r="B1400" t="s">
        <v>4159</v>
      </c>
      <c r="C1400" t="s">
        <v>4160</v>
      </c>
      <c r="F1400" t="s">
        <v>188</v>
      </c>
      <c r="G1400" t="s">
        <v>1722</v>
      </c>
      <c r="H1400" t="s">
        <v>51</v>
      </c>
      <c r="I1400" t="s">
        <v>1723</v>
      </c>
      <c r="J1400" t="s">
        <v>2289</v>
      </c>
      <c r="L1400" t="s">
        <v>2290</v>
      </c>
    </row>
    <row r="1401" spans="1:12" x14ac:dyDescent="0.25">
      <c r="A1401" t="s">
        <v>4351</v>
      </c>
      <c r="B1401" t="s">
        <v>4352</v>
      </c>
      <c r="C1401" t="s">
        <v>4353</v>
      </c>
      <c r="F1401" t="s">
        <v>188</v>
      </c>
      <c r="G1401" t="s">
        <v>1722</v>
      </c>
      <c r="H1401" t="s">
        <v>51</v>
      </c>
      <c r="I1401" t="s">
        <v>1723</v>
      </c>
      <c r="J1401" t="s">
        <v>2289</v>
      </c>
      <c r="L1401" t="s">
        <v>2290</v>
      </c>
    </row>
    <row r="1402" spans="1:12" x14ac:dyDescent="0.25">
      <c r="A1402" t="s">
        <v>4354</v>
      </c>
      <c r="B1402" t="s">
        <v>4355</v>
      </c>
      <c r="C1402" t="s">
        <v>4356</v>
      </c>
      <c r="F1402" t="s">
        <v>1851</v>
      </c>
      <c r="G1402" t="s">
        <v>1722</v>
      </c>
      <c r="H1402" t="s">
        <v>51</v>
      </c>
      <c r="I1402" t="s">
        <v>1723</v>
      </c>
      <c r="J1402" t="s">
        <v>2289</v>
      </c>
      <c r="L1402" t="s">
        <v>2290</v>
      </c>
    </row>
    <row r="1403" spans="1:12" x14ac:dyDescent="0.25">
      <c r="A1403" t="s">
        <v>4357</v>
      </c>
      <c r="B1403" t="s">
        <v>4358</v>
      </c>
      <c r="C1403" t="s">
        <v>4359</v>
      </c>
      <c r="F1403" t="s">
        <v>188</v>
      </c>
      <c r="G1403" t="s">
        <v>1722</v>
      </c>
      <c r="H1403" t="s">
        <v>51</v>
      </c>
      <c r="I1403" t="s">
        <v>1723</v>
      </c>
      <c r="J1403" t="s">
        <v>2289</v>
      </c>
      <c r="L1403" t="s">
        <v>2290</v>
      </c>
    </row>
    <row r="1404" spans="1:12" x14ac:dyDescent="0.25">
      <c r="A1404" t="s">
        <v>4360</v>
      </c>
      <c r="B1404" t="s">
        <v>4361</v>
      </c>
      <c r="C1404" t="s">
        <v>4362</v>
      </c>
      <c r="F1404" t="s">
        <v>2235</v>
      </c>
      <c r="G1404" t="s">
        <v>1722</v>
      </c>
      <c r="H1404" t="s">
        <v>51</v>
      </c>
      <c r="I1404" t="s">
        <v>1723</v>
      </c>
      <c r="J1404" t="s">
        <v>2289</v>
      </c>
      <c r="L1404" t="s">
        <v>2290</v>
      </c>
    </row>
    <row r="1405" spans="1:12" x14ac:dyDescent="0.25">
      <c r="A1405" t="s">
        <v>4363</v>
      </c>
      <c r="B1405" t="s">
        <v>4364</v>
      </c>
      <c r="C1405" t="s">
        <v>4365</v>
      </c>
      <c r="F1405" t="s">
        <v>188</v>
      </c>
      <c r="G1405" t="s">
        <v>1722</v>
      </c>
      <c r="H1405" t="s">
        <v>51</v>
      </c>
      <c r="I1405" t="s">
        <v>1723</v>
      </c>
      <c r="J1405" t="s">
        <v>2289</v>
      </c>
      <c r="L1405" t="s">
        <v>2290</v>
      </c>
    </row>
    <row r="1406" spans="1:12" x14ac:dyDescent="0.25">
      <c r="A1406" t="s">
        <v>4366</v>
      </c>
      <c r="B1406" t="s">
        <v>4367</v>
      </c>
      <c r="C1406" t="s">
        <v>4368</v>
      </c>
      <c r="F1406" t="s">
        <v>1851</v>
      </c>
      <c r="G1406" t="s">
        <v>1722</v>
      </c>
      <c r="H1406" t="s">
        <v>51</v>
      </c>
      <c r="I1406" t="s">
        <v>1723</v>
      </c>
      <c r="J1406" t="s">
        <v>2289</v>
      </c>
      <c r="L1406" t="s">
        <v>2290</v>
      </c>
    </row>
    <row r="1407" spans="1:12" x14ac:dyDescent="0.25">
      <c r="A1407" t="s">
        <v>4369</v>
      </c>
      <c r="B1407" t="s">
        <v>4370</v>
      </c>
      <c r="C1407" t="s">
        <v>4371</v>
      </c>
      <c r="F1407" t="s">
        <v>1851</v>
      </c>
      <c r="G1407" t="s">
        <v>1722</v>
      </c>
      <c r="H1407" t="s">
        <v>51</v>
      </c>
      <c r="I1407" t="s">
        <v>1723</v>
      </c>
      <c r="J1407" t="s">
        <v>2289</v>
      </c>
      <c r="L1407" t="s">
        <v>2290</v>
      </c>
    </row>
    <row r="1408" spans="1:12" x14ac:dyDescent="0.25">
      <c r="A1408" t="s">
        <v>4372</v>
      </c>
      <c r="B1408" t="s">
        <v>4373</v>
      </c>
      <c r="C1408" t="s">
        <v>4374</v>
      </c>
      <c r="F1408" t="s">
        <v>4375</v>
      </c>
      <c r="G1408" t="s">
        <v>1722</v>
      </c>
      <c r="H1408" t="s">
        <v>51</v>
      </c>
      <c r="I1408" t="s">
        <v>1723</v>
      </c>
      <c r="J1408" t="s">
        <v>2289</v>
      </c>
      <c r="L1408" t="s">
        <v>2290</v>
      </c>
    </row>
    <row r="1409" spans="1:12" x14ac:dyDescent="0.25">
      <c r="A1409" t="s">
        <v>4376</v>
      </c>
      <c r="B1409" t="s">
        <v>4377</v>
      </c>
      <c r="C1409" t="s">
        <v>4378</v>
      </c>
      <c r="F1409" t="s">
        <v>2278</v>
      </c>
      <c r="G1409" t="s">
        <v>1722</v>
      </c>
      <c r="H1409" t="s">
        <v>51</v>
      </c>
      <c r="I1409" t="s">
        <v>1723</v>
      </c>
      <c r="J1409" t="s">
        <v>2289</v>
      </c>
      <c r="L1409" t="s">
        <v>2290</v>
      </c>
    </row>
    <row r="1410" spans="1:12" x14ac:dyDescent="0.25">
      <c r="A1410" t="s">
        <v>4379</v>
      </c>
      <c r="B1410" t="s">
        <v>4380</v>
      </c>
      <c r="C1410" t="s">
        <v>4381</v>
      </c>
      <c r="F1410" t="s">
        <v>2278</v>
      </c>
      <c r="G1410" t="s">
        <v>1722</v>
      </c>
      <c r="H1410" t="s">
        <v>51</v>
      </c>
      <c r="I1410" t="s">
        <v>1723</v>
      </c>
      <c r="J1410" t="s">
        <v>2289</v>
      </c>
      <c r="L1410" t="s">
        <v>2290</v>
      </c>
    </row>
    <row r="1411" spans="1:12" x14ac:dyDescent="0.25">
      <c r="A1411" t="s">
        <v>4382</v>
      </c>
      <c r="B1411" t="s">
        <v>4383</v>
      </c>
      <c r="C1411" t="s">
        <v>4384</v>
      </c>
      <c r="F1411" t="s">
        <v>398</v>
      </c>
      <c r="G1411" t="s">
        <v>1722</v>
      </c>
      <c r="H1411" t="s">
        <v>51</v>
      </c>
      <c r="I1411" t="s">
        <v>1723</v>
      </c>
      <c r="J1411" t="s">
        <v>2289</v>
      </c>
      <c r="L1411" t="s">
        <v>2290</v>
      </c>
    </row>
    <row r="1412" spans="1:12" x14ac:dyDescent="0.25">
      <c r="A1412" t="s">
        <v>4385</v>
      </c>
      <c r="B1412" t="s">
        <v>4386</v>
      </c>
      <c r="C1412" t="s">
        <v>4387</v>
      </c>
      <c r="F1412" t="s">
        <v>1734</v>
      </c>
      <c r="G1412" t="s">
        <v>1722</v>
      </c>
      <c r="H1412" t="s">
        <v>51</v>
      </c>
      <c r="I1412" t="s">
        <v>1723</v>
      </c>
      <c r="J1412" t="s">
        <v>2289</v>
      </c>
      <c r="L1412" t="s">
        <v>2290</v>
      </c>
    </row>
    <row r="1413" spans="1:12" x14ac:dyDescent="0.25">
      <c r="A1413" t="s">
        <v>4388</v>
      </c>
      <c r="B1413" t="s">
        <v>4389</v>
      </c>
      <c r="C1413" t="s">
        <v>4390</v>
      </c>
      <c r="F1413" t="s">
        <v>4240</v>
      </c>
      <c r="G1413" t="s">
        <v>1722</v>
      </c>
      <c r="H1413" t="s">
        <v>51</v>
      </c>
      <c r="I1413" t="s">
        <v>1723</v>
      </c>
      <c r="J1413" t="s">
        <v>2289</v>
      </c>
      <c r="L1413" t="s">
        <v>2290</v>
      </c>
    </row>
    <row r="1414" spans="1:12" x14ac:dyDescent="0.25">
      <c r="A1414" t="s">
        <v>4391</v>
      </c>
      <c r="B1414" t="s">
        <v>4392</v>
      </c>
      <c r="C1414" t="s">
        <v>4393</v>
      </c>
      <c r="F1414" t="s">
        <v>2278</v>
      </c>
      <c r="G1414" t="s">
        <v>1722</v>
      </c>
      <c r="H1414" t="s">
        <v>51</v>
      </c>
      <c r="I1414" t="s">
        <v>1723</v>
      </c>
      <c r="J1414" t="s">
        <v>2289</v>
      </c>
      <c r="L1414" t="s">
        <v>2290</v>
      </c>
    </row>
    <row r="1415" spans="1:12" x14ac:dyDescent="0.25">
      <c r="A1415" t="s">
        <v>4394</v>
      </c>
      <c r="B1415" t="s">
        <v>4395</v>
      </c>
      <c r="C1415" t="s">
        <v>4396</v>
      </c>
      <c r="F1415" t="s">
        <v>2306</v>
      </c>
      <c r="G1415" t="s">
        <v>1722</v>
      </c>
      <c r="H1415" t="s">
        <v>51</v>
      </c>
      <c r="I1415" t="s">
        <v>1723</v>
      </c>
      <c r="J1415" t="s">
        <v>2289</v>
      </c>
      <c r="L1415" t="s">
        <v>2290</v>
      </c>
    </row>
    <row r="1416" spans="1:12" x14ac:dyDescent="0.25">
      <c r="A1416" t="s">
        <v>4397</v>
      </c>
      <c r="B1416" t="s">
        <v>2398</v>
      </c>
      <c r="C1416" t="s">
        <v>4398</v>
      </c>
      <c r="F1416" t="s">
        <v>2278</v>
      </c>
      <c r="G1416" t="s">
        <v>1722</v>
      </c>
      <c r="H1416" t="s">
        <v>51</v>
      </c>
      <c r="I1416" t="s">
        <v>1723</v>
      </c>
      <c r="J1416" t="s">
        <v>2289</v>
      </c>
      <c r="L1416" t="s">
        <v>2290</v>
      </c>
    </row>
    <row r="1417" spans="1:12" x14ac:dyDescent="0.25">
      <c r="A1417" t="s">
        <v>4399</v>
      </c>
      <c r="B1417" t="s">
        <v>2411</v>
      </c>
      <c r="C1417" t="s">
        <v>4400</v>
      </c>
      <c r="F1417" t="s">
        <v>2278</v>
      </c>
      <c r="G1417" t="s">
        <v>1722</v>
      </c>
      <c r="H1417" t="s">
        <v>51</v>
      </c>
      <c r="I1417" t="s">
        <v>1723</v>
      </c>
      <c r="J1417" t="s">
        <v>2289</v>
      </c>
      <c r="L1417" t="s">
        <v>2290</v>
      </c>
    </row>
    <row r="1418" spans="1:12" x14ac:dyDescent="0.25">
      <c r="A1418" t="s">
        <v>4401</v>
      </c>
      <c r="B1418" t="s">
        <v>4402</v>
      </c>
      <c r="C1418" t="s">
        <v>4403</v>
      </c>
      <c r="F1418" t="s">
        <v>2278</v>
      </c>
      <c r="G1418" t="s">
        <v>1722</v>
      </c>
      <c r="H1418" t="s">
        <v>51</v>
      </c>
      <c r="I1418" t="s">
        <v>1723</v>
      </c>
      <c r="J1418" t="s">
        <v>2289</v>
      </c>
      <c r="L1418" t="s">
        <v>2290</v>
      </c>
    </row>
    <row r="1419" spans="1:12" x14ac:dyDescent="0.25">
      <c r="A1419" t="s">
        <v>4404</v>
      </c>
      <c r="B1419" t="s">
        <v>4405</v>
      </c>
      <c r="C1419" t="s">
        <v>4406</v>
      </c>
      <c r="F1419" t="s">
        <v>2278</v>
      </c>
      <c r="G1419" t="s">
        <v>1722</v>
      </c>
      <c r="H1419" t="s">
        <v>51</v>
      </c>
      <c r="I1419" t="s">
        <v>1723</v>
      </c>
      <c r="J1419" t="s">
        <v>2289</v>
      </c>
      <c r="L1419" t="s">
        <v>2290</v>
      </c>
    </row>
    <row r="1420" spans="1:12" x14ac:dyDescent="0.25">
      <c r="A1420" t="s">
        <v>4407</v>
      </c>
      <c r="B1420" t="s">
        <v>4408</v>
      </c>
      <c r="C1420" t="s">
        <v>4409</v>
      </c>
      <c r="F1420" t="s">
        <v>398</v>
      </c>
      <c r="G1420" t="s">
        <v>1722</v>
      </c>
      <c r="H1420" t="s">
        <v>51</v>
      </c>
      <c r="I1420" t="s">
        <v>1723</v>
      </c>
      <c r="J1420" t="s">
        <v>2289</v>
      </c>
      <c r="L1420" t="s">
        <v>2290</v>
      </c>
    </row>
    <row r="1421" spans="1:12" x14ac:dyDescent="0.25">
      <c r="A1421" t="s">
        <v>4410</v>
      </c>
      <c r="B1421" t="s">
        <v>4411</v>
      </c>
      <c r="C1421" t="s">
        <v>4412</v>
      </c>
      <c r="F1421" t="s">
        <v>398</v>
      </c>
      <c r="G1421" t="s">
        <v>1722</v>
      </c>
      <c r="H1421" t="s">
        <v>51</v>
      </c>
      <c r="I1421" t="s">
        <v>1723</v>
      </c>
      <c r="J1421" t="s">
        <v>2289</v>
      </c>
      <c r="L1421" t="s">
        <v>2290</v>
      </c>
    </row>
    <row r="1422" spans="1:12" x14ac:dyDescent="0.25">
      <c r="A1422" t="s">
        <v>4413</v>
      </c>
      <c r="B1422" t="s">
        <v>4414</v>
      </c>
      <c r="C1422" t="s">
        <v>4415</v>
      </c>
      <c r="F1422" t="s">
        <v>1734</v>
      </c>
      <c r="G1422" t="s">
        <v>1722</v>
      </c>
      <c r="H1422" t="s">
        <v>51</v>
      </c>
      <c r="I1422" t="s">
        <v>1723</v>
      </c>
      <c r="J1422" t="s">
        <v>2289</v>
      </c>
      <c r="L1422" t="s">
        <v>2290</v>
      </c>
    </row>
    <row r="1423" spans="1:12" x14ac:dyDescent="0.25">
      <c r="A1423" t="s">
        <v>4416</v>
      </c>
      <c r="B1423" t="s">
        <v>4417</v>
      </c>
      <c r="C1423" t="s">
        <v>4418</v>
      </c>
      <c r="F1423" t="s">
        <v>2306</v>
      </c>
      <c r="G1423" t="s">
        <v>1722</v>
      </c>
      <c r="H1423" t="s">
        <v>51</v>
      </c>
      <c r="I1423" t="s">
        <v>1723</v>
      </c>
      <c r="J1423" t="s">
        <v>2289</v>
      </c>
      <c r="L1423" t="s">
        <v>2290</v>
      </c>
    </row>
    <row r="1424" spans="1:12" x14ac:dyDescent="0.25">
      <c r="A1424" t="s">
        <v>4419</v>
      </c>
      <c r="B1424" t="s">
        <v>4420</v>
      </c>
      <c r="C1424" t="s">
        <v>4421</v>
      </c>
      <c r="F1424" t="s">
        <v>1851</v>
      </c>
      <c r="G1424" t="s">
        <v>1722</v>
      </c>
      <c r="H1424" t="s">
        <v>51</v>
      </c>
      <c r="I1424" t="s">
        <v>1723</v>
      </c>
      <c r="J1424" t="s">
        <v>2289</v>
      </c>
      <c r="L1424" t="s">
        <v>2290</v>
      </c>
    </row>
    <row r="1425" spans="1:12" x14ac:dyDescent="0.25">
      <c r="A1425" t="s">
        <v>4422</v>
      </c>
      <c r="B1425" t="s">
        <v>4423</v>
      </c>
      <c r="C1425" t="s">
        <v>4424</v>
      </c>
      <c r="F1425" t="s">
        <v>703</v>
      </c>
      <c r="G1425" t="s">
        <v>1722</v>
      </c>
      <c r="H1425" t="s">
        <v>51</v>
      </c>
      <c r="I1425" t="s">
        <v>1723</v>
      </c>
      <c r="J1425" t="s">
        <v>2289</v>
      </c>
      <c r="L1425" t="s">
        <v>2290</v>
      </c>
    </row>
    <row r="1426" spans="1:12" x14ac:dyDescent="0.25">
      <c r="A1426" t="s">
        <v>4425</v>
      </c>
      <c r="B1426" t="s">
        <v>4426</v>
      </c>
      <c r="C1426" t="s">
        <v>4427</v>
      </c>
      <c r="F1426" t="s">
        <v>4164</v>
      </c>
      <c r="G1426" t="s">
        <v>1722</v>
      </c>
      <c r="H1426" t="s">
        <v>51</v>
      </c>
      <c r="I1426" t="s">
        <v>1723</v>
      </c>
      <c r="J1426" t="s">
        <v>2289</v>
      </c>
      <c r="L1426" t="s">
        <v>2290</v>
      </c>
    </row>
    <row r="1427" spans="1:12" x14ac:dyDescent="0.25">
      <c r="A1427" t="s">
        <v>4428</v>
      </c>
      <c r="B1427" t="s">
        <v>4429</v>
      </c>
      <c r="C1427" t="s">
        <v>4430</v>
      </c>
      <c r="F1427" t="s">
        <v>188</v>
      </c>
      <c r="G1427" t="s">
        <v>1722</v>
      </c>
      <c r="H1427" t="s">
        <v>51</v>
      </c>
      <c r="I1427" t="s">
        <v>1723</v>
      </c>
      <c r="J1427" t="s">
        <v>2289</v>
      </c>
      <c r="L1427" t="s">
        <v>2290</v>
      </c>
    </row>
    <row r="1428" spans="1:12" x14ac:dyDescent="0.25">
      <c r="A1428" t="s">
        <v>4431</v>
      </c>
      <c r="B1428" t="s">
        <v>4432</v>
      </c>
      <c r="C1428" t="s">
        <v>4433</v>
      </c>
      <c r="F1428" t="s">
        <v>2306</v>
      </c>
      <c r="G1428" t="s">
        <v>1722</v>
      </c>
      <c r="H1428" t="s">
        <v>51</v>
      </c>
      <c r="I1428" t="s">
        <v>1723</v>
      </c>
      <c r="J1428" t="s">
        <v>2289</v>
      </c>
      <c r="L1428" t="s">
        <v>2290</v>
      </c>
    </row>
    <row r="1429" spans="1:12" x14ac:dyDescent="0.25">
      <c r="A1429" t="s">
        <v>4434</v>
      </c>
      <c r="B1429" t="s">
        <v>4435</v>
      </c>
      <c r="C1429" t="s">
        <v>4436</v>
      </c>
      <c r="F1429" t="s">
        <v>652</v>
      </c>
      <c r="G1429" t="s">
        <v>1722</v>
      </c>
      <c r="H1429" t="s">
        <v>51</v>
      </c>
      <c r="I1429" t="s">
        <v>1723</v>
      </c>
      <c r="J1429" t="s">
        <v>2289</v>
      </c>
      <c r="L1429" t="s">
        <v>2290</v>
      </c>
    </row>
    <row r="1430" spans="1:12" x14ac:dyDescent="0.25">
      <c r="A1430" t="s">
        <v>4437</v>
      </c>
      <c r="B1430" t="s">
        <v>4438</v>
      </c>
      <c r="C1430" t="s">
        <v>4439</v>
      </c>
      <c r="F1430" t="s">
        <v>1160</v>
      </c>
      <c r="G1430" t="s">
        <v>1722</v>
      </c>
      <c r="H1430" t="s">
        <v>51</v>
      </c>
      <c r="I1430" t="s">
        <v>1723</v>
      </c>
      <c r="J1430" t="s">
        <v>2289</v>
      </c>
      <c r="L1430" t="s">
        <v>2290</v>
      </c>
    </row>
    <row r="1431" spans="1:12" x14ac:dyDescent="0.25">
      <c r="A1431" t="s">
        <v>4440</v>
      </c>
      <c r="B1431" t="s">
        <v>4441</v>
      </c>
      <c r="C1431" t="s">
        <v>4442</v>
      </c>
      <c r="F1431" t="s">
        <v>1851</v>
      </c>
      <c r="G1431" t="s">
        <v>1722</v>
      </c>
      <c r="H1431" t="s">
        <v>51</v>
      </c>
      <c r="I1431" t="s">
        <v>1723</v>
      </c>
      <c r="J1431" t="s">
        <v>2289</v>
      </c>
      <c r="L1431" t="s">
        <v>2290</v>
      </c>
    </row>
    <row r="1432" spans="1:12" x14ac:dyDescent="0.25">
      <c r="A1432" t="s">
        <v>4443</v>
      </c>
      <c r="B1432" t="s">
        <v>4444</v>
      </c>
      <c r="C1432" t="s">
        <v>4445</v>
      </c>
      <c r="F1432" t="s">
        <v>2007</v>
      </c>
      <c r="G1432" t="s">
        <v>1722</v>
      </c>
      <c r="H1432" t="s">
        <v>51</v>
      </c>
      <c r="I1432" t="s">
        <v>1723</v>
      </c>
      <c r="J1432" t="s">
        <v>2289</v>
      </c>
      <c r="L1432" t="s">
        <v>2290</v>
      </c>
    </row>
    <row r="1433" spans="1:12" x14ac:dyDescent="0.25">
      <c r="A1433" t="s">
        <v>4446</v>
      </c>
      <c r="B1433" t="s">
        <v>4447</v>
      </c>
      <c r="C1433" t="s">
        <v>4448</v>
      </c>
      <c r="F1433" t="s">
        <v>1848</v>
      </c>
      <c r="G1433" t="s">
        <v>1722</v>
      </c>
      <c r="H1433" t="s">
        <v>51</v>
      </c>
      <c r="I1433" t="s">
        <v>1723</v>
      </c>
      <c r="J1433" t="s">
        <v>2289</v>
      </c>
      <c r="L1433" t="s">
        <v>2290</v>
      </c>
    </row>
    <row r="1434" spans="1:12" x14ac:dyDescent="0.25">
      <c r="A1434" t="s">
        <v>4449</v>
      </c>
      <c r="B1434" t="s">
        <v>4450</v>
      </c>
      <c r="C1434" t="s">
        <v>4451</v>
      </c>
      <c r="F1434" t="s">
        <v>4375</v>
      </c>
      <c r="G1434" t="s">
        <v>1722</v>
      </c>
      <c r="H1434" t="s">
        <v>51</v>
      </c>
      <c r="I1434" t="s">
        <v>1723</v>
      </c>
      <c r="J1434" t="s">
        <v>2289</v>
      </c>
      <c r="L1434" t="s">
        <v>2290</v>
      </c>
    </row>
    <row r="1435" spans="1:12" x14ac:dyDescent="0.25">
      <c r="A1435" t="s">
        <v>4452</v>
      </c>
      <c r="B1435" t="s">
        <v>4453</v>
      </c>
      <c r="C1435" t="s">
        <v>4454</v>
      </c>
      <c r="F1435" t="s">
        <v>152</v>
      </c>
      <c r="G1435" t="s">
        <v>1722</v>
      </c>
      <c r="H1435" t="s">
        <v>51</v>
      </c>
      <c r="I1435" t="s">
        <v>1723</v>
      </c>
      <c r="J1435" t="s">
        <v>2289</v>
      </c>
      <c r="L1435" t="s">
        <v>2290</v>
      </c>
    </row>
    <row r="1436" spans="1:12" x14ac:dyDescent="0.25">
      <c r="A1436" t="s">
        <v>4455</v>
      </c>
      <c r="B1436" t="s">
        <v>4456</v>
      </c>
      <c r="C1436" t="s">
        <v>4457</v>
      </c>
      <c r="F1436" t="s">
        <v>652</v>
      </c>
      <c r="G1436" t="s">
        <v>1722</v>
      </c>
      <c r="H1436" t="s">
        <v>51</v>
      </c>
      <c r="I1436" t="s">
        <v>1723</v>
      </c>
      <c r="J1436" t="s">
        <v>2289</v>
      </c>
      <c r="L1436" t="s">
        <v>2290</v>
      </c>
    </row>
    <row r="1437" spans="1:12" x14ac:dyDescent="0.25">
      <c r="A1437" t="s">
        <v>4458</v>
      </c>
      <c r="B1437" t="s">
        <v>4459</v>
      </c>
      <c r="C1437" t="s">
        <v>4460</v>
      </c>
      <c r="F1437" t="s">
        <v>277</v>
      </c>
      <c r="G1437" t="s">
        <v>1722</v>
      </c>
      <c r="H1437" t="s">
        <v>51</v>
      </c>
      <c r="I1437" t="s">
        <v>1723</v>
      </c>
      <c r="J1437" t="s">
        <v>2289</v>
      </c>
      <c r="L1437" t="s">
        <v>2290</v>
      </c>
    </row>
    <row r="1438" spans="1:12" x14ac:dyDescent="0.25">
      <c r="A1438" t="s">
        <v>4461</v>
      </c>
      <c r="B1438" t="s">
        <v>4462</v>
      </c>
      <c r="C1438" t="s">
        <v>4463</v>
      </c>
      <c r="F1438" t="s">
        <v>277</v>
      </c>
      <c r="G1438" t="s">
        <v>1722</v>
      </c>
      <c r="H1438" t="s">
        <v>51</v>
      </c>
      <c r="I1438" t="s">
        <v>1723</v>
      </c>
      <c r="J1438" t="s">
        <v>2289</v>
      </c>
      <c r="L1438" t="s">
        <v>2290</v>
      </c>
    </row>
    <row r="1439" spans="1:12" x14ac:dyDescent="0.25">
      <c r="A1439" t="s">
        <v>4464</v>
      </c>
      <c r="B1439" t="s">
        <v>4465</v>
      </c>
      <c r="C1439" t="s">
        <v>4466</v>
      </c>
      <c r="F1439" t="s">
        <v>1734</v>
      </c>
      <c r="G1439" t="s">
        <v>1722</v>
      </c>
      <c r="H1439" t="s">
        <v>51</v>
      </c>
      <c r="I1439" t="s">
        <v>1723</v>
      </c>
      <c r="J1439" t="s">
        <v>2289</v>
      </c>
      <c r="L1439" t="s">
        <v>2290</v>
      </c>
    </row>
    <row r="1440" spans="1:12" x14ac:dyDescent="0.25">
      <c r="A1440" t="s">
        <v>4467</v>
      </c>
      <c r="B1440" t="s">
        <v>4468</v>
      </c>
      <c r="C1440" t="s">
        <v>4469</v>
      </c>
      <c r="F1440" t="s">
        <v>4240</v>
      </c>
      <c r="G1440" t="s">
        <v>1722</v>
      </c>
      <c r="H1440" t="s">
        <v>51</v>
      </c>
      <c r="I1440" t="s">
        <v>1723</v>
      </c>
      <c r="J1440" t="s">
        <v>2289</v>
      </c>
      <c r="L1440" t="s">
        <v>2290</v>
      </c>
    </row>
    <row r="1441" spans="1:12" x14ac:dyDescent="0.25">
      <c r="A1441" t="s">
        <v>4470</v>
      </c>
      <c r="B1441" t="s">
        <v>4471</v>
      </c>
      <c r="C1441" t="s">
        <v>4472</v>
      </c>
      <c r="F1441" t="s">
        <v>1734</v>
      </c>
      <c r="G1441" t="s">
        <v>1722</v>
      </c>
      <c r="H1441" t="s">
        <v>51</v>
      </c>
      <c r="I1441" t="s">
        <v>1723</v>
      </c>
      <c r="J1441" t="s">
        <v>2289</v>
      </c>
      <c r="L1441" t="s">
        <v>2290</v>
      </c>
    </row>
    <row r="1442" spans="1:12" x14ac:dyDescent="0.25">
      <c r="A1442" t="s">
        <v>4473</v>
      </c>
      <c r="B1442" t="s">
        <v>4474</v>
      </c>
      <c r="C1442" t="s">
        <v>4475</v>
      </c>
      <c r="F1442" t="s">
        <v>4240</v>
      </c>
      <c r="G1442" t="s">
        <v>1722</v>
      </c>
      <c r="H1442" t="s">
        <v>51</v>
      </c>
      <c r="I1442" t="s">
        <v>1723</v>
      </c>
      <c r="J1442" t="s">
        <v>2289</v>
      </c>
      <c r="L1442" t="s">
        <v>2290</v>
      </c>
    </row>
    <row r="1443" spans="1:12" x14ac:dyDescent="0.25">
      <c r="A1443" t="s">
        <v>4476</v>
      </c>
      <c r="B1443" t="s">
        <v>4477</v>
      </c>
      <c r="C1443" t="s">
        <v>4478</v>
      </c>
      <c r="F1443" t="s">
        <v>4240</v>
      </c>
      <c r="G1443" t="s">
        <v>1722</v>
      </c>
      <c r="H1443" t="s">
        <v>51</v>
      </c>
      <c r="I1443" t="s">
        <v>1723</v>
      </c>
      <c r="J1443" t="s">
        <v>2289</v>
      </c>
      <c r="L1443" t="s">
        <v>2290</v>
      </c>
    </row>
    <row r="1444" spans="1:12" x14ac:dyDescent="0.25">
      <c r="A1444" t="s">
        <v>4479</v>
      </c>
      <c r="B1444" t="s">
        <v>4480</v>
      </c>
      <c r="C1444" t="s">
        <v>4481</v>
      </c>
      <c r="F1444" t="s">
        <v>4240</v>
      </c>
      <c r="G1444" t="s">
        <v>1722</v>
      </c>
      <c r="H1444" t="s">
        <v>51</v>
      </c>
      <c r="I1444" t="s">
        <v>1723</v>
      </c>
      <c r="J1444" t="s">
        <v>2289</v>
      </c>
      <c r="L1444" t="s">
        <v>2290</v>
      </c>
    </row>
    <row r="1445" spans="1:12" x14ac:dyDescent="0.25">
      <c r="A1445" t="s">
        <v>4482</v>
      </c>
      <c r="B1445" t="s">
        <v>4483</v>
      </c>
      <c r="C1445" t="s">
        <v>4484</v>
      </c>
      <c r="F1445" t="s">
        <v>652</v>
      </c>
      <c r="G1445" t="s">
        <v>1722</v>
      </c>
      <c r="H1445" t="s">
        <v>51</v>
      </c>
      <c r="I1445" t="s">
        <v>1723</v>
      </c>
      <c r="J1445" t="s">
        <v>2289</v>
      </c>
      <c r="L1445" t="s">
        <v>2290</v>
      </c>
    </row>
    <row r="1446" spans="1:12" x14ac:dyDescent="0.25">
      <c r="A1446" t="s">
        <v>4485</v>
      </c>
      <c r="B1446" t="s">
        <v>4486</v>
      </c>
      <c r="C1446" t="s">
        <v>4487</v>
      </c>
      <c r="F1446" t="s">
        <v>4240</v>
      </c>
      <c r="G1446" t="s">
        <v>1722</v>
      </c>
      <c r="H1446" t="s">
        <v>51</v>
      </c>
      <c r="I1446" t="s">
        <v>1723</v>
      </c>
      <c r="J1446" t="s">
        <v>2289</v>
      </c>
      <c r="L1446" t="s">
        <v>2290</v>
      </c>
    </row>
    <row r="1447" spans="1:12" x14ac:dyDescent="0.25">
      <c r="A1447" t="s">
        <v>4488</v>
      </c>
      <c r="B1447" t="s">
        <v>4489</v>
      </c>
      <c r="C1447" t="s">
        <v>4490</v>
      </c>
      <c r="F1447" t="s">
        <v>1670</v>
      </c>
      <c r="G1447" t="s">
        <v>1722</v>
      </c>
      <c r="H1447" t="s">
        <v>51</v>
      </c>
      <c r="I1447" t="s">
        <v>1723</v>
      </c>
      <c r="J1447" t="s">
        <v>2289</v>
      </c>
      <c r="L1447" t="s">
        <v>2290</v>
      </c>
    </row>
    <row r="1448" spans="1:12" x14ac:dyDescent="0.25">
      <c r="A1448" t="s">
        <v>4491</v>
      </c>
      <c r="B1448" t="s">
        <v>4492</v>
      </c>
      <c r="C1448" t="s">
        <v>4493</v>
      </c>
      <c r="F1448" t="s">
        <v>4494</v>
      </c>
      <c r="G1448" t="s">
        <v>1722</v>
      </c>
      <c r="H1448" t="s">
        <v>51</v>
      </c>
      <c r="I1448" t="s">
        <v>1723</v>
      </c>
      <c r="J1448" t="s">
        <v>2289</v>
      </c>
      <c r="L1448" t="s">
        <v>2290</v>
      </c>
    </row>
    <row r="1449" spans="1:12" x14ac:dyDescent="0.25">
      <c r="A1449" t="s">
        <v>4495</v>
      </c>
      <c r="B1449" t="s">
        <v>4496</v>
      </c>
      <c r="C1449" t="s">
        <v>4497</v>
      </c>
      <c r="F1449" t="s">
        <v>4126</v>
      </c>
      <c r="G1449" t="s">
        <v>1722</v>
      </c>
      <c r="H1449" t="s">
        <v>51</v>
      </c>
      <c r="I1449" t="s">
        <v>1723</v>
      </c>
      <c r="J1449" t="s">
        <v>2289</v>
      </c>
      <c r="L1449" t="s">
        <v>2290</v>
      </c>
    </row>
    <row r="1450" spans="1:12" x14ac:dyDescent="0.25">
      <c r="A1450" t="s">
        <v>4498</v>
      </c>
      <c r="B1450" t="s">
        <v>4499</v>
      </c>
      <c r="C1450" t="s">
        <v>4500</v>
      </c>
      <c r="F1450" t="s">
        <v>2370</v>
      </c>
      <c r="G1450" t="s">
        <v>1722</v>
      </c>
      <c r="H1450" t="s">
        <v>51</v>
      </c>
      <c r="I1450" t="s">
        <v>1723</v>
      </c>
      <c r="J1450" t="s">
        <v>2289</v>
      </c>
      <c r="L1450" t="s">
        <v>2290</v>
      </c>
    </row>
    <row r="1451" spans="1:12" x14ac:dyDescent="0.25">
      <c r="A1451" t="s">
        <v>4501</v>
      </c>
      <c r="B1451" t="s">
        <v>4502</v>
      </c>
      <c r="C1451" t="s">
        <v>4503</v>
      </c>
      <c r="F1451" t="s">
        <v>2012</v>
      </c>
      <c r="G1451" t="s">
        <v>1722</v>
      </c>
      <c r="H1451" t="s">
        <v>51</v>
      </c>
      <c r="I1451" t="s">
        <v>1723</v>
      </c>
      <c r="J1451" t="s">
        <v>2289</v>
      </c>
      <c r="L1451" t="s">
        <v>2290</v>
      </c>
    </row>
    <row r="1452" spans="1:12" x14ac:dyDescent="0.25">
      <c r="A1452" t="s">
        <v>4504</v>
      </c>
      <c r="B1452" t="s">
        <v>4505</v>
      </c>
      <c r="C1452" t="s">
        <v>4506</v>
      </c>
      <c r="F1452" t="s">
        <v>2370</v>
      </c>
      <c r="G1452" t="s">
        <v>1722</v>
      </c>
      <c r="H1452" t="s">
        <v>51</v>
      </c>
      <c r="I1452" t="s">
        <v>1723</v>
      </c>
      <c r="J1452" t="s">
        <v>2289</v>
      </c>
      <c r="L1452" t="s">
        <v>2290</v>
      </c>
    </row>
    <row r="1453" spans="1:12" x14ac:dyDescent="0.25">
      <c r="A1453" t="s">
        <v>4507</v>
      </c>
      <c r="B1453" t="s">
        <v>4508</v>
      </c>
      <c r="C1453" t="s">
        <v>4509</v>
      </c>
      <c r="F1453" t="s">
        <v>4510</v>
      </c>
      <c r="G1453" t="s">
        <v>1722</v>
      </c>
      <c r="H1453" t="s">
        <v>51</v>
      </c>
      <c r="I1453" t="s">
        <v>1723</v>
      </c>
      <c r="J1453" t="s">
        <v>2289</v>
      </c>
      <c r="L1453" t="s">
        <v>2290</v>
      </c>
    </row>
    <row r="1454" spans="1:12" x14ac:dyDescent="0.25">
      <c r="A1454" t="s">
        <v>4511</v>
      </c>
      <c r="B1454" t="s">
        <v>4512</v>
      </c>
      <c r="C1454" t="s">
        <v>4513</v>
      </c>
      <c r="F1454" t="s">
        <v>4198</v>
      </c>
      <c r="G1454" t="s">
        <v>1722</v>
      </c>
      <c r="H1454" t="s">
        <v>51</v>
      </c>
      <c r="I1454" t="s">
        <v>1723</v>
      </c>
      <c r="J1454" t="s">
        <v>2289</v>
      </c>
      <c r="L1454" t="s">
        <v>2290</v>
      </c>
    </row>
    <row r="1455" spans="1:12" x14ac:dyDescent="0.25">
      <c r="A1455" t="s">
        <v>4514</v>
      </c>
      <c r="B1455" t="s">
        <v>4515</v>
      </c>
      <c r="C1455" t="s">
        <v>4516</v>
      </c>
      <c r="F1455" t="s">
        <v>652</v>
      </c>
      <c r="G1455" t="s">
        <v>1722</v>
      </c>
      <c r="H1455" t="s">
        <v>51</v>
      </c>
      <c r="I1455" t="s">
        <v>1723</v>
      </c>
      <c r="J1455" t="s">
        <v>2289</v>
      </c>
      <c r="L1455" t="s">
        <v>2290</v>
      </c>
    </row>
    <row r="1456" spans="1:12" x14ac:dyDescent="0.25">
      <c r="A1456" t="s">
        <v>4517</v>
      </c>
      <c r="B1456" t="s">
        <v>4518</v>
      </c>
      <c r="C1456" t="s">
        <v>4519</v>
      </c>
      <c r="F1456" t="s">
        <v>2278</v>
      </c>
      <c r="G1456" t="s">
        <v>1722</v>
      </c>
      <c r="H1456" t="s">
        <v>51</v>
      </c>
      <c r="I1456" t="s">
        <v>1723</v>
      </c>
      <c r="J1456" t="s">
        <v>2289</v>
      </c>
      <c r="L1456" t="s">
        <v>2290</v>
      </c>
    </row>
    <row r="1457" spans="1:12" x14ac:dyDescent="0.25">
      <c r="A1457" t="s">
        <v>4520</v>
      </c>
      <c r="B1457" t="s">
        <v>4521</v>
      </c>
      <c r="C1457" t="s">
        <v>4522</v>
      </c>
      <c r="F1457" t="s">
        <v>4523</v>
      </c>
      <c r="G1457" t="s">
        <v>1722</v>
      </c>
      <c r="H1457" t="s">
        <v>51</v>
      </c>
      <c r="I1457" t="s">
        <v>1723</v>
      </c>
      <c r="J1457" t="s">
        <v>2289</v>
      </c>
      <c r="L1457" t="s">
        <v>2290</v>
      </c>
    </row>
    <row r="1458" spans="1:12" x14ac:dyDescent="0.25">
      <c r="A1458" t="s">
        <v>4524</v>
      </c>
      <c r="B1458" t="s">
        <v>4515</v>
      </c>
      <c r="C1458" t="s">
        <v>4525</v>
      </c>
      <c r="F1458" t="s">
        <v>652</v>
      </c>
      <c r="G1458" t="s">
        <v>1722</v>
      </c>
      <c r="H1458" t="s">
        <v>51</v>
      </c>
      <c r="I1458" t="s">
        <v>1723</v>
      </c>
      <c r="J1458" t="s">
        <v>2289</v>
      </c>
      <c r="L1458" t="s">
        <v>2290</v>
      </c>
    </row>
    <row r="1459" spans="1:12" x14ac:dyDescent="0.25">
      <c r="A1459" t="s">
        <v>4526</v>
      </c>
      <c r="B1459" t="s">
        <v>4527</v>
      </c>
      <c r="C1459" t="s">
        <v>4528</v>
      </c>
      <c r="F1459" t="s">
        <v>1851</v>
      </c>
      <c r="G1459" t="s">
        <v>1722</v>
      </c>
      <c r="H1459" t="s">
        <v>51</v>
      </c>
      <c r="I1459" t="s">
        <v>1723</v>
      </c>
      <c r="J1459" t="s">
        <v>2289</v>
      </c>
      <c r="L1459" t="s">
        <v>2290</v>
      </c>
    </row>
    <row r="1460" spans="1:12" x14ac:dyDescent="0.25">
      <c r="A1460" t="s">
        <v>4529</v>
      </c>
      <c r="B1460" t="s">
        <v>4530</v>
      </c>
      <c r="C1460" t="s">
        <v>4531</v>
      </c>
      <c r="F1460" t="s">
        <v>3899</v>
      </c>
      <c r="G1460" t="s">
        <v>1722</v>
      </c>
      <c r="H1460" t="s">
        <v>51</v>
      </c>
      <c r="I1460" t="s">
        <v>1723</v>
      </c>
      <c r="J1460" t="s">
        <v>2289</v>
      </c>
      <c r="L1460" t="s">
        <v>2290</v>
      </c>
    </row>
    <row r="1461" spans="1:12" x14ac:dyDescent="0.25">
      <c r="A1461" t="s">
        <v>4532</v>
      </c>
      <c r="B1461" t="s">
        <v>4533</v>
      </c>
      <c r="C1461" t="s">
        <v>4534</v>
      </c>
      <c r="F1461" t="s">
        <v>652</v>
      </c>
      <c r="G1461" t="s">
        <v>1722</v>
      </c>
      <c r="H1461" t="s">
        <v>51</v>
      </c>
      <c r="I1461" t="s">
        <v>1723</v>
      </c>
      <c r="J1461" t="s">
        <v>2289</v>
      </c>
      <c r="L1461" t="s">
        <v>2290</v>
      </c>
    </row>
    <row r="1462" spans="1:12" x14ac:dyDescent="0.25">
      <c r="A1462" t="s">
        <v>4535</v>
      </c>
      <c r="B1462" t="s">
        <v>4536</v>
      </c>
      <c r="C1462" t="s">
        <v>4537</v>
      </c>
      <c r="F1462" t="s">
        <v>3899</v>
      </c>
      <c r="G1462" t="s">
        <v>1722</v>
      </c>
      <c r="H1462" t="s">
        <v>51</v>
      </c>
      <c r="I1462" t="s">
        <v>1723</v>
      </c>
      <c r="J1462" t="s">
        <v>2289</v>
      </c>
      <c r="L1462" t="s">
        <v>2290</v>
      </c>
    </row>
    <row r="1463" spans="1:12" x14ac:dyDescent="0.25">
      <c r="A1463" t="s">
        <v>4538</v>
      </c>
      <c r="B1463" t="s">
        <v>4539</v>
      </c>
      <c r="C1463" t="s">
        <v>4540</v>
      </c>
      <c r="F1463" t="s">
        <v>652</v>
      </c>
      <c r="G1463" t="s">
        <v>1722</v>
      </c>
      <c r="H1463" t="s">
        <v>51</v>
      </c>
      <c r="I1463" t="s">
        <v>1723</v>
      </c>
      <c r="J1463" t="s">
        <v>2289</v>
      </c>
      <c r="L1463" t="s">
        <v>2290</v>
      </c>
    </row>
    <row r="1464" spans="1:12" x14ac:dyDescent="0.25">
      <c r="A1464" t="s">
        <v>4541</v>
      </c>
      <c r="B1464" t="s">
        <v>4542</v>
      </c>
      <c r="C1464" t="s">
        <v>4543</v>
      </c>
      <c r="F1464" t="s">
        <v>1670</v>
      </c>
      <c r="G1464" t="s">
        <v>1722</v>
      </c>
      <c r="H1464" t="s">
        <v>51</v>
      </c>
      <c r="I1464" t="s">
        <v>1723</v>
      </c>
      <c r="J1464" t="s">
        <v>2289</v>
      </c>
      <c r="L1464" t="s">
        <v>2290</v>
      </c>
    </row>
    <row r="1465" spans="1:12" x14ac:dyDescent="0.25">
      <c r="A1465" t="s">
        <v>4544</v>
      </c>
      <c r="B1465" t="s">
        <v>4545</v>
      </c>
      <c r="C1465" t="s">
        <v>4546</v>
      </c>
      <c r="F1465" t="s">
        <v>1851</v>
      </c>
      <c r="G1465" t="s">
        <v>1722</v>
      </c>
      <c r="H1465" t="s">
        <v>51</v>
      </c>
      <c r="I1465" t="s">
        <v>1723</v>
      </c>
      <c r="J1465" t="s">
        <v>2289</v>
      </c>
      <c r="L1465" t="s">
        <v>2290</v>
      </c>
    </row>
    <row r="1466" spans="1:12" x14ac:dyDescent="0.25">
      <c r="A1466" t="s">
        <v>4547</v>
      </c>
      <c r="B1466" t="s">
        <v>4548</v>
      </c>
      <c r="C1466" t="s">
        <v>4549</v>
      </c>
      <c r="F1466" t="s">
        <v>3899</v>
      </c>
      <c r="G1466" t="s">
        <v>1722</v>
      </c>
      <c r="H1466" t="s">
        <v>51</v>
      </c>
      <c r="I1466" t="s">
        <v>1723</v>
      </c>
      <c r="J1466" t="s">
        <v>2289</v>
      </c>
      <c r="L1466" t="s">
        <v>2290</v>
      </c>
    </row>
    <row r="1467" spans="1:12" x14ac:dyDescent="0.25">
      <c r="A1467" t="s">
        <v>4550</v>
      </c>
      <c r="B1467" t="s">
        <v>4551</v>
      </c>
      <c r="C1467" t="s">
        <v>4552</v>
      </c>
      <c r="F1467" t="s">
        <v>1851</v>
      </c>
      <c r="G1467" t="s">
        <v>1722</v>
      </c>
      <c r="H1467" t="s">
        <v>51</v>
      </c>
      <c r="I1467" t="s">
        <v>1723</v>
      </c>
      <c r="J1467" t="s">
        <v>2289</v>
      </c>
      <c r="L1467" t="s">
        <v>2290</v>
      </c>
    </row>
    <row r="1468" spans="1:12" x14ac:dyDescent="0.25">
      <c r="A1468" t="s">
        <v>4553</v>
      </c>
      <c r="B1468" t="s">
        <v>4554</v>
      </c>
      <c r="C1468" t="s">
        <v>4555</v>
      </c>
      <c r="F1468" t="s">
        <v>1851</v>
      </c>
      <c r="G1468" t="s">
        <v>1722</v>
      </c>
      <c r="H1468" t="s">
        <v>51</v>
      </c>
      <c r="I1468" t="s">
        <v>1723</v>
      </c>
      <c r="J1468" t="s">
        <v>2289</v>
      </c>
      <c r="L1468" t="s">
        <v>2290</v>
      </c>
    </row>
    <row r="1469" spans="1:12" x14ac:dyDescent="0.25">
      <c r="A1469" t="s">
        <v>4556</v>
      </c>
      <c r="B1469" t="s">
        <v>4557</v>
      </c>
      <c r="C1469" t="s">
        <v>4558</v>
      </c>
      <c r="F1469" t="s">
        <v>1851</v>
      </c>
      <c r="G1469" t="s">
        <v>1722</v>
      </c>
      <c r="H1469" t="s">
        <v>51</v>
      </c>
      <c r="I1469" t="s">
        <v>1723</v>
      </c>
      <c r="J1469" t="s">
        <v>2289</v>
      </c>
      <c r="L1469" t="s">
        <v>2290</v>
      </c>
    </row>
    <row r="1470" spans="1:12" x14ac:dyDescent="0.25">
      <c r="A1470" t="s">
        <v>4559</v>
      </c>
      <c r="B1470" t="s">
        <v>4560</v>
      </c>
      <c r="C1470" t="s">
        <v>4561</v>
      </c>
      <c r="F1470" t="s">
        <v>1851</v>
      </c>
      <c r="G1470" t="s">
        <v>1722</v>
      </c>
      <c r="H1470" t="s">
        <v>51</v>
      </c>
      <c r="I1470" t="s">
        <v>1723</v>
      </c>
      <c r="J1470" t="s">
        <v>2289</v>
      </c>
      <c r="L1470" t="s">
        <v>2290</v>
      </c>
    </row>
    <row r="1471" spans="1:12" x14ac:dyDescent="0.25">
      <c r="A1471" t="s">
        <v>4562</v>
      </c>
      <c r="B1471" t="s">
        <v>4563</v>
      </c>
      <c r="C1471" t="s">
        <v>4564</v>
      </c>
      <c r="F1471" t="s">
        <v>2235</v>
      </c>
      <c r="G1471" t="s">
        <v>1722</v>
      </c>
      <c r="H1471" t="s">
        <v>51</v>
      </c>
      <c r="I1471" t="s">
        <v>1723</v>
      </c>
      <c r="J1471" t="s">
        <v>2289</v>
      </c>
      <c r="L1471" t="s">
        <v>2290</v>
      </c>
    </row>
    <row r="1472" spans="1:12" x14ac:dyDescent="0.25">
      <c r="A1472" t="s">
        <v>4565</v>
      </c>
      <c r="B1472" t="s">
        <v>4566</v>
      </c>
      <c r="C1472" t="s">
        <v>4567</v>
      </c>
      <c r="F1472" t="s">
        <v>2306</v>
      </c>
      <c r="G1472" t="s">
        <v>1722</v>
      </c>
      <c r="H1472" t="s">
        <v>51</v>
      </c>
      <c r="I1472" t="s">
        <v>1723</v>
      </c>
      <c r="J1472" t="s">
        <v>2289</v>
      </c>
      <c r="L1472" t="s">
        <v>2290</v>
      </c>
    </row>
    <row r="1473" spans="1:12" x14ac:dyDescent="0.25">
      <c r="A1473" t="s">
        <v>4568</v>
      </c>
      <c r="B1473" t="s">
        <v>4569</v>
      </c>
      <c r="C1473" t="s">
        <v>4570</v>
      </c>
      <c r="F1473" t="s">
        <v>703</v>
      </c>
      <c r="G1473" t="s">
        <v>1722</v>
      </c>
      <c r="H1473" t="s">
        <v>51</v>
      </c>
      <c r="I1473" t="s">
        <v>1723</v>
      </c>
      <c r="J1473" t="s">
        <v>2289</v>
      </c>
      <c r="L1473" t="s">
        <v>2290</v>
      </c>
    </row>
    <row r="1474" spans="1:12" x14ac:dyDescent="0.25">
      <c r="A1474" t="s">
        <v>4571</v>
      </c>
      <c r="B1474" t="s">
        <v>4572</v>
      </c>
      <c r="C1474" t="s">
        <v>4573</v>
      </c>
      <c r="F1474" t="s">
        <v>2251</v>
      </c>
      <c r="G1474" t="s">
        <v>1722</v>
      </c>
      <c r="H1474" t="s">
        <v>51</v>
      </c>
      <c r="I1474" t="s">
        <v>1723</v>
      </c>
      <c r="J1474" t="s">
        <v>2289</v>
      </c>
      <c r="L1474" t="s">
        <v>2290</v>
      </c>
    </row>
    <row r="1475" spans="1:12" x14ac:dyDescent="0.25">
      <c r="A1475" t="s">
        <v>4574</v>
      </c>
      <c r="B1475" t="s">
        <v>4575</v>
      </c>
      <c r="C1475" t="s">
        <v>4576</v>
      </c>
      <c r="F1475" t="s">
        <v>188</v>
      </c>
      <c r="G1475" t="s">
        <v>1722</v>
      </c>
      <c r="H1475" t="s">
        <v>51</v>
      </c>
      <c r="I1475" t="s">
        <v>1723</v>
      </c>
      <c r="J1475" t="s">
        <v>2289</v>
      </c>
      <c r="L1475" t="s">
        <v>2290</v>
      </c>
    </row>
    <row r="1476" spans="1:12" x14ac:dyDescent="0.25">
      <c r="A1476" t="s">
        <v>4577</v>
      </c>
      <c r="B1476" t="s">
        <v>4578</v>
      </c>
      <c r="C1476" t="s">
        <v>4579</v>
      </c>
      <c r="F1476" t="s">
        <v>188</v>
      </c>
      <c r="G1476" t="s">
        <v>1722</v>
      </c>
      <c r="H1476" t="s">
        <v>51</v>
      </c>
      <c r="I1476" t="s">
        <v>1723</v>
      </c>
      <c r="J1476" t="s">
        <v>2289</v>
      </c>
      <c r="L1476" t="s">
        <v>2290</v>
      </c>
    </row>
    <row r="1477" spans="1:12" x14ac:dyDescent="0.25">
      <c r="A1477" t="s">
        <v>4580</v>
      </c>
      <c r="B1477" t="s">
        <v>4581</v>
      </c>
      <c r="C1477" t="s">
        <v>4582</v>
      </c>
      <c r="F1477" t="s">
        <v>152</v>
      </c>
      <c r="G1477" t="s">
        <v>1722</v>
      </c>
      <c r="H1477" t="s">
        <v>51</v>
      </c>
      <c r="I1477" t="s">
        <v>1723</v>
      </c>
      <c r="J1477" t="s">
        <v>2289</v>
      </c>
      <c r="L1477" t="s">
        <v>2290</v>
      </c>
    </row>
    <row r="1478" spans="1:12" x14ac:dyDescent="0.25">
      <c r="A1478" t="s">
        <v>4583</v>
      </c>
      <c r="B1478" t="s">
        <v>4584</v>
      </c>
      <c r="C1478" t="s">
        <v>4585</v>
      </c>
      <c r="F1478" t="s">
        <v>4375</v>
      </c>
      <c r="G1478" t="s">
        <v>1722</v>
      </c>
      <c r="H1478" t="s">
        <v>51</v>
      </c>
      <c r="I1478" t="s">
        <v>1723</v>
      </c>
      <c r="J1478" t="s">
        <v>2289</v>
      </c>
      <c r="L1478" t="s">
        <v>2290</v>
      </c>
    </row>
    <row r="1479" spans="1:12" x14ac:dyDescent="0.25">
      <c r="A1479" t="s">
        <v>4586</v>
      </c>
      <c r="B1479" t="s">
        <v>4587</v>
      </c>
      <c r="C1479" t="s">
        <v>4588</v>
      </c>
      <c r="F1479" t="s">
        <v>1670</v>
      </c>
      <c r="G1479" t="s">
        <v>1722</v>
      </c>
      <c r="H1479" t="s">
        <v>51</v>
      </c>
      <c r="I1479" t="s">
        <v>1723</v>
      </c>
      <c r="J1479" t="s">
        <v>2289</v>
      </c>
      <c r="L1479" t="s">
        <v>2290</v>
      </c>
    </row>
    <row r="1480" spans="1:12" x14ac:dyDescent="0.25">
      <c r="A1480" t="s">
        <v>4589</v>
      </c>
      <c r="B1480" t="s">
        <v>4590</v>
      </c>
      <c r="C1480" t="s">
        <v>4591</v>
      </c>
      <c r="F1480" t="s">
        <v>1670</v>
      </c>
      <c r="G1480" t="s">
        <v>1722</v>
      </c>
      <c r="H1480" t="s">
        <v>51</v>
      </c>
      <c r="I1480" t="s">
        <v>1723</v>
      </c>
      <c r="J1480" t="s">
        <v>2289</v>
      </c>
      <c r="L1480" t="s">
        <v>2290</v>
      </c>
    </row>
    <row r="1481" spans="1:12" x14ac:dyDescent="0.25">
      <c r="A1481" t="s">
        <v>4592</v>
      </c>
      <c r="B1481" t="s">
        <v>4593</v>
      </c>
      <c r="C1481" t="s">
        <v>4594</v>
      </c>
      <c r="F1481" t="s">
        <v>4164</v>
      </c>
      <c r="G1481" t="s">
        <v>1722</v>
      </c>
      <c r="H1481" t="s">
        <v>51</v>
      </c>
      <c r="I1481" t="s">
        <v>1723</v>
      </c>
      <c r="J1481" t="s">
        <v>2289</v>
      </c>
      <c r="L1481" t="s">
        <v>2290</v>
      </c>
    </row>
    <row r="1482" spans="1:12" x14ac:dyDescent="0.25">
      <c r="A1482" t="s">
        <v>4595</v>
      </c>
      <c r="B1482" t="s">
        <v>4596</v>
      </c>
      <c r="C1482" t="s">
        <v>4597</v>
      </c>
      <c r="F1482" t="s">
        <v>4164</v>
      </c>
      <c r="G1482" t="s">
        <v>1722</v>
      </c>
      <c r="H1482" t="s">
        <v>51</v>
      </c>
      <c r="I1482" t="s">
        <v>1723</v>
      </c>
      <c r="J1482" t="s">
        <v>2289</v>
      </c>
      <c r="L1482" t="s">
        <v>2290</v>
      </c>
    </row>
    <row r="1483" spans="1:12" x14ac:dyDescent="0.25">
      <c r="A1483" t="s">
        <v>4598</v>
      </c>
      <c r="B1483" t="s">
        <v>4599</v>
      </c>
      <c r="C1483" t="s">
        <v>4600</v>
      </c>
      <c r="F1483" t="s">
        <v>1917</v>
      </c>
      <c r="G1483" t="s">
        <v>1722</v>
      </c>
      <c r="H1483" t="s">
        <v>51</v>
      </c>
      <c r="I1483" t="s">
        <v>1723</v>
      </c>
      <c r="J1483" t="s">
        <v>2289</v>
      </c>
      <c r="L1483" t="s">
        <v>2290</v>
      </c>
    </row>
    <row r="1484" spans="1:12" x14ac:dyDescent="0.25">
      <c r="A1484" t="s">
        <v>4601</v>
      </c>
      <c r="B1484" t="s">
        <v>4602</v>
      </c>
      <c r="C1484" t="s">
        <v>4603</v>
      </c>
      <c r="F1484" t="s">
        <v>1670</v>
      </c>
      <c r="G1484" t="s">
        <v>1722</v>
      </c>
      <c r="H1484" t="s">
        <v>51</v>
      </c>
      <c r="I1484" t="s">
        <v>1723</v>
      </c>
      <c r="J1484" t="s">
        <v>2289</v>
      </c>
      <c r="L1484" t="s">
        <v>2290</v>
      </c>
    </row>
    <row r="1485" spans="1:12" x14ac:dyDescent="0.25">
      <c r="A1485" t="s">
        <v>4604</v>
      </c>
      <c r="B1485" t="s">
        <v>4605</v>
      </c>
      <c r="C1485" t="s">
        <v>4606</v>
      </c>
      <c r="F1485" t="s">
        <v>652</v>
      </c>
      <c r="G1485" t="s">
        <v>1722</v>
      </c>
      <c r="H1485" t="s">
        <v>51</v>
      </c>
      <c r="I1485" t="s">
        <v>1723</v>
      </c>
      <c r="J1485" t="s">
        <v>2289</v>
      </c>
      <c r="L1485" t="s">
        <v>2290</v>
      </c>
    </row>
    <row r="1486" spans="1:12" x14ac:dyDescent="0.25">
      <c r="A1486" t="s">
        <v>4607</v>
      </c>
      <c r="B1486" t="s">
        <v>4608</v>
      </c>
      <c r="C1486" t="s">
        <v>4609</v>
      </c>
      <c r="F1486" t="s">
        <v>3899</v>
      </c>
      <c r="G1486" t="s">
        <v>1722</v>
      </c>
      <c r="H1486" t="s">
        <v>51</v>
      </c>
      <c r="I1486" t="s">
        <v>1723</v>
      </c>
      <c r="J1486" t="s">
        <v>2289</v>
      </c>
      <c r="L1486" t="s">
        <v>2290</v>
      </c>
    </row>
    <row r="1487" spans="1:12" x14ac:dyDescent="0.25">
      <c r="A1487" t="s">
        <v>4610</v>
      </c>
      <c r="B1487" t="s">
        <v>4611</v>
      </c>
      <c r="C1487" t="s">
        <v>4612</v>
      </c>
      <c r="F1487" t="s">
        <v>1851</v>
      </c>
      <c r="G1487" t="s">
        <v>1722</v>
      </c>
      <c r="H1487" t="s">
        <v>51</v>
      </c>
      <c r="I1487" t="s">
        <v>1723</v>
      </c>
      <c r="J1487" t="s">
        <v>2289</v>
      </c>
      <c r="L1487" t="s">
        <v>2290</v>
      </c>
    </row>
    <row r="1488" spans="1:12" x14ac:dyDescent="0.25">
      <c r="A1488" t="s">
        <v>4613</v>
      </c>
      <c r="B1488" t="s">
        <v>4614</v>
      </c>
      <c r="C1488" t="s">
        <v>4615</v>
      </c>
      <c r="F1488" t="s">
        <v>652</v>
      </c>
      <c r="G1488" t="s">
        <v>1722</v>
      </c>
      <c r="H1488" t="s">
        <v>51</v>
      </c>
      <c r="I1488" t="s">
        <v>1723</v>
      </c>
      <c r="J1488" t="s">
        <v>2289</v>
      </c>
      <c r="L1488" t="s">
        <v>2290</v>
      </c>
    </row>
    <row r="1489" spans="1:12" x14ac:dyDescent="0.25">
      <c r="A1489" t="s">
        <v>4616</v>
      </c>
      <c r="B1489" t="s">
        <v>4617</v>
      </c>
      <c r="C1489" t="s">
        <v>4618</v>
      </c>
      <c r="F1489" t="s">
        <v>1851</v>
      </c>
      <c r="G1489" t="s">
        <v>1722</v>
      </c>
      <c r="H1489" t="s">
        <v>51</v>
      </c>
      <c r="I1489" t="s">
        <v>1723</v>
      </c>
      <c r="J1489" t="s">
        <v>2289</v>
      </c>
      <c r="L1489" t="s">
        <v>2290</v>
      </c>
    </row>
    <row r="1490" spans="1:12" x14ac:dyDescent="0.25">
      <c r="A1490" t="s">
        <v>4619</v>
      </c>
      <c r="B1490" t="s">
        <v>4620</v>
      </c>
      <c r="C1490" t="s">
        <v>4621</v>
      </c>
      <c r="F1490" t="s">
        <v>3899</v>
      </c>
      <c r="G1490" t="s">
        <v>1722</v>
      </c>
      <c r="H1490" t="s">
        <v>51</v>
      </c>
      <c r="I1490" t="s">
        <v>1723</v>
      </c>
      <c r="J1490" t="s">
        <v>2289</v>
      </c>
      <c r="L1490" t="s">
        <v>2290</v>
      </c>
    </row>
    <row r="1491" spans="1:12" x14ac:dyDescent="0.25">
      <c r="A1491" t="s">
        <v>4622</v>
      </c>
      <c r="B1491" t="s">
        <v>4623</v>
      </c>
      <c r="C1491" t="s">
        <v>4624</v>
      </c>
      <c r="F1491" t="s">
        <v>4164</v>
      </c>
      <c r="G1491" t="s">
        <v>1722</v>
      </c>
      <c r="H1491" t="s">
        <v>51</v>
      </c>
      <c r="I1491" t="s">
        <v>1723</v>
      </c>
      <c r="J1491" t="s">
        <v>2289</v>
      </c>
      <c r="L1491" t="s">
        <v>2290</v>
      </c>
    </row>
    <row r="1492" spans="1:12" x14ac:dyDescent="0.25">
      <c r="A1492" t="s">
        <v>4625</v>
      </c>
      <c r="B1492" t="s">
        <v>4626</v>
      </c>
      <c r="C1492" t="s">
        <v>4627</v>
      </c>
      <c r="F1492" t="s">
        <v>4198</v>
      </c>
      <c r="G1492" t="s">
        <v>1722</v>
      </c>
      <c r="H1492" t="s">
        <v>51</v>
      </c>
      <c r="I1492" t="s">
        <v>1723</v>
      </c>
      <c r="J1492" t="s">
        <v>2289</v>
      </c>
      <c r="L1492" t="s">
        <v>2290</v>
      </c>
    </row>
    <row r="1493" spans="1:12" x14ac:dyDescent="0.25">
      <c r="A1493" t="s">
        <v>4628</v>
      </c>
      <c r="B1493" t="s">
        <v>4629</v>
      </c>
      <c r="C1493" t="s">
        <v>4630</v>
      </c>
      <c r="F1493" t="s">
        <v>2306</v>
      </c>
      <c r="G1493" t="s">
        <v>1722</v>
      </c>
      <c r="H1493" t="s">
        <v>51</v>
      </c>
      <c r="I1493" t="s">
        <v>1723</v>
      </c>
      <c r="J1493" t="s">
        <v>2289</v>
      </c>
      <c r="L1493" t="s">
        <v>2290</v>
      </c>
    </row>
    <row r="1494" spans="1:12" x14ac:dyDescent="0.25">
      <c r="A1494" t="s">
        <v>4631</v>
      </c>
      <c r="B1494" t="s">
        <v>4632</v>
      </c>
      <c r="C1494" t="s">
        <v>4633</v>
      </c>
      <c r="F1494" t="s">
        <v>4130</v>
      </c>
      <c r="G1494" t="s">
        <v>1722</v>
      </c>
      <c r="H1494" t="s">
        <v>51</v>
      </c>
      <c r="I1494" t="s">
        <v>1723</v>
      </c>
      <c r="J1494" t="s">
        <v>2289</v>
      </c>
      <c r="L1494" t="s">
        <v>2290</v>
      </c>
    </row>
    <row r="1495" spans="1:12" x14ac:dyDescent="0.25">
      <c r="A1495" t="s">
        <v>4634</v>
      </c>
      <c r="B1495" t="s">
        <v>4635</v>
      </c>
      <c r="C1495" t="s">
        <v>4636</v>
      </c>
      <c r="F1495" t="s">
        <v>4164</v>
      </c>
      <c r="G1495" t="s">
        <v>1722</v>
      </c>
      <c r="H1495" t="s">
        <v>51</v>
      </c>
      <c r="I1495" t="s">
        <v>1723</v>
      </c>
      <c r="J1495" t="s">
        <v>2289</v>
      </c>
      <c r="L1495" t="s">
        <v>2290</v>
      </c>
    </row>
    <row r="1496" spans="1:12" x14ac:dyDescent="0.25">
      <c r="A1496" t="s">
        <v>4637</v>
      </c>
      <c r="B1496" t="s">
        <v>4638</v>
      </c>
      <c r="C1496" t="s">
        <v>4639</v>
      </c>
      <c r="F1496" t="s">
        <v>1848</v>
      </c>
      <c r="G1496" t="s">
        <v>1722</v>
      </c>
      <c r="H1496" t="s">
        <v>51</v>
      </c>
      <c r="I1496" t="s">
        <v>1723</v>
      </c>
      <c r="J1496" t="s">
        <v>2289</v>
      </c>
      <c r="L1496" t="s">
        <v>2290</v>
      </c>
    </row>
    <row r="1497" spans="1:12" x14ac:dyDescent="0.25">
      <c r="A1497" t="s">
        <v>4640</v>
      </c>
      <c r="B1497" t="s">
        <v>4641</v>
      </c>
      <c r="C1497" t="s">
        <v>4642</v>
      </c>
      <c r="F1497" t="s">
        <v>1848</v>
      </c>
      <c r="G1497" t="s">
        <v>1722</v>
      </c>
      <c r="H1497" t="s">
        <v>51</v>
      </c>
      <c r="I1497" t="s">
        <v>1723</v>
      </c>
      <c r="J1497" t="s">
        <v>2289</v>
      </c>
      <c r="L1497" t="s">
        <v>2290</v>
      </c>
    </row>
    <row r="1498" spans="1:12" x14ac:dyDescent="0.25">
      <c r="A1498" t="s">
        <v>4643</v>
      </c>
      <c r="B1498" t="s">
        <v>4644</v>
      </c>
      <c r="C1498" t="s">
        <v>4645</v>
      </c>
      <c r="F1498" t="s">
        <v>703</v>
      </c>
      <c r="G1498" t="s">
        <v>1722</v>
      </c>
      <c r="H1498" t="s">
        <v>51</v>
      </c>
      <c r="I1498" t="s">
        <v>1723</v>
      </c>
      <c r="J1498" t="s">
        <v>2289</v>
      </c>
      <c r="L1498" t="s">
        <v>2290</v>
      </c>
    </row>
    <row r="1499" spans="1:12" x14ac:dyDescent="0.25">
      <c r="A1499" t="s">
        <v>4646</v>
      </c>
      <c r="B1499" t="s">
        <v>4647</v>
      </c>
      <c r="C1499" t="s">
        <v>4648</v>
      </c>
      <c r="F1499" t="s">
        <v>2306</v>
      </c>
      <c r="G1499" t="s">
        <v>1722</v>
      </c>
      <c r="H1499" t="s">
        <v>51</v>
      </c>
      <c r="I1499" t="s">
        <v>1723</v>
      </c>
      <c r="J1499" t="s">
        <v>2289</v>
      </c>
      <c r="L1499" t="s">
        <v>2290</v>
      </c>
    </row>
    <row r="1500" spans="1:12" x14ac:dyDescent="0.25">
      <c r="A1500" t="s">
        <v>4649</v>
      </c>
      <c r="B1500" t="s">
        <v>4650</v>
      </c>
      <c r="C1500" t="s">
        <v>4651</v>
      </c>
      <c r="F1500" t="s">
        <v>1848</v>
      </c>
      <c r="G1500" t="s">
        <v>1722</v>
      </c>
      <c r="H1500" t="s">
        <v>51</v>
      </c>
      <c r="I1500" t="s">
        <v>1723</v>
      </c>
      <c r="J1500" t="s">
        <v>2289</v>
      </c>
      <c r="L1500" t="s">
        <v>2290</v>
      </c>
    </row>
    <row r="1501" spans="1:12" x14ac:dyDescent="0.25">
      <c r="A1501" t="s">
        <v>4652</v>
      </c>
      <c r="B1501" t="s">
        <v>4653</v>
      </c>
      <c r="C1501" t="s">
        <v>4654</v>
      </c>
      <c r="F1501" t="s">
        <v>4198</v>
      </c>
      <c r="G1501" t="s">
        <v>1722</v>
      </c>
      <c r="H1501" t="s">
        <v>51</v>
      </c>
      <c r="I1501" t="s">
        <v>1723</v>
      </c>
      <c r="J1501" t="s">
        <v>2289</v>
      </c>
      <c r="L1501" t="s">
        <v>2290</v>
      </c>
    </row>
    <row r="1502" spans="1:12" x14ac:dyDescent="0.25">
      <c r="A1502" t="s">
        <v>4655</v>
      </c>
      <c r="B1502" t="s">
        <v>4656</v>
      </c>
      <c r="C1502" t="s">
        <v>4657</v>
      </c>
      <c r="F1502" t="s">
        <v>2007</v>
      </c>
      <c r="G1502" t="s">
        <v>1722</v>
      </c>
      <c r="H1502" t="s">
        <v>51</v>
      </c>
      <c r="I1502" t="s">
        <v>1723</v>
      </c>
      <c r="J1502" t="s">
        <v>2289</v>
      </c>
      <c r="L1502" t="s">
        <v>2290</v>
      </c>
    </row>
    <row r="1503" spans="1:12" x14ac:dyDescent="0.25">
      <c r="A1503" t="s">
        <v>4658</v>
      </c>
      <c r="B1503" t="s">
        <v>4659</v>
      </c>
      <c r="C1503" t="s">
        <v>4660</v>
      </c>
      <c r="F1503" t="s">
        <v>2370</v>
      </c>
      <c r="G1503" t="s">
        <v>1722</v>
      </c>
      <c r="H1503" t="s">
        <v>51</v>
      </c>
      <c r="I1503" t="s">
        <v>1723</v>
      </c>
      <c r="J1503" t="s">
        <v>2289</v>
      </c>
      <c r="L1503" t="s">
        <v>2290</v>
      </c>
    </row>
    <row r="1504" spans="1:12" x14ac:dyDescent="0.25">
      <c r="A1504" t="s">
        <v>4661</v>
      </c>
      <c r="B1504" t="s">
        <v>4644</v>
      </c>
      <c r="C1504" t="s">
        <v>4662</v>
      </c>
      <c r="F1504" t="s">
        <v>703</v>
      </c>
      <c r="G1504" t="s">
        <v>1722</v>
      </c>
      <c r="H1504" t="s">
        <v>51</v>
      </c>
      <c r="I1504" t="s">
        <v>1723</v>
      </c>
      <c r="J1504" t="s">
        <v>2289</v>
      </c>
      <c r="L1504" t="s">
        <v>2290</v>
      </c>
    </row>
    <row r="1505" spans="1:12" x14ac:dyDescent="0.25">
      <c r="A1505" t="s">
        <v>4663</v>
      </c>
      <c r="B1505" t="s">
        <v>4664</v>
      </c>
      <c r="C1505" t="s">
        <v>4665</v>
      </c>
      <c r="F1505" t="s">
        <v>4666</v>
      </c>
      <c r="G1505" t="s">
        <v>1722</v>
      </c>
      <c r="H1505" t="s">
        <v>51</v>
      </c>
      <c r="I1505" t="s">
        <v>1723</v>
      </c>
      <c r="J1505" t="s">
        <v>2289</v>
      </c>
      <c r="L1505" t="s">
        <v>2290</v>
      </c>
    </row>
    <row r="1506" spans="1:12" x14ac:dyDescent="0.25">
      <c r="A1506" t="s">
        <v>4667</v>
      </c>
      <c r="B1506" t="s">
        <v>4668</v>
      </c>
      <c r="C1506" t="s">
        <v>4669</v>
      </c>
      <c r="F1506" t="s">
        <v>2007</v>
      </c>
      <c r="G1506" t="s">
        <v>1722</v>
      </c>
      <c r="H1506" t="s">
        <v>51</v>
      </c>
      <c r="I1506" t="s">
        <v>1723</v>
      </c>
      <c r="J1506" t="s">
        <v>2289</v>
      </c>
      <c r="L1506" t="s">
        <v>2290</v>
      </c>
    </row>
    <row r="1507" spans="1:12" x14ac:dyDescent="0.25">
      <c r="A1507" t="s">
        <v>4670</v>
      </c>
      <c r="B1507" t="s">
        <v>4671</v>
      </c>
      <c r="C1507" t="s">
        <v>4672</v>
      </c>
      <c r="F1507" t="s">
        <v>2235</v>
      </c>
      <c r="G1507" t="s">
        <v>1722</v>
      </c>
      <c r="H1507" t="s">
        <v>51</v>
      </c>
      <c r="I1507" t="s">
        <v>1723</v>
      </c>
      <c r="J1507" t="s">
        <v>2289</v>
      </c>
      <c r="L1507" t="s">
        <v>2290</v>
      </c>
    </row>
    <row r="1508" spans="1:12" x14ac:dyDescent="0.25">
      <c r="A1508" t="s">
        <v>4673</v>
      </c>
      <c r="B1508" t="s">
        <v>4674</v>
      </c>
      <c r="C1508" t="s">
        <v>4675</v>
      </c>
      <c r="F1508" t="s">
        <v>4676</v>
      </c>
      <c r="G1508" t="s">
        <v>1722</v>
      </c>
      <c r="H1508" t="s">
        <v>51</v>
      </c>
      <c r="I1508" t="s">
        <v>1723</v>
      </c>
      <c r="J1508" t="s">
        <v>2289</v>
      </c>
      <c r="L1508" t="s">
        <v>2290</v>
      </c>
    </row>
    <row r="1509" spans="1:12" x14ac:dyDescent="0.25">
      <c r="A1509" t="s">
        <v>4677</v>
      </c>
      <c r="B1509" t="s">
        <v>4678</v>
      </c>
      <c r="C1509" t="s">
        <v>4679</v>
      </c>
      <c r="F1509" t="s">
        <v>4680</v>
      </c>
      <c r="G1509" t="s">
        <v>1722</v>
      </c>
      <c r="H1509" t="s">
        <v>51</v>
      </c>
      <c r="I1509" t="s">
        <v>1723</v>
      </c>
      <c r="J1509" t="s">
        <v>2289</v>
      </c>
      <c r="L1509" t="s">
        <v>2290</v>
      </c>
    </row>
    <row r="1510" spans="1:12" x14ac:dyDescent="0.25">
      <c r="A1510" t="s">
        <v>4681</v>
      </c>
      <c r="B1510" t="s">
        <v>4682</v>
      </c>
      <c r="C1510" t="s">
        <v>4683</v>
      </c>
      <c r="F1510" t="s">
        <v>4684</v>
      </c>
      <c r="G1510" t="s">
        <v>1722</v>
      </c>
      <c r="H1510" t="s">
        <v>51</v>
      </c>
      <c r="I1510" t="s">
        <v>1723</v>
      </c>
      <c r="J1510" t="s">
        <v>2289</v>
      </c>
      <c r="L1510" t="s">
        <v>2290</v>
      </c>
    </row>
    <row r="1511" spans="1:12" x14ac:dyDescent="0.25">
      <c r="A1511" t="s">
        <v>4685</v>
      </c>
      <c r="B1511" t="s">
        <v>4686</v>
      </c>
      <c r="C1511" t="s">
        <v>4687</v>
      </c>
      <c r="F1511" t="s">
        <v>4688</v>
      </c>
      <c r="G1511" t="s">
        <v>1722</v>
      </c>
      <c r="H1511" t="s">
        <v>51</v>
      </c>
      <c r="I1511" t="s">
        <v>1723</v>
      </c>
      <c r="J1511" t="s">
        <v>2289</v>
      </c>
      <c r="L1511" t="s">
        <v>2290</v>
      </c>
    </row>
    <row r="1512" spans="1:12" x14ac:dyDescent="0.25">
      <c r="A1512" t="s">
        <v>4689</v>
      </c>
      <c r="B1512" t="s">
        <v>4690</v>
      </c>
      <c r="C1512" t="s">
        <v>4691</v>
      </c>
      <c r="F1512" t="s">
        <v>2306</v>
      </c>
      <c r="G1512" t="s">
        <v>1722</v>
      </c>
      <c r="H1512" t="s">
        <v>51</v>
      </c>
      <c r="I1512" t="s">
        <v>1723</v>
      </c>
      <c r="J1512" t="s">
        <v>2289</v>
      </c>
      <c r="L1512" t="s">
        <v>2290</v>
      </c>
    </row>
    <row r="1513" spans="1:12" x14ac:dyDescent="0.25">
      <c r="A1513" t="s">
        <v>4692</v>
      </c>
      <c r="B1513" t="s">
        <v>4693</v>
      </c>
      <c r="C1513" t="s">
        <v>4694</v>
      </c>
      <c r="F1513" t="s">
        <v>1670</v>
      </c>
      <c r="G1513" t="s">
        <v>1722</v>
      </c>
      <c r="H1513" t="s">
        <v>51</v>
      </c>
      <c r="I1513" t="s">
        <v>1723</v>
      </c>
      <c r="J1513" t="s">
        <v>2289</v>
      </c>
      <c r="L1513" t="s">
        <v>2290</v>
      </c>
    </row>
    <row r="1514" spans="1:12" x14ac:dyDescent="0.25">
      <c r="A1514" t="s">
        <v>4695</v>
      </c>
      <c r="B1514" t="s">
        <v>4696</v>
      </c>
      <c r="C1514" t="s">
        <v>4697</v>
      </c>
      <c r="F1514" t="s">
        <v>2370</v>
      </c>
      <c r="G1514" t="s">
        <v>1722</v>
      </c>
      <c r="H1514" t="s">
        <v>51</v>
      </c>
      <c r="I1514" t="s">
        <v>1723</v>
      </c>
      <c r="J1514" t="s">
        <v>2289</v>
      </c>
      <c r="L1514" t="s">
        <v>2290</v>
      </c>
    </row>
    <row r="1515" spans="1:12" x14ac:dyDescent="0.25">
      <c r="A1515" t="s">
        <v>4698</v>
      </c>
      <c r="B1515" t="s">
        <v>4699</v>
      </c>
      <c r="C1515" t="s">
        <v>4700</v>
      </c>
      <c r="F1515" t="s">
        <v>4666</v>
      </c>
      <c r="G1515" t="s">
        <v>1722</v>
      </c>
      <c r="H1515" t="s">
        <v>51</v>
      </c>
      <c r="I1515" t="s">
        <v>1723</v>
      </c>
      <c r="J1515" t="s">
        <v>2289</v>
      </c>
      <c r="L1515" t="s">
        <v>2290</v>
      </c>
    </row>
    <row r="1516" spans="1:12" x14ac:dyDescent="0.25">
      <c r="A1516" t="s">
        <v>4701</v>
      </c>
      <c r="B1516" t="s">
        <v>4702</v>
      </c>
      <c r="C1516" t="s">
        <v>4703</v>
      </c>
      <c r="F1516" t="s">
        <v>4704</v>
      </c>
      <c r="G1516" t="s">
        <v>1722</v>
      </c>
      <c r="H1516" t="s">
        <v>51</v>
      </c>
      <c r="I1516" t="s">
        <v>1723</v>
      </c>
      <c r="J1516" t="s">
        <v>2289</v>
      </c>
      <c r="L1516" t="s">
        <v>2290</v>
      </c>
    </row>
    <row r="1517" spans="1:12" x14ac:dyDescent="0.25">
      <c r="A1517" t="s">
        <v>4705</v>
      </c>
      <c r="B1517" t="s">
        <v>4706</v>
      </c>
      <c r="C1517" t="s">
        <v>4707</v>
      </c>
      <c r="F1517" t="s">
        <v>152</v>
      </c>
      <c r="G1517" t="s">
        <v>1722</v>
      </c>
      <c r="H1517" t="s">
        <v>51</v>
      </c>
      <c r="I1517" t="s">
        <v>1723</v>
      </c>
      <c r="J1517" t="s">
        <v>2289</v>
      </c>
      <c r="L1517" t="s">
        <v>2290</v>
      </c>
    </row>
    <row r="1518" spans="1:12" x14ac:dyDescent="0.25">
      <c r="A1518" t="s">
        <v>4708</v>
      </c>
      <c r="B1518" t="s">
        <v>4709</v>
      </c>
      <c r="C1518" t="s">
        <v>4710</v>
      </c>
      <c r="F1518" t="s">
        <v>152</v>
      </c>
      <c r="G1518" t="s">
        <v>1722</v>
      </c>
      <c r="H1518" t="s">
        <v>51</v>
      </c>
      <c r="I1518" t="s">
        <v>1723</v>
      </c>
      <c r="J1518" t="s">
        <v>2289</v>
      </c>
      <c r="L1518" t="s">
        <v>2290</v>
      </c>
    </row>
    <row r="1519" spans="1:12" x14ac:dyDescent="0.25">
      <c r="A1519" t="s">
        <v>4711</v>
      </c>
      <c r="B1519" t="s">
        <v>4712</v>
      </c>
      <c r="C1519" t="s">
        <v>4713</v>
      </c>
      <c r="F1519" t="s">
        <v>152</v>
      </c>
      <c r="G1519" t="s">
        <v>1722</v>
      </c>
      <c r="H1519" t="s">
        <v>51</v>
      </c>
      <c r="I1519" t="s">
        <v>1723</v>
      </c>
      <c r="J1519" t="s">
        <v>2289</v>
      </c>
      <c r="L1519" t="s">
        <v>2290</v>
      </c>
    </row>
    <row r="1520" spans="1:12" x14ac:dyDescent="0.25">
      <c r="A1520" t="s">
        <v>4714</v>
      </c>
      <c r="B1520" t="s">
        <v>4715</v>
      </c>
      <c r="C1520" t="s">
        <v>4716</v>
      </c>
      <c r="F1520" t="s">
        <v>152</v>
      </c>
      <c r="G1520" t="s">
        <v>1722</v>
      </c>
      <c r="H1520" t="s">
        <v>51</v>
      </c>
      <c r="I1520" t="s">
        <v>1723</v>
      </c>
      <c r="J1520" t="s">
        <v>2289</v>
      </c>
      <c r="L1520" t="s">
        <v>2290</v>
      </c>
    </row>
    <row r="1521" spans="1:12" x14ac:dyDescent="0.25">
      <c r="A1521" t="s">
        <v>4717</v>
      </c>
      <c r="B1521" t="s">
        <v>4718</v>
      </c>
      <c r="C1521" t="s">
        <v>4719</v>
      </c>
      <c r="F1521" t="s">
        <v>152</v>
      </c>
      <c r="G1521" t="s">
        <v>1722</v>
      </c>
      <c r="H1521" t="s">
        <v>51</v>
      </c>
      <c r="I1521" t="s">
        <v>1723</v>
      </c>
      <c r="J1521" t="s">
        <v>2289</v>
      </c>
      <c r="L1521" t="s">
        <v>2290</v>
      </c>
    </row>
    <row r="1522" spans="1:12" x14ac:dyDescent="0.25">
      <c r="A1522" t="s">
        <v>4720</v>
      </c>
      <c r="B1522" t="s">
        <v>4721</v>
      </c>
      <c r="C1522" t="s">
        <v>4722</v>
      </c>
      <c r="F1522" t="s">
        <v>152</v>
      </c>
      <c r="G1522" t="s">
        <v>1722</v>
      </c>
      <c r="H1522" t="s">
        <v>51</v>
      </c>
      <c r="I1522" t="s">
        <v>1723</v>
      </c>
      <c r="J1522" t="s">
        <v>2289</v>
      </c>
      <c r="L1522" t="s">
        <v>2290</v>
      </c>
    </row>
    <row r="1523" spans="1:12" x14ac:dyDescent="0.25">
      <c r="A1523" t="s">
        <v>4723</v>
      </c>
      <c r="B1523" t="s">
        <v>4724</v>
      </c>
      <c r="C1523" t="s">
        <v>4725</v>
      </c>
      <c r="F1523" t="s">
        <v>152</v>
      </c>
      <c r="G1523" t="s">
        <v>1722</v>
      </c>
      <c r="H1523" t="s">
        <v>51</v>
      </c>
      <c r="I1523" t="s">
        <v>1723</v>
      </c>
      <c r="J1523" t="s">
        <v>2289</v>
      </c>
      <c r="L1523" t="s">
        <v>2290</v>
      </c>
    </row>
    <row r="1524" spans="1:12" x14ac:dyDescent="0.25">
      <c r="A1524" t="s">
        <v>4726</v>
      </c>
      <c r="B1524" t="s">
        <v>4727</v>
      </c>
      <c r="C1524" t="s">
        <v>4728</v>
      </c>
      <c r="F1524" t="s">
        <v>152</v>
      </c>
      <c r="G1524" t="s">
        <v>1722</v>
      </c>
      <c r="H1524" t="s">
        <v>51</v>
      </c>
      <c r="I1524" t="s">
        <v>1723</v>
      </c>
      <c r="J1524" t="s">
        <v>2289</v>
      </c>
      <c r="L1524" t="s">
        <v>2290</v>
      </c>
    </row>
    <row r="1525" spans="1:12" x14ac:dyDescent="0.25">
      <c r="A1525" t="s">
        <v>4729</v>
      </c>
      <c r="B1525" t="s">
        <v>4730</v>
      </c>
      <c r="C1525" t="s">
        <v>4731</v>
      </c>
      <c r="F1525" t="s">
        <v>152</v>
      </c>
      <c r="G1525" t="s">
        <v>1722</v>
      </c>
      <c r="H1525" t="s">
        <v>51</v>
      </c>
      <c r="I1525" t="s">
        <v>1723</v>
      </c>
      <c r="J1525" t="s">
        <v>2289</v>
      </c>
      <c r="L1525" t="s">
        <v>2290</v>
      </c>
    </row>
    <row r="1526" spans="1:12" x14ac:dyDescent="0.25">
      <c r="A1526" t="s">
        <v>4732</v>
      </c>
      <c r="B1526" t="s">
        <v>4733</v>
      </c>
      <c r="C1526" t="s">
        <v>4734</v>
      </c>
      <c r="F1526" t="s">
        <v>152</v>
      </c>
      <c r="G1526" t="s">
        <v>1722</v>
      </c>
      <c r="H1526" t="s">
        <v>51</v>
      </c>
      <c r="I1526" t="s">
        <v>1723</v>
      </c>
      <c r="J1526" t="s">
        <v>2289</v>
      </c>
      <c r="L1526" t="s">
        <v>2290</v>
      </c>
    </row>
    <row r="1527" spans="1:12" x14ac:dyDescent="0.25">
      <c r="A1527" t="s">
        <v>4735</v>
      </c>
      <c r="B1527" t="s">
        <v>4736</v>
      </c>
      <c r="C1527" t="s">
        <v>4737</v>
      </c>
      <c r="F1527" t="s">
        <v>2950</v>
      </c>
      <c r="G1527" t="s">
        <v>1722</v>
      </c>
      <c r="H1527" t="s">
        <v>51</v>
      </c>
      <c r="I1527" t="s">
        <v>1723</v>
      </c>
      <c r="J1527" t="s">
        <v>2289</v>
      </c>
      <c r="L1527" t="s">
        <v>2290</v>
      </c>
    </row>
    <row r="1528" spans="1:12" x14ac:dyDescent="0.25">
      <c r="A1528" t="s">
        <v>4738</v>
      </c>
      <c r="B1528" t="s">
        <v>4739</v>
      </c>
      <c r="C1528" t="s">
        <v>4740</v>
      </c>
      <c r="F1528" t="s">
        <v>1742</v>
      </c>
      <c r="G1528" t="s">
        <v>1722</v>
      </c>
      <c r="H1528" t="s">
        <v>51</v>
      </c>
      <c r="I1528" t="s">
        <v>1723</v>
      </c>
      <c r="J1528" t="s">
        <v>2289</v>
      </c>
      <c r="L1528" t="s">
        <v>2290</v>
      </c>
    </row>
    <row r="1529" spans="1:12" x14ac:dyDescent="0.25">
      <c r="A1529" t="s">
        <v>4741</v>
      </c>
      <c r="B1529" t="s">
        <v>4742</v>
      </c>
      <c r="C1529" t="s">
        <v>4743</v>
      </c>
      <c r="F1529" t="s">
        <v>1742</v>
      </c>
      <c r="G1529" t="s">
        <v>1722</v>
      </c>
      <c r="H1529" t="s">
        <v>51</v>
      </c>
      <c r="I1529" t="s">
        <v>1723</v>
      </c>
      <c r="J1529" t="s">
        <v>2289</v>
      </c>
      <c r="L1529" t="s">
        <v>2290</v>
      </c>
    </row>
    <row r="1530" spans="1:12" x14ac:dyDescent="0.25">
      <c r="A1530" t="s">
        <v>4744</v>
      </c>
      <c r="B1530" t="s">
        <v>4745</v>
      </c>
      <c r="C1530" t="s">
        <v>4746</v>
      </c>
      <c r="F1530" t="s">
        <v>277</v>
      </c>
      <c r="G1530" t="s">
        <v>1722</v>
      </c>
      <c r="H1530" t="s">
        <v>51</v>
      </c>
      <c r="I1530" t="s">
        <v>1723</v>
      </c>
      <c r="J1530" t="s">
        <v>2289</v>
      </c>
      <c r="L1530" t="s">
        <v>2290</v>
      </c>
    </row>
    <row r="1531" spans="1:12" x14ac:dyDescent="0.25">
      <c r="A1531" t="s">
        <v>4747</v>
      </c>
      <c r="B1531" t="s">
        <v>4748</v>
      </c>
      <c r="C1531" t="s">
        <v>4749</v>
      </c>
      <c r="F1531" t="s">
        <v>1742</v>
      </c>
      <c r="G1531" t="s">
        <v>1722</v>
      </c>
      <c r="H1531" t="s">
        <v>51</v>
      </c>
      <c r="I1531" t="s">
        <v>1723</v>
      </c>
      <c r="J1531" t="s">
        <v>2289</v>
      </c>
      <c r="L1531" t="s">
        <v>2290</v>
      </c>
    </row>
    <row r="1532" spans="1:12" x14ac:dyDescent="0.25">
      <c r="A1532" t="s">
        <v>4750</v>
      </c>
      <c r="B1532" t="s">
        <v>4751</v>
      </c>
      <c r="C1532" t="s">
        <v>4752</v>
      </c>
      <c r="F1532" t="s">
        <v>1670</v>
      </c>
      <c r="G1532" t="s">
        <v>1722</v>
      </c>
      <c r="H1532" t="s">
        <v>51</v>
      </c>
      <c r="I1532" t="s">
        <v>1723</v>
      </c>
      <c r="J1532" t="s">
        <v>2289</v>
      </c>
      <c r="L1532" t="s">
        <v>2290</v>
      </c>
    </row>
    <row r="1533" spans="1:12" x14ac:dyDescent="0.25">
      <c r="A1533" t="s">
        <v>4753</v>
      </c>
      <c r="B1533" t="s">
        <v>4754</v>
      </c>
      <c r="C1533" t="s">
        <v>4755</v>
      </c>
      <c r="F1533" t="s">
        <v>1140</v>
      </c>
      <c r="G1533" t="s">
        <v>1722</v>
      </c>
      <c r="H1533" t="s">
        <v>51</v>
      </c>
      <c r="I1533" t="s">
        <v>1723</v>
      </c>
      <c r="J1533" t="s">
        <v>2289</v>
      </c>
      <c r="L1533" t="s">
        <v>2290</v>
      </c>
    </row>
    <row r="1534" spans="1:12" x14ac:dyDescent="0.25">
      <c r="A1534" t="s">
        <v>4756</v>
      </c>
      <c r="B1534" t="s">
        <v>4757</v>
      </c>
      <c r="C1534" t="s">
        <v>4758</v>
      </c>
      <c r="F1534" t="s">
        <v>1160</v>
      </c>
      <c r="G1534" t="s">
        <v>1722</v>
      </c>
      <c r="H1534" t="s">
        <v>51</v>
      </c>
      <c r="I1534" t="s">
        <v>1723</v>
      </c>
      <c r="J1534" t="s">
        <v>2289</v>
      </c>
      <c r="L1534" t="s">
        <v>2290</v>
      </c>
    </row>
    <row r="1535" spans="1:12" x14ac:dyDescent="0.25">
      <c r="A1535" t="s">
        <v>4759</v>
      </c>
      <c r="B1535" t="s">
        <v>4760</v>
      </c>
      <c r="C1535" t="s">
        <v>4761</v>
      </c>
      <c r="F1535" t="s">
        <v>1670</v>
      </c>
      <c r="G1535" t="s">
        <v>1722</v>
      </c>
      <c r="H1535" t="s">
        <v>51</v>
      </c>
      <c r="I1535" t="s">
        <v>1723</v>
      </c>
      <c r="J1535" t="s">
        <v>2289</v>
      </c>
      <c r="L1535" t="s">
        <v>2290</v>
      </c>
    </row>
    <row r="1536" spans="1:12" x14ac:dyDescent="0.25">
      <c r="A1536" t="s">
        <v>4762</v>
      </c>
      <c r="B1536" t="s">
        <v>4763</v>
      </c>
      <c r="C1536" t="s">
        <v>4764</v>
      </c>
      <c r="F1536" t="s">
        <v>2950</v>
      </c>
      <c r="G1536" t="s">
        <v>1722</v>
      </c>
      <c r="H1536" t="s">
        <v>51</v>
      </c>
      <c r="I1536" t="s">
        <v>1723</v>
      </c>
      <c r="J1536" t="s">
        <v>2289</v>
      </c>
      <c r="L1536" t="s">
        <v>2290</v>
      </c>
    </row>
    <row r="1537" spans="1:12" x14ac:dyDescent="0.25">
      <c r="A1537" t="s">
        <v>4765</v>
      </c>
      <c r="B1537" t="s">
        <v>4766</v>
      </c>
      <c r="C1537" t="s">
        <v>4767</v>
      </c>
      <c r="F1537" t="s">
        <v>1127</v>
      </c>
      <c r="G1537" t="s">
        <v>1722</v>
      </c>
      <c r="H1537" t="s">
        <v>51</v>
      </c>
      <c r="I1537" t="s">
        <v>1723</v>
      </c>
      <c r="J1537" t="s">
        <v>2289</v>
      </c>
      <c r="L1537" t="s">
        <v>2290</v>
      </c>
    </row>
    <row r="1538" spans="1:12" x14ac:dyDescent="0.25">
      <c r="A1538" t="s">
        <v>4768</v>
      </c>
      <c r="B1538" t="s">
        <v>4769</v>
      </c>
      <c r="C1538" t="s">
        <v>4770</v>
      </c>
      <c r="F1538" t="s">
        <v>1742</v>
      </c>
      <c r="G1538" t="s">
        <v>1722</v>
      </c>
      <c r="H1538" t="s">
        <v>51</v>
      </c>
      <c r="I1538" t="s">
        <v>1723</v>
      </c>
      <c r="J1538" t="s">
        <v>2289</v>
      </c>
      <c r="L1538" t="s">
        <v>2290</v>
      </c>
    </row>
    <row r="1539" spans="1:12" x14ac:dyDescent="0.25">
      <c r="A1539" t="s">
        <v>4771</v>
      </c>
      <c r="B1539" t="s">
        <v>4772</v>
      </c>
      <c r="C1539" t="s">
        <v>4773</v>
      </c>
      <c r="F1539" t="s">
        <v>1160</v>
      </c>
      <c r="G1539" t="s">
        <v>1722</v>
      </c>
      <c r="H1539" t="s">
        <v>51</v>
      </c>
      <c r="I1539" t="s">
        <v>1723</v>
      </c>
      <c r="J1539" t="s">
        <v>2289</v>
      </c>
      <c r="L1539" t="s">
        <v>2290</v>
      </c>
    </row>
    <row r="1540" spans="1:12" x14ac:dyDescent="0.25">
      <c r="A1540" t="s">
        <v>4774</v>
      </c>
      <c r="B1540" t="s">
        <v>4775</v>
      </c>
      <c r="C1540" t="s">
        <v>4776</v>
      </c>
      <c r="F1540" t="s">
        <v>188</v>
      </c>
      <c r="G1540" t="s">
        <v>1722</v>
      </c>
      <c r="H1540" t="s">
        <v>51</v>
      </c>
      <c r="I1540" t="s">
        <v>1723</v>
      </c>
      <c r="J1540" t="s">
        <v>2289</v>
      </c>
      <c r="L1540" t="s">
        <v>2290</v>
      </c>
    </row>
    <row r="1541" spans="1:12" x14ac:dyDescent="0.25">
      <c r="A1541" t="s">
        <v>4777</v>
      </c>
      <c r="B1541" t="s">
        <v>4778</v>
      </c>
      <c r="C1541" t="s">
        <v>4779</v>
      </c>
      <c r="F1541" t="s">
        <v>4240</v>
      </c>
      <c r="G1541" t="s">
        <v>1722</v>
      </c>
      <c r="H1541" t="s">
        <v>51</v>
      </c>
      <c r="I1541" t="s">
        <v>1723</v>
      </c>
      <c r="J1541" t="s">
        <v>2289</v>
      </c>
      <c r="L1541" t="s">
        <v>2290</v>
      </c>
    </row>
    <row r="1542" spans="1:12" x14ac:dyDescent="0.25">
      <c r="A1542" t="s">
        <v>4780</v>
      </c>
      <c r="B1542" t="s">
        <v>4781</v>
      </c>
      <c r="C1542" t="s">
        <v>4782</v>
      </c>
      <c r="F1542" t="s">
        <v>1670</v>
      </c>
      <c r="G1542" t="s">
        <v>1722</v>
      </c>
      <c r="H1542" t="s">
        <v>51</v>
      </c>
      <c r="I1542" t="s">
        <v>1723</v>
      </c>
      <c r="J1542" t="s">
        <v>2289</v>
      </c>
      <c r="L1542" t="s">
        <v>2290</v>
      </c>
    </row>
    <row r="1543" spans="1:12" x14ac:dyDescent="0.25">
      <c r="A1543" t="s">
        <v>4783</v>
      </c>
      <c r="B1543" t="s">
        <v>4784</v>
      </c>
      <c r="C1543" t="s">
        <v>4785</v>
      </c>
      <c r="F1543" t="s">
        <v>4130</v>
      </c>
      <c r="G1543" t="s">
        <v>1722</v>
      </c>
      <c r="H1543" t="s">
        <v>51</v>
      </c>
      <c r="I1543" t="s">
        <v>1723</v>
      </c>
      <c r="J1543" t="s">
        <v>2289</v>
      </c>
      <c r="L1543" t="s">
        <v>2290</v>
      </c>
    </row>
    <row r="1544" spans="1:12" x14ac:dyDescent="0.25">
      <c r="A1544" t="s">
        <v>4786</v>
      </c>
      <c r="B1544" t="s">
        <v>4787</v>
      </c>
      <c r="C1544" t="s">
        <v>4788</v>
      </c>
      <c r="F1544" t="s">
        <v>4240</v>
      </c>
      <c r="G1544" t="s">
        <v>1722</v>
      </c>
      <c r="H1544" t="s">
        <v>51</v>
      </c>
      <c r="I1544" t="s">
        <v>1723</v>
      </c>
      <c r="J1544" t="s">
        <v>2289</v>
      </c>
      <c r="L1544" t="s">
        <v>2290</v>
      </c>
    </row>
    <row r="1545" spans="1:12" x14ac:dyDescent="0.25">
      <c r="A1545" t="s">
        <v>4789</v>
      </c>
      <c r="B1545" t="s">
        <v>4790</v>
      </c>
      <c r="C1545" t="s">
        <v>4791</v>
      </c>
      <c r="F1545" t="s">
        <v>152</v>
      </c>
      <c r="G1545" t="s">
        <v>1722</v>
      </c>
      <c r="H1545" t="s">
        <v>51</v>
      </c>
      <c r="I1545" t="s">
        <v>1723</v>
      </c>
      <c r="J1545" t="s">
        <v>2289</v>
      </c>
      <c r="L1545" t="s">
        <v>2290</v>
      </c>
    </row>
    <row r="1546" spans="1:12" x14ac:dyDescent="0.25">
      <c r="A1546" t="s">
        <v>4792</v>
      </c>
      <c r="B1546" t="s">
        <v>4793</v>
      </c>
      <c r="C1546" t="s">
        <v>4794</v>
      </c>
      <c r="F1546" t="s">
        <v>2251</v>
      </c>
      <c r="G1546" t="s">
        <v>1722</v>
      </c>
      <c r="H1546" t="s">
        <v>51</v>
      </c>
      <c r="I1546" t="s">
        <v>1723</v>
      </c>
      <c r="J1546" t="s">
        <v>2289</v>
      </c>
      <c r="L1546" t="s">
        <v>2290</v>
      </c>
    </row>
    <row r="1547" spans="1:12" x14ac:dyDescent="0.25">
      <c r="A1547" t="s">
        <v>4795</v>
      </c>
      <c r="B1547" t="s">
        <v>4796</v>
      </c>
      <c r="C1547" t="s">
        <v>4797</v>
      </c>
      <c r="F1547" t="s">
        <v>703</v>
      </c>
      <c r="G1547" t="s">
        <v>1722</v>
      </c>
      <c r="H1547" t="s">
        <v>51</v>
      </c>
      <c r="I1547" t="s">
        <v>1723</v>
      </c>
      <c r="J1547" t="s">
        <v>2289</v>
      </c>
      <c r="L1547" t="s">
        <v>2290</v>
      </c>
    </row>
    <row r="1548" spans="1:12" x14ac:dyDescent="0.25">
      <c r="A1548" t="s">
        <v>4798</v>
      </c>
      <c r="B1548" t="s">
        <v>4799</v>
      </c>
      <c r="C1548" t="s">
        <v>4800</v>
      </c>
      <c r="F1548" t="s">
        <v>2370</v>
      </c>
      <c r="G1548" t="s">
        <v>1722</v>
      </c>
      <c r="H1548" t="s">
        <v>51</v>
      </c>
      <c r="I1548" t="s">
        <v>1723</v>
      </c>
      <c r="J1548" t="s">
        <v>2289</v>
      </c>
      <c r="L1548" t="s">
        <v>2290</v>
      </c>
    </row>
    <row r="1549" spans="1:12" x14ac:dyDescent="0.25">
      <c r="A1549" t="s">
        <v>4801</v>
      </c>
      <c r="B1549" t="s">
        <v>4802</v>
      </c>
      <c r="C1549" t="s">
        <v>4803</v>
      </c>
      <c r="F1549" t="s">
        <v>703</v>
      </c>
      <c r="G1549" t="s">
        <v>1722</v>
      </c>
      <c r="H1549" t="s">
        <v>51</v>
      </c>
      <c r="I1549" t="s">
        <v>1723</v>
      </c>
      <c r="J1549" t="s">
        <v>2289</v>
      </c>
      <c r="L1549" t="s">
        <v>2290</v>
      </c>
    </row>
    <row r="1550" spans="1:12" x14ac:dyDescent="0.25">
      <c r="A1550" t="s">
        <v>4804</v>
      </c>
      <c r="B1550" t="s">
        <v>4805</v>
      </c>
      <c r="C1550" t="s">
        <v>4806</v>
      </c>
      <c r="F1550" t="s">
        <v>188</v>
      </c>
      <c r="G1550" t="s">
        <v>1722</v>
      </c>
      <c r="H1550" t="s">
        <v>51</v>
      </c>
      <c r="I1550" t="s">
        <v>1723</v>
      </c>
      <c r="J1550" t="s">
        <v>2289</v>
      </c>
      <c r="L1550" t="s">
        <v>2290</v>
      </c>
    </row>
    <row r="1551" spans="1:12" x14ac:dyDescent="0.25">
      <c r="A1551" t="s">
        <v>4807</v>
      </c>
      <c r="B1551" t="s">
        <v>4808</v>
      </c>
      <c r="C1551" t="s">
        <v>4809</v>
      </c>
      <c r="F1551" t="s">
        <v>152</v>
      </c>
      <c r="G1551" t="s">
        <v>1722</v>
      </c>
      <c r="H1551" t="s">
        <v>51</v>
      </c>
      <c r="I1551" t="s">
        <v>1723</v>
      </c>
      <c r="J1551" t="s">
        <v>2289</v>
      </c>
      <c r="L1551" t="s">
        <v>2290</v>
      </c>
    </row>
    <row r="1552" spans="1:12" x14ac:dyDescent="0.25">
      <c r="A1552" t="s">
        <v>4810</v>
      </c>
      <c r="B1552" t="s">
        <v>4811</v>
      </c>
      <c r="C1552" t="s">
        <v>4812</v>
      </c>
      <c r="F1552" t="s">
        <v>2278</v>
      </c>
      <c r="G1552" t="s">
        <v>1722</v>
      </c>
      <c r="H1552" t="s">
        <v>51</v>
      </c>
      <c r="I1552" t="s">
        <v>1723</v>
      </c>
      <c r="J1552" t="s">
        <v>2289</v>
      </c>
      <c r="L1552" t="s">
        <v>2290</v>
      </c>
    </row>
    <row r="1553" spans="1:12" x14ac:dyDescent="0.25">
      <c r="A1553" t="s">
        <v>4813</v>
      </c>
      <c r="B1553" t="s">
        <v>4814</v>
      </c>
      <c r="F1553" t="s">
        <v>4815</v>
      </c>
      <c r="G1553" t="s">
        <v>50</v>
      </c>
      <c r="H1553" t="s">
        <v>51</v>
      </c>
      <c r="I1553" t="s">
        <v>3633</v>
      </c>
      <c r="J1553" t="s">
        <v>3634</v>
      </c>
      <c r="L1553" t="s">
        <v>1684</v>
      </c>
    </row>
    <row r="1554" spans="1:12" x14ac:dyDescent="0.25">
      <c r="A1554" t="s">
        <v>4816</v>
      </c>
      <c r="B1554" t="s">
        <v>4817</v>
      </c>
      <c r="F1554" t="s">
        <v>1047</v>
      </c>
      <c r="G1554" t="s">
        <v>1836</v>
      </c>
      <c r="H1554" t="s">
        <v>51</v>
      </c>
      <c r="I1554" t="s">
        <v>1837</v>
      </c>
      <c r="J1554" t="s">
        <v>1838</v>
      </c>
      <c r="L1554" t="s">
        <v>1684</v>
      </c>
    </row>
    <row r="1555" spans="1:12" x14ac:dyDescent="0.25">
      <c r="A1555" t="s">
        <v>4818</v>
      </c>
      <c r="B1555" t="s">
        <v>4819</v>
      </c>
      <c r="F1555" t="s">
        <v>1742</v>
      </c>
      <c r="G1555" t="s">
        <v>1836</v>
      </c>
      <c r="H1555" t="s">
        <v>51</v>
      </c>
      <c r="I1555" t="s">
        <v>1837</v>
      </c>
      <c r="J1555" t="s">
        <v>1838</v>
      </c>
      <c r="L1555" t="s">
        <v>1684</v>
      </c>
    </row>
    <row r="1556" spans="1:12" x14ac:dyDescent="0.25">
      <c r="A1556" t="s">
        <v>4820</v>
      </c>
      <c r="B1556" t="s">
        <v>4821</v>
      </c>
      <c r="F1556" t="s">
        <v>242</v>
      </c>
      <c r="G1556" t="s">
        <v>50</v>
      </c>
      <c r="H1556" t="s">
        <v>51</v>
      </c>
      <c r="I1556" t="s">
        <v>954</v>
      </c>
      <c r="J1556" t="s">
        <v>1456</v>
      </c>
      <c r="L1556" t="s">
        <v>1429</v>
      </c>
    </row>
    <row r="1557" spans="1:12" x14ac:dyDescent="0.25">
      <c r="A1557" t="s">
        <v>4822</v>
      </c>
      <c r="B1557" t="s">
        <v>4823</v>
      </c>
      <c r="F1557" t="s">
        <v>943</v>
      </c>
      <c r="G1557" t="s">
        <v>50</v>
      </c>
      <c r="H1557" t="s">
        <v>51</v>
      </c>
      <c r="I1557" t="s">
        <v>4824</v>
      </c>
      <c r="J1557" t="s">
        <v>961</v>
      </c>
      <c r="L1557" t="s">
        <v>1684</v>
      </c>
    </row>
    <row r="1558" spans="1:12" x14ac:dyDescent="0.25">
      <c r="A1558" t="s">
        <v>4825</v>
      </c>
      <c r="B1558" t="s">
        <v>4826</v>
      </c>
      <c r="F1558" t="s">
        <v>496</v>
      </c>
      <c r="G1558" t="s">
        <v>50</v>
      </c>
      <c r="H1558" t="s">
        <v>51</v>
      </c>
      <c r="I1558" t="s">
        <v>4824</v>
      </c>
      <c r="J1558" t="s">
        <v>961</v>
      </c>
      <c r="L1558" t="s">
        <v>1684</v>
      </c>
    </row>
    <row r="1559" spans="1:12" x14ac:dyDescent="0.25">
      <c r="A1559" t="s">
        <v>4827</v>
      </c>
      <c r="B1559" t="s">
        <v>4828</v>
      </c>
      <c r="F1559" t="s">
        <v>78</v>
      </c>
      <c r="G1559" t="s">
        <v>50</v>
      </c>
      <c r="H1559" t="s">
        <v>51</v>
      </c>
      <c r="I1559" t="s">
        <v>4824</v>
      </c>
      <c r="J1559" t="s">
        <v>961</v>
      </c>
      <c r="L1559" t="s">
        <v>1684</v>
      </c>
    </row>
    <row r="1560" spans="1:12" x14ac:dyDescent="0.25">
      <c r="A1560" t="s">
        <v>4829</v>
      </c>
      <c r="B1560" t="s">
        <v>4830</v>
      </c>
      <c r="F1560" t="s">
        <v>2877</v>
      </c>
      <c r="G1560" t="s">
        <v>50</v>
      </c>
      <c r="H1560" t="s">
        <v>51</v>
      </c>
      <c r="I1560" t="s">
        <v>4824</v>
      </c>
      <c r="J1560" t="s">
        <v>961</v>
      </c>
      <c r="L1560" t="s">
        <v>1684</v>
      </c>
    </row>
    <row r="1561" spans="1:12" x14ac:dyDescent="0.25">
      <c r="A1561" t="s">
        <v>4831</v>
      </c>
      <c r="B1561" t="s">
        <v>4832</v>
      </c>
      <c r="F1561" t="s">
        <v>4833</v>
      </c>
      <c r="G1561" t="s">
        <v>50</v>
      </c>
      <c r="H1561" t="s">
        <v>51</v>
      </c>
      <c r="I1561" t="s">
        <v>4834</v>
      </c>
      <c r="J1561" t="s">
        <v>4835</v>
      </c>
      <c r="L1561" t="s">
        <v>1684</v>
      </c>
    </row>
    <row r="1562" spans="1:12" x14ac:dyDescent="0.25">
      <c r="A1562" t="s">
        <v>4836</v>
      </c>
      <c r="B1562" t="s">
        <v>4837</v>
      </c>
      <c r="F1562" t="s">
        <v>1889</v>
      </c>
      <c r="G1562" t="s">
        <v>50</v>
      </c>
      <c r="H1562" t="s">
        <v>51</v>
      </c>
      <c r="I1562" t="s">
        <v>4834</v>
      </c>
      <c r="J1562" t="s">
        <v>4835</v>
      </c>
      <c r="L1562" t="s">
        <v>1684</v>
      </c>
    </row>
    <row r="1563" spans="1:12" x14ac:dyDescent="0.25">
      <c r="A1563" t="s">
        <v>4838</v>
      </c>
      <c r="B1563" t="s">
        <v>4839</v>
      </c>
      <c r="F1563" t="s">
        <v>4840</v>
      </c>
      <c r="G1563" t="s">
        <v>50</v>
      </c>
      <c r="H1563" t="s">
        <v>51</v>
      </c>
      <c r="I1563" t="s">
        <v>4834</v>
      </c>
      <c r="J1563" t="s">
        <v>4835</v>
      </c>
      <c r="L1563" t="s">
        <v>1684</v>
      </c>
    </row>
    <row r="1564" spans="1:12" x14ac:dyDescent="0.25">
      <c r="A1564" t="s">
        <v>4841</v>
      </c>
      <c r="B1564" t="s">
        <v>4842</v>
      </c>
      <c r="F1564" t="s">
        <v>496</v>
      </c>
      <c r="G1564" t="s">
        <v>50</v>
      </c>
      <c r="H1564" t="s">
        <v>51</v>
      </c>
      <c r="I1564" t="s">
        <v>4834</v>
      </c>
      <c r="J1564" t="s">
        <v>4835</v>
      </c>
      <c r="L1564" t="s">
        <v>1684</v>
      </c>
    </row>
    <row r="1565" spans="1:12" x14ac:dyDescent="0.25">
      <c r="A1565" t="s">
        <v>4843</v>
      </c>
      <c r="B1565" t="s">
        <v>4844</v>
      </c>
      <c r="C1565" t="s">
        <v>4845</v>
      </c>
      <c r="F1565" t="s">
        <v>1054</v>
      </c>
      <c r="G1565" t="s">
        <v>50</v>
      </c>
      <c r="H1565" t="s">
        <v>51</v>
      </c>
      <c r="I1565" t="s">
        <v>1156</v>
      </c>
      <c r="J1565" t="s">
        <v>4846</v>
      </c>
      <c r="L1565" t="s">
        <v>3460</v>
      </c>
    </row>
    <row r="1566" spans="1:12" x14ac:dyDescent="0.25">
      <c r="A1566" t="s">
        <v>4847</v>
      </c>
      <c r="B1566" t="s">
        <v>4848</v>
      </c>
      <c r="C1566" t="s">
        <v>4849</v>
      </c>
      <c r="F1566" t="s">
        <v>981</v>
      </c>
      <c r="G1566" t="s">
        <v>50</v>
      </c>
      <c r="H1566" t="s">
        <v>51</v>
      </c>
      <c r="I1566" t="s">
        <v>1156</v>
      </c>
      <c r="J1566" t="s">
        <v>4846</v>
      </c>
      <c r="L1566" t="s">
        <v>3460</v>
      </c>
    </row>
    <row r="1567" spans="1:12" x14ac:dyDescent="0.25">
      <c r="A1567" t="s">
        <v>4850</v>
      </c>
      <c r="B1567" t="s">
        <v>4851</v>
      </c>
      <c r="C1567" t="s">
        <v>4852</v>
      </c>
      <c r="F1567" t="s">
        <v>981</v>
      </c>
      <c r="G1567" t="s">
        <v>50</v>
      </c>
      <c r="H1567" t="s">
        <v>51</v>
      </c>
      <c r="I1567" t="s">
        <v>1156</v>
      </c>
      <c r="J1567" t="s">
        <v>4846</v>
      </c>
      <c r="L1567" t="s">
        <v>3460</v>
      </c>
    </row>
    <row r="1568" spans="1:12" x14ac:dyDescent="0.25">
      <c r="A1568" t="s">
        <v>4853</v>
      </c>
      <c r="B1568" t="s">
        <v>4854</v>
      </c>
      <c r="C1568" t="s">
        <v>4855</v>
      </c>
      <c r="F1568" t="s">
        <v>981</v>
      </c>
      <c r="G1568" t="s">
        <v>50</v>
      </c>
      <c r="H1568" t="s">
        <v>51</v>
      </c>
      <c r="I1568" t="s">
        <v>1156</v>
      </c>
      <c r="J1568" t="s">
        <v>4846</v>
      </c>
      <c r="L1568" t="s">
        <v>3460</v>
      </c>
    </row>
    <row r="1569" spans="1:12" x14ac:dyDescent="0.25">
      <c r="A1569" t="s">
        <v>4856</v>
      </c>
      <c r="B1569" t="s">
        <v>4857</v>
      </c>
      <c r="C1569" t="s">
        <v>4858</v>
      </c>
      <c r="F1569" t="s">
        <v>1117</v>
      </c>
      <c r="G1569" t="s">
        <v>50</v>
      </c>
      <c r="H1569" t="s">
        <v>51</v>
      </c>
      <c r="I1569" t="s">
        <v>1156</v>
      </c>
      <c r="J1569" t="s">
        <v>4846</v>
      </c>
      <c r="L1569" t="s">
        <v>3460</v>
      </c>
    </row>
    <row r="1570" spans="1:12" x14ac:dyDescent="0.25">
      <c r="A1570" t="s">
        <v>4859</v>
      </c>
      <c r="B1570" t="s">
        <v>4860</v>
      </c>
      <c r="C1570" t="s">
        <v>4861</v>
      </c>
      <c r="F1570" t="s">
        <v>1842</v>
      </c>
      <c r="G1570" t="s">
        <v>50</v>
      </c>
      <c r="H1570" t="s">
        <v>51</v>
      </c>
      <c r="I1570" t="s">
        <v>1156</v>
      </c>
      <c r="J1570" t="s">
        <v>2545</v>
      </c>
      <c r="L1570" t="s">
        <v>2290</v>
      </c>
    </row>
    <row r="1571" spans="1:12" x14ac:dyDescent="0.25">
      <c r="A1571" t="s">
        <v>4862</v>
      </c>
      <c r="B1571" t="s">
        <v>4863</v>
      </c>
      <c r="F1571" t="s">
        <v>4864</v>
      </c>
      <c r="G1571" t="s">
        <v>50</v>
      </c>
      <c r="H1571" t="s">
        <v>51</v>
      </c>
      <c r="I1571" t="s">
        <v>4834</v>
      </c>
      <c r="J1571" t="s">
        <v>4835</v>
      </c>
      <c r="L1571" t="s">
        <v>1684</v>
      </c>
    </row>
    <row r="1572" spans="1:12" x14ac:dyDescent="0.25">
      <c r="A1572" t="s">
        <v>4865</v>
      </c>
      <c r="B1572" t="s">
        <v>4866</v>
      </c>
      <c r="C1572" t="s">
        <v>4867</v>
      </c>
      <c r="F1572" t="s">
        <v>1066</v>
      </c>
      <c r="G1572" t="s">
        <v>50</v>
      </c>
      <c r="H1572" t="s">
        <v>51</v>
      </c>
      <c r="I1572" t="s">
        <v>1156</v>
      </c>
      <c r="J1572" t="s">
        <v>4868</v>
      </c>
      <c r="L1572" t="s">
        <v>4869</v>
      </c>
    </row>
    <row r="1573" spans="1:12" x14ac:dyDescent="0.25">
      <c r="A1573" t="s">
        <v>4870</v>
      </c>
      <c r="B1573" t="s">
        <v>4871</v>
      </c>
      <c r="C1573" t="s">
        <v>4872</v>
      </c>
      <c r="F1573" t="s">
        <v>4873</v>
      </c>
      <c r="G1573" t="s">
        <v>50</v>
      </c>
      <c r="H1573" t="s">
        <v>51</v>
      </c>
      <c r="I1573" t="s">
        <v>1156</v>
      </c>
      <c r="J1573" t="s">
        <v>3307</v>
      </c>
      <c r="L1573" t="s">
        <v>4874</v>
      </c>
    </row>
    <row r="1574" spans="1:12" x14ac:dyDescent="0.25">
      <c r="A1574" t="s">
        <v>4875</v>
      </c>
      <c r="B1574" t="s">
        <v>4876</v>
      </c>
      <c r="F1574" t="s">
        <v>438</v>
      </c>
      <c r="G1574" t="s">
        <v>50</v>
      </c>
      <c r="H1574" t="s">
        <v>51</v>
      </c>
      <c r="I1574" t="s">
        <v>4834</v>
      </c>
      <c r="J1574" t="s">
        <v>4835</v>
      </c>
      <c r="L1574" t="s">
        <v>1684</v>
      </c>
    </row>
    <row r="1575" spans="1:12" x14ac:dyDescent="0.25">
      <c r="A1575" t="s">
        <v>4877</v>
      </c>
      <c r="B1575" t="s">
        <v>4878</v>
      </c>
      <c r="F1575" t="s">
        <v>438</v>
      </c>
      <c r="G1575" t="s">
        <v>50</v>
      </c>
      <c r="H1575" t="s">
        <v>51</v>
      </c>
      <c r="I1575" t="s">
        <v>4834</v>
      </c>
      <c r="J1575" t="s">
        <v>4835</v>
      </c>
      <c r="L1575" t="s">
        <v>1684</v>
      </c>
    </row>
    <row r="1576" spans="1:12" x14ac:dyDescent="0.25">
      <c r="A1576" t="s">
        <v>4879</v>
      </c>
      <c r="B1576" t="s">
        <v>4880</v>
      </c>
      <c r="C1576" t="s">
        <v>4881</v>
      </c>
      <c r="F1576" t="s">
        <v>326</v>
      </c>
      <c r="G1576" t="s">
        <v>50</v>
      </c>
      <c r="H1576" t="s">
        <v>51</v>
      </c>
      <c r="I1576" t="s">
        <v>1156</v>
      </c>
      <c r="J1576" t="s">
        <v>4846</v>
      </c>
      <c r="L1576" t="s">
        <v>3460</v>
      </c>
    </row>
    <row r="1577" spans="1:12" x14ac:dyDescent="0.25">
      <c r="A1577" t="s">
        <v>4882</v>
      </c>
      <c r="B1577" t="s">
        <v>4883</v>
      </c>
      <c r="C1577" t="s">
        <v>4884</v>
      </c>
      <c r="F1577" t="s">
        <v>4885</v>
      </c>
      <c r="G1577" t="s">
        <v>50</v>
      </c>
      <c r="H1577" t="s">
        <v>51</v>
      </c>
      <c r="I1577" t="s">
        <v>1156</v>
      </c>
      <c r="J1577" t="s">
        <v>3307</v>
      </c>
      <c r="L1577" t="s">
        <v>4874</v>
      </c>
    </row>
    <row r="1578" spans="1:12" x14ac:dyDescent="0.25">
      <c r="A1578" t="s">
        <v>4886</v>
      </c>
      <c r="B1578" t="s">
        <v>4887</v>
      </c>
      <c r="F1578" t="s">
        <v>438</v>
      </c>
      <c r="G1578" t="s">
        <v>50</v>
      </c>
      <c r="H1578" t="s">
        <v>51</v>
      </c>
      <c r="I1578" t="s">
        <v>4834</v>
      </c>
      <c r="J1578" t="s">
        <v>4835</v>
      </c>
      <c r="L1578" t="s">
        <v>1684</v>
      </c>
    </row>
    <row r="1579" spans="1:12" x14ac:dyDescent="0.25">
      <c r="A1579" t="s">
        <v>4888</v>
      </c>
      <c r="B1579" t="s">
        <v>4889</v>
      </c>
      <c r="C1579" t="s">
        <v>4890</v>
      </c>
      <c r="F1579" t="s">
        <v>1127</v>
      </c>
      <c r="G1579" t="s">
        <v>1722</v>
      </c>
      <c r="H1579" t="s">
        <v>51</v>
      </c>
      <c r="I1579" t="s">
        <v>1723</v>
      </c>
      <c r="J1579" t="s">
        <v>2289</v>
      </c>
      <c r="L1579" t="s">
        <v>2290</v>
      </c>
    </row>
    <row r="1580" spans="1:12" x14ac:dyDescent="0.25">
      <c r="A1580" t="s">
        <v>4891</v>
      </c>
      <c r="B1580" t="s">
        <v>4892</v>
      </c>
      <c r="C1580" t="s">
        <v>4893</v>
      </c>
      <c r="F1580" t="s">
        <v>188</v>
      </c>
      <c r="G1580" t="s">
        <v>1722</v>
      </c>
      <c r="H1580" t="s">
        <v>51</v>
      </c>
      <c r="I1580" t="s">
        <v>1723</v>
      </c>
      <c r="J1580" t="s">
        <v>2289</v>
      </c>
      <c r="L1580" t="s">
        <v>2290</v>
      </c>
    </row>
    <row r="1581" spans="1:12" x14ac:dyDescent="0.25">
      <c r="A1581" t="s">
        <v>4894</v>
      </c>
      <c r="B1581" t="s">
        <v>4895</v>
      </c>
      <c r="C1581" t="s">
        <v>4896</v>
      </c>
      <c r="F1581" t="s">
        <v>1127</v>
      </c>
      <c r="G1581" t="s">
        <v>1722</v>
      </c>
      <c r="H1581" t="s">
        <v>51</v>
      </c>
      <c r="I1581" t="s">
        <v>1723</v>
      </c>
      <c r="J1581" t="s">
        <v>2289</v>
      </c>
      <c r="L1581" t="s">
        <v>2290</v>
      </c>
    </row>
    <row r="1582" spans="1:12" x14ac:dyDescent="0.25">
      <c r="A1582" t="s">
        <v>4897</v>
      </c>
      <c r="B1582" t="s">
        <v>4898</v>
      </c>
      <c r="C1582" t="s">
        <v>4899</v>
      </c>
      <c r="F1582" t="s">
        <v>188</v>
      </c>
      <c r="G1582" t="s">
        <v>1722</v>
      </c>
      <c r="H1582" t="s">
        <v>51</v>
      </c>
      <c r="I1582" t="s">
        <v>1723</v>
      </c>
      <c r="J1582" t="s">
        <v>2289</v>
      </c>
      <c r="L1582" t="s">
        <v>2290</v>
      </c>
    </row>
    <row r="1583" spans="1:12" x14ac:dyDescent="0.25">
      <c r="A1583" t="s">
        <v>4900</v>
      </c>
      <c r="B1583" t="s">
        <v>4901</v>
      </c>
      <c r="C1583" t="s">
        <v>4902</v>
      </c>
      <c r="F1583" t="s">
        <v>188</v>
      </c>
      <c r="G1583" t="s">
        <v>1722</v>
      </c>
      <c r="H1583" t="s">
        <v>51</v>
      </c>
      <c r="I1583" t="s">
        <v>1723</v>
      </c>
      <c r="J1583" t="s">
        <v>2289</v>
      </c>
      <c r="L1583" t="s">
        <v>2290</v>
      </c>
    </row>
    <row r="1584" spans="1:12" x14ac:dyDescent="0.25">
      <c r="A1584" t="s">
        <v>4903</v>
      </c>
      <c r="B1584" t="s">
        <v>4904</v>
      </c>
      <c r="C1584" t="s">
        <v>4905</v>
      </c>
      <c r="F1584" t="s">
        <v>1842</v>
      </c>
      <c r="G1584" t="s">
        <v>1722</v>
      </c>
      <c r="H1584" t="s">
        <v>51</v>
      </c>
      <c r="I1584" t="s">
        <v>1723</v>
      </c>
      <c r="J1584" t="s">
        <v>2289</v>
      </c>
      <c r="L1584" t="s">
        <v>2290</v>
      </c>
    </row>
    <row r="1585" spans="1:12" x14ac:dyDescent="0.25">
      <c r="A1585" t="s">
        <v>4906</v>
      </c>
      <c r="B1585" t="s">
        <v>4907</v>
      </c>
      <c r="C1585" t="s">
        <v>4908</v>
      </c>
      <c r="F1585" t="s">
        <v>188</v>
      </c>
      <c r="G1585" t="s">
        <v>1722</v>
      </c>
      <c r="H1585" t="s">
        <v>51</v>
      </c>
      <c r="I1585" t="s">
        <v>1723</v>
      </c>
      <c r="J1585" t="s">
        <v>2289</v>
      </c>
      <c r="L1585" t="s">
        <v>2290</v>
      </c>
    </row>
    <row r="1586" spans="1:12" x14ac:dyDescent="0.25">
      <c r="A1586" t="s">
        <v>4909</v>
      </c>
      <c r="B1586" t="s">
        <v>4910</v>
      </c>
      <c r="C1586" t="s">
        <v>4911</v>
      </c>
      <c r="F1586" t="s">
        <v>1842</v>
      </c>
      <c r="G1586" t="s">
        <v>1722</v>
      </c>
      <c r="H1586" t="s">
        <v>51</v>
      </c>
      <c r="I1586" t="s">
        <v>1723</v>
      </c>
      <c r="J1586" t="s">
        <v>2289</v>
      </c>
      <c r="L1586" t="s">
        <v>2290</v>
      </c>
    </row>
    <row r="1587" spans="1:12" x14ac:dyDescent="0.25">
      <c r="A1587" t="s">
        <v>4912</v>
      </c>
      <c r="B1587" t="s">
        <v>4913</v>
      </c>
      <c r="C1587" t="s">
        <v>4914</v>
      </c>
      <c r="F1587" t="s">
        <v>4915</v>
      </c>
      <c r="G1587" t="s">
        <v>50</v>
      </c>
      <c r="H1587" t="s">
        <v>51</v>
      </c>
      <c r="I1587" t="s">
        <v>136</v>
      </c>
      <c r="J1587" t="s">
        <v>4916</v>
      </c>
      <c r="L1587" t="s">
        <v>1684</v>
      </c>
    </row>
    <row r="1588" spans="1:12" x14ac:dyDescent="0.25">
      <c r="A1588" t="s">
        <v>4917</v>
      </c>
      <c r="B1588" t="s">
        <v>4918</v>
      </c>
      <c r="C1588" t="s">
        <v>4919</v>
      </c>
      <c r="F1588" t="s">
        <v>1024</v>
      </c>
      <c r="G1588" t="s">
        <v>50</v>
      </c>
      <c r="H1588" t="s">
        <v>51</v>
      </c>
      <c r="I1588" t="s">
        <v>136</v>
      </c>
      <c r="J1588" t="s">
        <v>4916</v>
      </c>
      <c r="L1588" t="s">
        <v>1684</v>
      </c>
    </row>
    <row r="1589" spans="1:12" x14ac:dyDescent="0.25">
      <c r="A1589" t="s">
        <v>4920</v>
      </c>
      <c r="B1589" t="s">
        <v>4921</v>
      </c>
      <c r="C1589" t="s">
        <v>4922</v>
      </c>
      <c r="F1589" t="s">
        <v>100</v>
      </c>
      <c r="G1589" t="s">
        <v>50</v>
      </c>
      <c r="H1589" t="s">
        <v>51</v>
      </c>
      <c r="I1589" t="s">
        <v>136</v>
      </c>
      <c r="J1589" t="s">
        <v>4916</v>
      </c>
      <c r="L1589" t="s">
        <v>1684</v>
      </c>
    </row>
    <row r="1590" spans="1:12" x14ac:dyDescent="0.25">
      <c r="A1590" t="s">
        <v>4923</v>
      </c>
      <c r="B1590" t="s">
        <v>3454</v>
      </c>
      <c r="C1590" t="s">
        <v>4924</v>
      </c>
      <c r="F1590" t="s">
        <v>4925</v>
      </c>
      <c r="G1590" t="s">
        <v>50</v>
      </c>
      <c r="H1590" t="s">
        <v>51</v>
      </c>
      <c r="I1590" t="s">
        <v>136</v>
      </c>
      <c r="J1590" t="s">
        <v>4916</v>
      </c>
      <c r="L1590" t="s">
        <v>1684</v>
      </c>
    </row>
    <row r="1591" spans="1:12" x14ac:dyDescent="0.25">
      <c r="A1591" t="s">
        <v>4926</v>
      </c>
      <c r="B1591" t="s">
        <v>455</v>
      </c>
      <c r="C1591" t="s">
        <v>4927</v>
      </c>
      <c r="F1591" t="s">
        <v>519</v>
      </c>
      <c r="G1591" t="s">
        <v>50</v>
      </c>
      <c r="H1591" t="s">
        <v>51</v>
      </c>
      <c r="I1591" t="s">
        <v>136</v>
      </c>
      <c r="J1591" t="s">
        <v>4916</v>
      </c>
      <c r="L1591" t="s">
        <v>1684</v>
      </c>
    </row>
    <row r="1592" spans="1:12" x14ac:dyDescent="0.25">
      <c r="A1592" t="s">
        <v>4928</v>
      </c>
      <c r="B1592" t="s">
        <v>4929</v>
      </c>
      <c r="C1592" t="s">
        <v>4930</v>
      </c>
      <c r="F1592" t="s">
        <v>58</v>
      </c>
      <c r="G1592" t="s">
        <v>50</v>
      </c>
      <c r="H1592" t="s">
        <v>51</v>
      </c>
      <c r="I1592" t="s">
        <v>136</v>
      </c>
      <c r="J1592" t="s">
        <v>4916</v>
      </c>
      <c r="L1592" t="s">
        <v>1684</v>
      </c>
    </row>
    <row r="1593" spans="1:12" x14ac:dyDescent="0.25">
      <c r="A1593" t="s">
        <v>4931</v>
      </c>
      <c r="B1593" t="s">
        <v>4932</v>
      </c>
      <c r="C1593" t="s">
        <v>4933</v>
      </c>
      <c r="F1593" t="s">
        <v>58</v>
      </c>
      <c r="G1593" t="s">
        <v>50</v>
      </c>
      <c r="H1593" t="s">
        <v>51</v>
      </c>
      <c r="I1593" t="s">
        <v>136</v>
      </c>
      <c r="J1593" t="s">
        <v>4916</v>
      </c>
      <c r="L1593" t="s">
        <v>1684</v>
      </c>
    </row>
    <row r="1594" spans="1:12" x14ac:dyDescent="0.25">
      <c r="A1594" t="s">
        <v>4934</v>
      </c>
      <c r="B1594" t="s">
        <v>4935</v>
      </c>
      <c r="C1594" t="s">
        <v>4936</v>
      </c>
      <c r="F1594" t="s">
        <v>4937</v>
      </c>
      <c r="G1594" t="s">
        <v>50</v>
      </c>
      <c r="H1594" t="s">
        <v>51</v>
      </c>
      <c r="I1594" t="s">
        <v>136</v>
      </c>
      <c r="J1594" t="s">
        <v>4916</v>
      </c>
      <c r="L1594" t="s">
        <v>1684</v>
      </c>
    </row>
    <row r="1595" spans="1:12" x14ac:dyDescent="0.25">
      <c r="A1595" t="s">
        <v>4938</v>
      </c>
      <c r="B1595" t="s">
        <v>4939</v>
      </c>
      <c r="C1595" t="s">
        <v>4940</v>
      </c>
      <c r="F1595" t="s">
        <v>192</v>
      </c>
      <c r="G1595" t="s">
        <v>50</v>
      </c>
      <c r="H1595" t="s">
        <v>51</v>
      </c>
      <c r="I1595" t="s">
        <v>136</v>
      </c>
      <c r="J1595" t="s">
        <v>4916</v>
      </c>
      <c r="L1595" t="s">
        <v>1684</v>
      </c>
    </row>
    <row r="1596" spans="1:12" x14ac:dyDescent="0.25">
      <c r="A1596" t="s">
        <v>4941</v>
      </c>
      <c r="B1596" t="s">
        <v>4942</v>
      </c>
      <c r="C1596" t="s">
        <v>4943</v>
      </c>
      <c r="F1596" t="s">
        <v>4864</v>
      </c>
      <c r="G1596" t="s">
        <v>50</v>
      </c>
      <c r="H1596" t="s">
        <v>51</v>
      </c>
      <c r="I1596" t="s">
        <v>136</v>
      </c>
      <c r="J1596" t="s">
        <v>4916</v>
      </c>
      <c r="L1596" t="s">
        <v>1684</v>
      </c>
    </row>
    <row r="1597" spans="1:12" x14ac:dyDescent="0.25">
      <c r="A1597" t="s">
        <v>4944</v>
      </c>
      <c r="B1597" t="s">
        <v>4945</v>
      </c>
      <c r="C1597" t="s">
        <v>4946</v>
      </c>
      <c r="F1597" t="s">
        <v>4947</v>
      </c>
      <c r="G1597" t="s">
        <v>50</v>
      </c>
      <c r="H1597" t="s">
        <v>51</v>
      </c>
      <c r="I1597" t="s">
        <v>136</v>
      </c>
      <c r="J1597" t="s">
        <v>4916</v>
      </c>
      <c r="L1597" t="s">
        <v>1684</v>
      </c>
    </row>
    <row r="1598" spans="1:12" x14ac:dyDescent="0.25">
      <c r="A1598" t="s">
        <v>4948</v>
      </c>
      <c r="B1598" t="s">
        <v>4949</v>
      </c>
      <c r="C1598" t="s">
        <v>4950</v>
      </c>
      <c r="F1598" t="s">
        <v>115</v>
      </c>
      <c r="G1598" t="s">
        <v>50</v>
      </c>
      <c r="H1598" t="s">
        <v>51</v>
      </c>
      <c r="I1598" t="s">
        <v>136</v>
      </c>
      <c r="J1598" t="s">
        <v>4916</v>
      </c>
      <c r="L1598" t="s">
        <v>1684</v>
      </c>
    </row>
    <row r="1599" spans="1:12" x14ac:dyDescent="0.25">
      <c r="A1599" t="s">
        <v>4951</v>
      </c>
      <c r="B1599" t="s">
        <v>4952</v>
      </c>
      <c r="C1599" t="s">
        <v>4953</v>
      </c>
      <c r="F1599" t="s">
        <v>1864</v>
      </c>
      <c r="G1599" t="s">
        <v>50</v>
      </c>
      <c r="H1599" t="s">
        <v>51</v>
      </c>
      <c r="I1599" t="s">
        <v>136</v>
      </c>
      <c r="J1599" t="s">
        <v>4916</v>
      </c>
      <c r="L1599" t="s">
        <v>1684</v>
      </c>
    </row>
    <row r="1600" spans="1:12" x14ac:dyDescent="0.25">
      <c r="A1600" t="s">
        <v>4954</v>
      </c>
      <c r="B1600" t="s">
        <v>4955</v>
      </c>
      <c r="C1600" t="s">
        <v>4956</v>
      </c>
      <c r="F1600" t="s">
        <v>4957</v>
      </c>
      <c r="G1600" t="s">
        <v>50</v>
      </c>
      <c r="H1600" t="s">
        <v>51</v>
      </c>
      <c r="I1600" t="s">
        <v>136</v>
      </c>
      <c r="J1600" t="s">
        <v>4916</v>
      </c>
      <c r="L1600" t="s">
        <v>1684</v>
      </c>
    </row>
    <row r="1601" spans="1:12" x14ac:dyDescent="0.25">
      <c r="A1601" t="s">
        <v>4958</v>
      </c>
      <c r="B1601" t="s">
        <v>4959</v>
      </c>
      <c r="C1601" t="s">
        <v>4960</v>
      </c>
      <c r="F1601" t="s">
        <v>4961</v>
      </c>
      <c r="G1601" t="s">
        <v>50</v>
      </c>
      <c r="H1601" t="s">
        <v>51</v>
      </c>
      <c r="I1601" t="s">
        <v>136</v>
      </c>
      <c r="J1601" t="s">
        <v>4916</v>
      </c>
      <c r="L1601" t="s">
        <v>1684</v>
      </c>
    </row>
    <row r="1602" spans="1:12" x14ac:dyDescent="0.25">
      <c r="A1602" t="s">
        <v>4962</v>
      </c>
      <c r="B1602" t="s">
        <v>4963</v>
      </c>
      <c r="C1602" t="s">
        <v>4964</v>
      </c>
      <c r="F1602" t="s">
        <v>4965</v>
      </c>
      <c r="G1602" t="s">
        <v>50</v>
      </c>
      <c r="H1602" t="s">
        <v>51</v>
      </c>
      <c r="I1602" t="s">
        <v>136</v>
      </c>
      <c r="J1602" t="s">
        <v>4916</v>
      </c>
      <c r="L1602" t="s">
        <v>1684</v>
      </c>
    </row>
    <row r="1603" spans="1:12" x14ac:dyDescent="0.25">
      <c r="A1603" t="s">
        <v>4966</v>
      </c>
      <c r="B1603" t="s">
        <v>4967</v>
      </c>
      <c r="C1603" t="s">
        <v>4968</v>
      </c>
      <c r="F1603" t="s">
        <v>3103</v>
      </c>
      <c r="G1603" t="s">
        <v>50</v>
      </c>
      <c r="H1603" t="s">
        <v>51</v>
      </c>
      <c r="I1603" t="s">
        <v>136</v>
      </c>
      <c r="J1603" t="s">
        <v>4916</v>
      </c>
      <c r="L1603" t="s">
        <v>1684</v>
      </c>
    </row>
    <row r="1604" spans="1:12" x14ac:dyDescent="0.25">
      <c r="A1604" t="s">
        <v>4969</v>
      </c>
      <c r="B1604" t="s">
        <v>4970</v>
      </c>
      <c r="C1604" t="s">
        <v>4971</v>
      </c>
      <c r="F1604" t="s">
        <v>4972</v>
      </c>
      <c r="G1604" t="s">
        <v>50</v>
      </c>
      <c r="H1604" t="s">
        <v>51</v>
      </c>
      <c r="I1604" t="s">
        <v>136</v>
      </c>
      <c r="J1604" t="s">
        <v>4916</v>
      </c>
      <c r="L1604" t="s">
        <v>1684</v>
      </c>
    </row>
    <row r="1605" spans="1:12" x14ac:dyDescent="0.25">
      <c r="A1605" t="s">
        <v>4973</v>
      </c>
      <c r="B1605" t="s">
        <v>4974</v>
      </c>
      <c r="C1605" t="s">
        <v>4975</v>
      </c>
      <c r="F1605" t="s">
        <v>4976</v>
      </c>
      <c r="G1605" t="s">
        <v>50</v>
      </c>
      <c r="H1605" t="s">
        <v>51</v>
      </c>
      <c r="I1605" t="s">
        <v>136</v>
      </c>
      <c r="J1605" t="s">
        <v>4916</v>
      </c>
      <c r="L1605" t="s">
        <v>1684</v>
      </c>
    </row>
    <row r="1606" spans="1:12" x14ac:dyDescent="0.25">
      <c r="A1606" t="s">
        <v>4977</v>
      </c>
      <c r="B1606" t="s">
        <v>4978</v>
      </c>
      <c r="C1606" t="s">
        <v>4979</v>
      </c>
      <c r="F1606" t="s">
        <v>90</v>
      </c>
      <c r="G1606" t="s">
        <v>50</v>
      </c>
      <c r="H1606" t="s">
        <v>51</v>
      </c>
      <c r="I1606" t="s">
        <v>136</v>
      </c>
      <c r="J1606" t="s">
        <v>4916</v>
      </c>
      <c r="L1606" t="s">
        <v>1684</v>
      </c>
    </row>
    <row r="1607" spans="1:12" x14ac:dyDescent="0.25">
      <c r="A1607" t="s">
        <v>4980</v>
      </c>
      <c r="B1607" t="s">
        <v>4981</v>
      </c>
      <c r="C1607" t="s">
        <v>4982</v>
      </c>
      <c r="F1607" t="s">
        <v>4983</v>
      </c>
      <c r="G1607" t="s">
        <v>50</v>
      </c>
      <c r="H1607" t="s">
        <v>51</v>
      </c>
      <c r="I1607" t="s">
        <v>136</v>
      </c>
      <c r="J1607" t="s">
        <v>4916</v>
      </c>
      <c r="L1607" t="s">
        <v>1684</v>
      </c>
    </row>
    <row r="1608" spans="1:12" x14ac:dyDescent="0.25">
      <c r="A1608" t="s">
        <v>4984</v>
      </c>
      <c r="B1608" t="s">
        <v>4985</v>
      </c>
      <c r="C1608" t="s">
        <v>4986</v>
      </c>
      <c r="F1608" t="s">
        <v>78</v>
      </c>
      <c r="G1608" t="s">
        <v>50</v>
      </c>
      <c r="H1608" t="s">
        <v>51</v>
      </c>
      <c r="I1608" t="s">
        <v>136</v>
      </c>
      <c r="J1608" t="s">
        <v>4916</v>
      </c>
      <c r="L1608" t="s">
        <v>1684</v>
      </c>
    </row>
    <row r="1609" spans="1:12" x14ac:dyDescent="0.25">
      <c r="A1609" t="s">
        <v>4987</v>
      </c>
      <c r="B1609" t="s">
        <v>4988</v>
      </c>
      <c r="C1609" t="s">
        <v>4989</v>
      </c>
      <c r="F1609" t="s">
        <v>413</v>
      </c>
      <c r="G1609" t="s">
        <v>50</v>
      </c>
      <c r="H1609" t="s">
        <v>51</v>
      </c>
      <c r="I1609" t="s">
        <v>136</v>
      </c>
      <c r="J1609" t="s">
        <v>4916</v>
      </c>
      <c r="L1609" t="s">
        <v>1684</v>
      </c>
    </row>
    <row r="1610" spans="1:12" x14ac:dyDescent="0.25">
      <c r="A1610" t="s">
        <v>4990</v>
      </c>
      <c r="B1610" t="s">
        <v>4991</v>
      </c>
      <c r="C1610" t="s">
        <v>4992</v>
      </c>
      <c r="F1610" t="s">
        <v>4840</v>
      </c>
      <c r="G1610" t="s">
        <v>50</v>
      </c>
      <c r="H1610" t="s">
        <v>51</v>
      </c>
      <c r="I1610" t="s">
        <v>136</v>
      </c>
      <c r="J1610" t="s">
        <v>4916</v>
      </c>
      <c r="L1610" t="s">
        <v>1684</v>
      </c>
    </row>
    <row r="1611" spans="1:12" x14ac:dyDescent="0.25">
      <c r="A1611" t="s">
        <v>4993</v>
      </c>
      <c r="B1611" t="s">
        <v>4994</v>
      </c>
      <c r="C1611" t="s">
        <v>4995</v>
      </c>
      <c r="F1611" t="s">
        <v>2574</v>
      </c>
      <c r="G1611" t="s">
        <v>50</v>
      </c>
      <c r="H1611" t="s">
        <v>51</v>
      </c>
      <c r="I1611" t="s">
        <v>136</v>
      </c>
      <c r="J1611" t="s">
        <v>4916</v>
      </c>
      <c r="L1611" t="s">
        <v>1684</v>
      </c>
    </row>
    <row r="1612" spans="1:12" x14ac:dyDescent="0.25">
      <c r="A1612" t="s">
        <v>4996</v>
      </c>
      <c r="B1612" t="s">
        <v>4997</v>
      </c>
      <c r="C1612" t="s">
        <v>4998</v>
      </c>
      <c r="F1612" t="s">
        <v>1864</v>
      </c>
      <c r="G1612" t="s">
        <v>50</v>
      </c>
      <c r="H1612" t="s">
        <v>51</v>
      </c>
      <c r="I1612" t="s">
        <v>136</v>
      </c>
      <c r="J1612" t="s">
        <v>4916</v>
      </c>
      <c r="L1612" t="s">
        <v>1684</v>
      </c>
    </row>
    <row r="1613" spans="1:12" x14ac:dyDescent="0.25">
      <c r="A1613" t="s">
        <v>4999</v>
      </c>
      <c r="B1613" t="s">
        <v>5000</v>
      </c>
      <c r="C1613" t="s">
        <v>5001</v>
      </c>
      <c r="F1613" t="s">
        <v>882</v>
      </c>
      <c r="G1613" t="s">
        <v>50</v>
      </c>
      <c r="H1613" t="s">
        <v>51</v>
      </c>
      <c r="I1613" t="s">
        <v>136</v>
      </c>
      <c r="J1613" t="s">
        <v>4916</v>
      </c>
      <c r="L1613" t="s">
        <v>1684</v>
      </c>
    </row>
    <row r="1614" spans="1:12" x14ac:dyDescent="0.25">
      <c r="A1614" t="s">
        <v>5002</v>
      </c>
      <c r="B1614" t="s">
        <v>776</v>
      </c>
      <c r="C1614" t="s">
        <v>5003</v>
      </c>
      <c r="F1614" t="s">
        <v>115</v>
      </c>
      <c r="G1614" t="s">
        <v>50</v>
      </c>
      <c r="H1614" t="s">
        <v>51</v>
      </c>
      <c r="I1614" t="s">
        <v>136</v>
      </c>
      <c r="J1614" t="s">
        <v>4916</v>
      </c>
      <c r="L1614" t="s">
        <v>1684</v>
      </c>
    </row>
    <row r="1615" spans="1:12" x14ac:dyDescent="0.25">
      <c r="A1615" t="s">
        <v>5004</v>
      </c>
      <c r="B1615" t="s">
        <v>5005</v>
      </c>
      <c r="C1615" t="s">
        <v>5006</v>
      </c>
      <c r="F1615" t="s">
        <v>3275</v>
      </c>
      <c r="G1615" t="s">
        <v>50</v>
      </c>
      <c r="H1615" t="s">
        <v>51</v>
      </c>
      <c r="I1615" t="s">
        <v>136</v>
      </c>
      <c r="J1615" t="s">
        <v>4916</v>
      </c>
      <c r="L1615" t="s">
        <v>1684</v>
      </c>
    </row>
    <row r="1616" spans="1:12" x14ac:dyDescent="0.25">
      <c r="A1616" t="s">
        <v>5007</v>
      </c>
      <c r="B1616" t="s">
        <v>5008</v>
      </c>
      <c r="C1616" t="s">
        <v>5009</v>
      </c>
      <c r="F1616" t="s">
        <v>58</v>
      </c>
      <c r="G1616" t="s">
        <v>50</v>
      </c>
      <c r="H1616" t="s">
        <v>51</v>
      </c>
      <c r="I1616" t="s">
        <v>136</v>
      </c>
      <c r="J1616" t="s">
        <v>4916</v>
      </c>
      <c r="L1616" t="s">
        <v>1684</v>
      </c>
    </row>
    <row r="1617" spans="1:12" x14ac:dyDescent="0.25">
      <c r="A1617" t="s">
        <v>5010</v>
      </c>
      <c r="B1617" t="s">
        <v>5011</v>
      </c>
      <c r="C1617" t="s">
        <v>5012</v>
      </c>
      <c r="F1617" t="s">
        <v>5013</v>
      </c>
      <c r="G1617" t="s">
        <v>50</v>
      </c>
      <c r="H1617" t="s">
        <v>51</v>
      </c>
      <c r="I1617" t="s">
        <v>136</v>
      </c>
      <c r="J1617" t="s">
        <v>4916</v>
      </c>
      <c r="L1617" t="s">
        <v>1684</v>
      </c>
    </row>
    <row r="1618" spans="1:12" x14ac:dyDescent="0.25">
      <c r="A1618" t="s">
        <v>5014</v>
      </c>
      <c r="B1618" t="s">
        <v>5015</v>
      </c>
      <c r="C1618" t="s">
        <v>5016</v>
      </c>
      <c r="F1618" t="s">
        <v>5017</v>
      </c>
      <c r="G1618" t="s">
        <v>50</v>
      </c>
      <c r="H1618" t="s">
        <v>51</v>
      </c>
      <c r="I1618" t="s">
        <v>136</v>
      </c>
      <c r="J1618" t="s">
        <v>4916</v>
      </c>
      <c r="L1618" t="s">
        <v>1684</v>
      </c>
    </row>
    <row r="1619" spans="1:12" x14ac:dyDescent="0.25">
      <c r="A1619" t="s">
        <v>5018</v>
      </c>
      <c r="B1619" t="s">
        <v>5019</v>
      </c>
      <c r="C1619" t="s">
        <v>5020</v>
      </c>
      <c r="F1619" t="s">
        <v>1204</v>
      </c>
      <c r="G1619" t="s">
        <v>50</v>
      </c>
      <c r="H1619" t="s">
        <v>51</v>
      </c>
      <c r="I1619" t="s">
        <v>136</v>
      </c>
      <c r="J1619" t="s">
        <v>4916</v>
      </c>
      <c r="L1619" t="s">
        <v>1684</v>
      </c>
    </row>
    <row r="1620" spans="1:12" x14ac:dyDescent="0.25">
      <c r="A1620" t="s">
        <v>5021</v>
      </c>
      <c r="B1620" t="s">
        <v>5022</v>
      </c>
      <c r="C1620" t="s">
        <v>5023</v>
      </c>
      <c r="F1620" t="s">
        <v>5024</v>
      </c>
      <c r="G1620" t="s">
        <v>50</v>
      </c>
      <c r="H1620" t="s">
        <v>51</v>
      </c>
      <c r="I1620" t="s">
        <v>136</v>
      </c>
      <c r="J1620" t="s">
        <v>4916</v>
      </c>
      <c r="L1620" t="s">
        <v>1684</v>
      </c>
    </row>
    <row r="1621" spans="1:12" x14ac:dyDescent="0.25">
      <c r="A1621" t="s">
        <v>5025</v>
      </c>
      <c r="B1621" t="s">
        <v>5026</v>
      </c>
      <c r="C1621" t="s">
        <v>5027</v>
      </c>
      <c r="F1621" t="s">
        <v>2282</v>
      </c>
      <c r="G1621" t="s">
        <v>50</v>
      </c>
      <c r="H1621" t="s">
        <v>51</v>
      </c>
      <c r="I1621" t="s">
        <v>136</v>
      </c>
      <c r="J1621" t="s">
        <v>4916</v>
      </c>
      <c r="L1621" t="s">
        <v>1684</v>
      </c>
    </row>
    <row r="1622" spans="1:12" x14ac:dyDescent="0.25">
      <c r="A1622" t="s">
        <v>5028</v>
      </c>
      <c r="B1622" t="s">
        <v>5029</v>
      </c>
      <c r="C1622" t="s">
        <v>5030</v>
      </c>
      <c r="F1622" t="s">
        <v>5031</v>
      </c>
      <c r="G1622" t="s">
        <v>50</v>
      </c>
      <c r="H1622" t="s">
        <v>51</v>
      </c>
      <c r="I1622" t="s">
        <v>136</v>
      </c>
      <c r="J1622" t="s">
        <v>4916</v>
      </c>
      <c r="L1622" t="s">
        <v>1684</v>
      </c>
    </row>
    <row r="1623" spans="1:12" x14ac:dyDescent="0.25">
      <c r="A1623" t="s">
        <v>5032</v>
      </c>
      <c r="B1623" t="s">
        <v>5033</v>
      </c>
      <c r="C1623" t="s">
        <v>5034</v>
      </c>
      <c r="F1623" t="s">
        <v>5035</v>
      </c>
      <c r="G1623" t="s">
        <v>50</v>
      </c>
      <c r="H1623" t="s">
        <v>51</v>
      </c>
      <c r="I1623" t="s">
        <v>136</v>
      </c>
      <c r="J1623" t="s">
        <v>4916</v>
      </c>
      <c r="L1623" t="s">
        <v>1684</v>
      </c>
    </row>
    <row r="1624" spans="1:12" x14ac:dyDescent="0.25">
      <c r="A1624" t="s">
        <v>5036</v>
      </c>
      <c r="B1624" t="s">
        <v>5037</v>
      </c>
      <c r="C1624" t="s">
        <v>5038</v>
      </c>
      <c r="F1624" t="s">
        <v>1204</v>
      </c>
      <c r="G1624" t="s">
        <v>50</v>
      </c>
      <c r="H1624" t="s">
        <v>51</v>
      </c>
      <c r="I1624" t="s">
        <v>136</v>
      </c>
      <c r="J1624" t="s">
        <v>4916</v>
      </c>
      <c r="L1624" t="s">
        <v>1684</v>
      </c>
    </row>
    <row r="1625" spans="1:12" x14ac:dyDescent="0.25">
      <c r="A1625" t="s">
        <v>5039</v>
      </c>
      <c r="B1625" t="s">
        <v>5040</v>
      </c>
      <c r="C1625" t="s">
        <v>5041</v>
      </c>
      <c r="F1625" t="s">
        <v>5042</v>
      </c>
      <c r="G1625" t="s">
        <v>50</v>
      </c>
      <c r="H1625" t="s">
        <v>51</v>
      </c>
      <c r="I1625" t="s">
        <v>136</v>
      </c>
      <c r="J1625" t="s">
        <v>4916</v>
      </c>
      <c r="L1625" t="s">
        <v>1684</v>
      </c>
    </row>
    <row r="1626" spans="1:12" x14ac:dyDescent="0.25">
      <c r="A1626" t="s">
        <v>5043</v>
      </c>
      <c r="B1626" t="s">
        <v>5044</v>
      </c>
      <c r="C1626" t="s">
        <v>5045</v>
      </c>
      <c r="F1626" t="s">
        <v>603</v>
      </c>
      <c r="G1626" t="s">
        <v>50</v>
      </c>
      <c r="H1626" t="s">
        <v>51</v>
      </c>
      <c r="I1626" t="s">
        <v>136</v>
      </c>
      <c r="J1626" t="s">
        <v>4916</v>
      </c>
      <c r="L1626" t="s">
        <v>1684</v>
      </c>
    </row>
    <row r="1627" spans="1:12" x14ac:dyDescent="0.25">
      <c r="A1627" t="s">
        <v>5046</v>
      </c>
      <c r="B1627" t="s">
        <v>5047</v>
      </c>
      <c r="C1627" t="s">
        <v>5048</v>
      </c>
      <c r="F1627" t="s">
        <v>592</v>
      </c>
      <c r="G1627" t="s">
        <v>50</v>
      </c>
      <c r="H1627" t="s">
        <v>51</v>
      </c>
      <c r="I1627" t="s">
        <v>136</v>
      </c>
      <c r="J1627" t="s">
        <v>4916</v>
      </c>
      <c r="L1627" t="s">
        <v>1684</v>
      </c>
    </row>
    <row r="1628" spans="1:12" x14ac:dyDescent="0.25">
      <c r="A1628" t="s">
        <v>5049</v>
      </c>
      <c r="B1628" t="s">
        <v>5050</v>
      </c>
      <c r="C1628" t="s">
        <v>5051</v>
      </c>
      <c r="F1628" t="s">
        <v>5052</v>
      </c>
      <c r="G1628" t="s">
        <v>50</v>
      </c>
      <c r="H1628" t="s">
        <v>51</v>
      </c>
      <c r="I1628" t="s">
        <v>136</v>
      </c>
      <c r="J1628" t="s">
        <v>4916</v>
      </c>
      <c r="L1628" t="s">
        <v>1684</v>
      </c>
    </row>
    <row r="1629" spans="1:12" x14ac:dyDescent="0.25">
      <c r="A1629" t="s">
        <v>5053</v>
      </c>
      <c r="B1629" t="s">
        <v>5054</v>
      </c>
      <c r="C1629" t="s">
        <v>5055</v>
      </c>
      <c r="F1629" t="s">
        <v>4947</v>
      </c>
      <c r="G1629" t="s">
        <v>50</v>
      </c>
      <c r="H1629" t="s">
        <v>51</v>
      </c>
      <c r="I1629" t="s">
        <v>136</v>
      </c>
      <c r="J1629" t="s">
        <v>4916</v>
      </c>
      <c r="L1629" t="s">
        <v>1684</v>
      </c>
    </row>
    <row r="1630" spans="1:12" x14ac:dyDescent="0.25">
      <c r="A1630" t="s">
        <v>5056</v>
      </c>
      <c r="B1630" t="s">
        <v>5057</v>
      </c>
      <c r="C1630" t="s">
        <v>5058</v>
      </c>
      <c r="F1630" t="s">
        <v>5059</v>
      </c>
      <c r="G1630" t="s">
        <v>50</v>
      </c>
      <c r="H1630" t="s">
        <v>51</v>
      </c>
      <c r="I1630" t="s">
        <v>136</v>
      </c>
      <c r="J1630" t="s">
        <v>4916</v>
      </c>
      <c r="L1630" t="s">
        <v>1684</v>
      </c>
    </row>
    <row r="1631" spans="1:12" x14ac:dyDescent="0.25">
      <c r="A1631" t="s">
        <v>5060</v>
      </c>
      <c r="B1631" t="s">
        <v>5061</v>
      </c>
      <c r="C1631" t="s">
        <v>5062</v>
      </c>
      <c r="F1631" t="s">
        <v>310</v>
      </c>
      <c r="G1631" t="s">
        <v>50</v>
      </c>
      <c r="H1631" t="s">
        <v>51</v>
      </c>
      <c r="I1631" t="s">
        <v>136</v>
      </c>
      <c r="J1631" t="s">
        <v>4916</v>
      </c>
      <c r="L1631" t="s">
        <v>1684</v>
      </c>
    </row>
    <row r="1632" spans="1:12" x14ac:dyDescent="0.25">
      <c r="A1632" t="s">
        <v>5063</v>
      </c>
      <c r="B1632" t="s">
        <v>5064</v>
      </c>
      <c r="C1632" t="s">
        <v>5065</v>
      </c>
      <c r="F1632" t="s">
        <v>5066</v>
      </c>
      <c r="G1632" t="s">
        <v>50</v>
      </c>
      <c r="H1632" t="s">
        <v>51</v>
      </c>
      <c r="I1632" t="s">
        <v>136</v>
      </c>
      <c r="J1632" t="s">
        <v>4916</v>
      </c>
      <c r="L1632" t="s">
        <v>1684</v>
      </c>
    </row>
    <row r="1633" spans="1:12" x14ac:dyDescent="0.25">
      <c r="A1633" t="s">
        <v>5067</v>
      </c>
      <c r="B1633" t="s">
        <v>5068</v>
      </c>
      <c r="C1633" t="s">
        <v>5069</v>
      </c>
      <c r="F1633" t="s">
        <v>5070</v>
      </c>
      <c r="G1633" t="s">
        <v>50</v>
      </c>
      <c r="H1633" t="s">
        <v>51</v>
      </c>
      <c r="I1633" t="s">
        <v>136</v>
      </c>
      <c r="J1633" t="s">
        <v>4916</v>
      </c>
      <c r="L1633" t="s">
        <v>1684</v>
      </c>
    </row>
    <row r="1634" spans="1:12" x14ac:dyDescent="0.25">
      <c r="A1634" t="s">
        <v>5071</v>
      </c>
      <c r="B1634" t="s">
        <v>5072</v>
      </c>
      <c r="C1634" t="s">
        <v>5073</v>
      </c>
      <c r="F1634" t="s">
        <v>5074</v>
      </c>
      <c r="G1634" t="s">
        <v>50</v>
      </c>
      <c r="H1634" t="s">
        <v>51</v>
      </c>
      <c r="I1634" t="s">
        <v>136</v>
      </c>
      <c r="J1634" t="s">
        <v>4916</v>
      </c>
      <c r="L1634" t="s">
        <v>1684</v>
      </c>
    </row>
    <row r="1635" spans="1:12" x14ac:dyDescent="0.25">
      <c r="A1635" t="s">
        <v>5075</v>
      </c>
      <c r="B1635" t="s">
        <v>5076</v>
      </c>
      <c r="C1635" t="s">
        <v>5077</v>
      </c>
      <c r="F1635" t="s">
        <v>5078</v>
      </c>
      <c r="G1635" t="s">
        <v>50</v>
      </c>
      <c r="H1635" t="s">
        <v>51</v>
      </c>
      <c r="I1635" t="s">
        <v>136</v>
      </c>
      <c r="J1635" t="s">
        <v>4916</v>
      </c>
      <c r="L1635" t="s">
        <v>1684</v>
      </c>
    </row>
    <row r="1636" spans="1:12" x14ac:dyDescent="0.25">
      <c r="A1636" t="s">
        <v>5079</v>
      </c>
      <c r="B1636" t="s">
        <v>5080</v>
      </c>
      <c r="C1636" t="s">
        <v>5081</v>
      </c>
      <c r="F1636" t="s">
        <v>678</v>
      </c>
      <c r="G1636" t="s">
        <v>50</v>
      </c>
      <c r="H1636" t="s">
        <v>51</v>
      </c>
      <c r="I1636" t="s">
        <v>136</v>
      </c>
      <c r="J1636" t="s">
        <v>4916</v>
      </c>
      <c r="L1636" t="s">
        <v>1684</v>
      </c>
    </row>
    <row r="1637" spans="1:12" x14ac:dyDescent="0.25">
      <c r="A1637" t="s">
        <v>5082</v>
      </c>
      <c r="B1637" t="s">
        <v>5083</v>
      </c>
      <c r="C1637" t="s">
        <v>5084</v>
      </c>
      <c r="F1637" t="s">
        <v>2662</v>
      </c>
      <c r="G1637" t="s">
        <v>50</v>
      </c>
      <c r="H1637" t="s">
        <v>51</v>
      </c>
      <c r="I1637" t="s">
        <v>136</v>
      </c>
      <c r="J1637" t="s">
        <v>4916</v>
      </c>
      <c r="L1637" t="s">
        <v>1684</v>
      </c>
    </row>
    <row r="1638" spans="1:12" x14ac:dyDescent="0.25">
      <c r="A1638" t="s">
        <v>5085</v>
      </c>
      <c r="B1638" t="s">
        <v>5086</v>
      </c>
      <c r="C1638" t="s">
        <v>5087</v>
      </c>
      <c r="F1638" t="s">
        <v>5088</v>
      </c>
      <c r="G1638" t="s">
        <v>50</v>
      </c>
      <c r="H1638" t="s">
        <v>51</v>
      </c>
      <c r="I1638" t="s">
        <v>136</v>
      </c>
      <c r="J1638" t="s">
        <v>4916</v>
      </c>
      <c r="L1638" t="s">
        <v>1684</v>
      </c>
    </row>
    <row r="1639" spans="1:12" x14ac:dyDescent="0.25">
      <c r="A1639" t="s">
        <v>5089</v>
      </c>
      <c r="B1639" t="s">
        <v>5090</v>
      </c>
      <c r="C1639" t="s">
        <v>5091</v>
      </c>
      <c r="F1639" t="s">
        <v>2418</v>
      </c>
      <c r="G1639" t="s">
        <v>50</v>
      </c>
      <c r="H1639" t="s">
        <v>51</v>
      </c>
      <c r="I1639" t="s">
        <v>136</v>
      </c>
      <c r="J1639" t="s">
        <v>4916</v>
      </c>
      <c r="L1639" t="s">
        <v>1684</v>
      </c>
    </row>
    <row r="1640" spans="1:12" x14ac:dyDescent="0.25">
      <c r="A1640" t="s">
        <v>5092</v>
      </c>
      <c r="B1640" t="s">
        <v>5093</v>
      </c>
      <c r="C1640" t="s">
        <v>5094</v>
      </c>
      <c r="F1640" t="s">
        <v>468</v>
      </c>
      <c r="G1640" t="s">
        <v>50</v>
      </c>
      <c r="H1640" t="s">
        <v>51</v>
      </c>
      <c r="I1640" t="s">
        <v>136</v>
      </c>
      <c r="J1640" t="s">
        <v>4916</v>
      </c>
      <c r="L1640" t="s">
        <v>1684</v>
      </c>
    </row>
    <row r="1641" spans="1:12" x14ac:dyDescent="0.25">
      <c r="A1641" t="s">
        <v>5095</v>
      </c>
      <c r="B1641" t="s">
        <v>5096</v>
      </c>
      <c r="C1641" t="s">
        <v>5097</v>
      </c>
      <c r="F1641" t="s">
        <v>468</v>
      </c>
      <c r="G1641" t="s">
        <v>50</v>
      </c>
      <c r="H1641" t="s">
        <v>51</v>
      </c>
      <c r="I1641" t="s">
        <v>136</v>
      </c>
      <c r="J1641" t="s">
        <v>4916</v>
      </c>
      <c r="L1641" t="s">
        <v>1684</v>
      </c>
    </row>
    <row r="1642" spans="1:12" x14ac:dyDescent="0.25">
      <c r="A1642" t="s">
        <v>5098</v>
      </c>
      <c r="B1642" t="s">
        <v>5099</v>
      </c>
      <c r="C1642" t="s">
        <v>5100</v>
      </c>
      <c r="F1642" t="s">
        <v>2725</v>
      </c>
      <c r="G1642" t="s">
        <v>50</v>
      </c>
      <c r="H1642" t="s">
        <v>51</v>
      </c>
      <c r="I1642" t="s">
        <v>136</v>
      </c>
      <c r="J1642" t="s">
        <v>4916</v>
      </c>
      <c r="L1642" t="s">
        <v>1684</v>
      </c>
    </row>
    <row r="1643" spans="1:12" x14ac:dyDescent="0.25">
      <c r="A1643" t="s">
        <v>5101</v>
      </c>
      <c r="B1643" t="s">
        <v>5102</v>
      </c>
      <c r="C1643" t="s">
        <v>5103</v>
      </c>
      <c r="F1643" t="s">
        <v>2574</v>
      </c>
      <c r="G1643" t="s">
        <v>50</v>
      </c>
      <c r="H1643" t="s">
        <v>51</v>
      </c>
      <c r="I1643" t="s">
        <v>136</v>
      </c>
      <c r="J1643" t="s">
        <v>4916</v>
      </c>
      <c r="L1643" t="s">
        <v>1684</v>
      </c>
    </row>
    <row r="1644" spans="1:12" x14ac:dyDescent="0.25">
      <c r="A1644" t="s">
        <v>5104</v>
      </c>
      <c r="B1644" t="s">
        <v>5105</v>
      </c>
      <c r="C1644" t="s">
        <v>5106</v>
      </c>
      <c r="F1644" t="s">
        <v>565</v>
      </c>
      <c r="G1644" t="s">
        <v>50</v>
      </c>
      <c r="H1644" t="s">
        <v>51</v>
      </c>
      <c r="I1644" t="s">
        <v>136</v>
      </c>
      <c r="J1644" t="s">
        <v>4916</v>
      </c>
      <c r="L1644" t="s">
        <v>1684</v>
      </c>
    </row>
    <row r="1645" spans="1:12" x14ac:dyDescent="0.25">
      <c r="A1645" t="s">
        <v>5107</v>
      </c>
      <c r="B1645" t="s">
        <v>5108</v>
      </c>
      <c r="C1645" t="s">
        <v>5109</v>
      </c>
      <c r="F1645" t="s">
        <v>5110</v>
      </c>
      <c r="G1645" t="s">
        <v>50</v>
      </c>
      <c r="H1645" t="s">
        <v>51</v>
      </c>
      <c r="I1645" t="s">
        <v>136</v>
      </c>
      <c r="J1645" t="s">
        <v>4916</v>
      </c>
      <c r="L1645" t="s">
        <v>1684</v>
      </c>
    </row>
    <row r="1646" spans="1:12" x14ac:dyDescent="0.25">
      <c r="A1646" t="s">
        <v>5111</v>
      </c>
      <c r="B1646" t="s">
        <v>5112</v>
      </c>
      <c r="C1646" t="s">
        <v>5113</v>
      </c>
      <c r="F1646" t="s">
        <v>678</v>
      </c>
      <c r="G1646" t="s">
        <v>50</v>
      </c>
      <c r="H1646" t="s">
        <v>51</v>
      </c>
      <c r="I1646" t="s">
        <v>136</v>
      </c>
      <c r="J1646" t="s">
        <v>4916</v>
      </c>
      <c r="L1646" t="s">
        <v>1684</v>
      </c>
    </row>
    <row r="1647" spans="1:12" x14ac:dyDescent="0.25">
      <c r="A1647" t="s">
        <v>5114</v>
      </c>
      <c r="B1647" t="s">
        <v>5115</v>
      </c>
      <c r="C1647" t="s">
        <v>5116</v>
      </c>
      <c r="F1647" t="s">
        <v>5117</v>
      </c>
      <c r="G1647" t="s">
        <v>50</v>
      </c>
      <c r="H1647" t="s">
        <v>51</v>
      </c>
      <c r="I1647" t="s">
        <v>136</v>
      </c>
      <c r="J1647" t="s">
        <v>4916</v>
      </c>
      <c r="L1647" t="s">
        <v>1684</v>
      </c>
    </row>
    <row r="1648" spans="1:12" x14ac:dyDescent="0.25">
      <c r="A1648" t="s">
        <v>5118</v>
      </c>
      <c r="B1648" t="s">
        <v>5119</v>
      </c>
      <c r="C1648" t="s">
        <v>5120</v>
      </c>
      <c r="F1648" t="s">
        <v>943</v>
      </c>
      <c r="G1648" t="s">
        <v>50</v>
      </c>
      <c r="H1648" t="s">
        <v>51</v>
      </c>
      <c r="I1648" t="s">
        <v>136</v>
      </c>
      <c r="J1648" t="s">
        <v>4916</v>
      </c>
      <c r="L1648" t="s">
        <v>1684</v>
      </c>
    </row>
    <row r="1649" spans="1:12" x14ac:dyDescent="0.25">
      <c r="A1649" t="s">
        <v>5121</v>
      </c>
      <c r="B1649" t="s">
        <v>5122</v>
      </c>
      <c r="C1649" t="s">
        <v>5123</v>
      </c>
      <c r="F1649" t="s">
        <v>640</v>
      </c>
      <c r="G1649" t="s">
        <v>50</v>
      </c>
      <c r="H1649" t="s">
        <v>51</v>
      </c>
      <c r="I1649" t="s">
        <v>136</v>
      </c>
      <c r="J1649" t="s">
        <v>4916</v>
      </c>
      <c r="L1649" t="s">
        <v>1684</v>
      </c>
    </row>
    <row r="1650" spans="1:12" x14ac:dyDescent="0.25">
      <c r="A1650" t="s">
        <v>5124</v>
      </c>
      <c r="B1650" t="s">
        <v>5125</v>
      </c>
      <c r="C1650" t="s">
        <v>5126</v>
      </c>
      <c r="F1650" t="s">
        <v>2923</v>
      </c>
      <c r="G1650" t="s">
        <v>50</v>
      </c>
      <c r="H1650" t="s">
        <v>51</v>
      </c>
      <c r="I1650" t="s">
        <v>136</v>
      </c>
      <c r="J1650" t="s">
        <v>4916</v>
      </c>
      <c r="L1650" t="s">
        <v>1684</v>
      </c>
    </row>
    <row r="1651" spans="1:12" x14ac:dyDescent="0.25">
      <c r="A1651" t="s">
        <v>5127</v>
      </c>
      <c r="B1651" t="s">
        <v>5128</v>
      </c>
      <c r="C1651" t="s">
        <v>5129</v>
      </c>
      <c r="F1651" t="s">
        <v>1054</v>
      </c>
      <c r="G1651" t="s">
        <v>50</v>
      </c>
      <c r="H1651" t="s">
        <v>51</v>
      </c>
      <c r="I1651" t="s">
        <v>136</v>
      </c>
      <c r="J1651" t="s">
        <v>4916</v>
      </c>
      <c r="L1651" t="s">
        <v>1684</v>
      </c>
    </row>
    <row r="1652" spans="1:12" x14ac:dyDescent="0.25">
      <c r="A1652" t="s">
        <v>5130</v>
      </c>
      <c r="B1652" t="s">
        <v>5131</v>
      </c>
      <c r="C1652" t="s">
        <v>5132</v>
      </c>
      <c r="F1652" t="s">
        <v>115</v>
      </c>
      <c r="G1652" t="s">
        <v>50</v>
      </c>
      <c r="H1652" t="s">
        <v>51</v>
      </c>
      <c r="I1652" t="s">
        <v>136</v>
      </c>
      <c r="J1652" t="s">
        <v>4916</v>
      </c>
      <c r="L1652" t="s">
        <v>1684</v>
      </c>
    </row>
    <row r="1653" spans="1:12" x14ac:dyDescent="0.25">
      <c r="A1653" t="s">
        <v>5133</v>
      </c>
      <c r="B1653" t="s">
        <v>5134</v>
      </c>
      <c r="C1653" t="s">
        <v>5135</v>
      </c>
      <c r="F1653" t="s">
        <v>833</v>
      </c>
      <c r="G1653" t="s">
        <v>50</v>
      </c>
      <c r="H1653" t="s">
        <v>51</v>
      </c>
      <c r="I1653" t="s">
        <v>136</v>
      </c>
      <c r="J1653" t="s">
        <v>4916</v>
      </c>
      <c r="L1653" t="s">
        <v>1684</v>
      </c>
    </row>
    <row r="1654" spans="1:12" x14ac:dyDescent="0.25">
      <c r="A1654" t="s">
        <v>5136</v>
      </c>
      <c r="B1654" t="s">
        <v>5137</v>
      </c>
      <c r="C1654" t="s">
        <v>5138</v>
      </c>
      <c r="F1654" t="s">
        <v>172</v>
      </c>
      <c r="G1654" t="s">
        <v>50</v>
      </c>
      <c r="H1654" t="s">
        <v>51</v>
      </c>
      <c r="I1654" t="s">
        <v>136</v>
      </c>
      <c r="J1654" t="s">
        <v>4916</v>
      </c>
      <c r="L1654" t="s">
        <v>1684</v>
      </c>
    </row>
    <row r="1655" spans="1:12" x14ac:dyDescent="0.25">
      <c r="A1655" t="s">
        <v>5139</v>
      </c>
      <c r="B1655" t="s">
        <v>5140</v>
      </c>
      <c r="C1655" t="s">
        <v>5141</v>
      </c>
      <c r="F1655" t="s">
        <v>575</v>
      </c>
      <c r="G1655" t="s">
        <v>50</v>
      </c>
      <c r="H1655" t="s">
        <v>51</v>
      </c>
      <c r="I1655" t="s">
        <v>136</v>
      </c>
      <c r="J1655" t="s">
        <v>4916</v>
      </c>
      <c r="L1655" t="s">
        <v>1684</v>
      </c>
    </row>
    <row r="1656" spans="1:12" x14ac:dyDescent="0.25">
      <c r="A1656" t="s">
        <v>5142</v>
      </c>
      <c r="B1656" t="s">
        <v>5143</v>
      </c>
      <c r="C1656" t="s">
        <v>5144</v>
      </c>
      <c r="F1656" t="s">
        <v>5145</v>
      </c>
      <c r="G1656" t="s">
        <v>50</v>
      </c>
      <c r="H1656" t="s">
        <v>51</v>
      </c>
      <c r="I1656" t="s">
        <v>136</v>
      </c>
      <c r="J1656" t="s">
        <v>4916</v>
      </c>
      <c r="L1656" t="s">
        <v>1684</v>
      </c>
    </row>
    <row r="1657" spans="1:12" x14ac:dyDescent="0.25">
      <c r="A1657" t="s">
        <v>5146</v>
      </c>
      <c r="B1657" t="s">
        <v>5147</v>
      </c>
      <c r="C1657" t="s">
        <v>5148</v>
      </c>
      <c r="F1657" t="s">
        <v>314</v>
      </c>
      <c r="G1657" t="s">
        <v>50</v>
      </c>
      <c r="H1657" t="s">
        <v>51</v>
      </c>
      <c r="I1657" t="s">
        <v>136</v>
      </c>
      <c r="J1657" t="s">
        <v>4916</v>
      </c>
      <c r="L1657" t="s">
        <v>1684</v>
      </c>
    </row>
    <row r="1658" spans="1:12" x14ac:dyDescent="0.25">
      <c r="A1658" t="s">
        <v>5149</v>
      </c>
      <c r="B1658" t="s">
        <v>5150</v>
      </c>
      <c r="C1658" t="s">
        <v>5151</v>
      </c>
      <c r="F1658" t="s">
        <v>3213</v>
      </c>
      <c r="G1658" t="s">
        <v>50</v>
      </c>
      <c r="H1658" t="s">
        <v>51</v>
      </c>
      <c r="I1658" t="s">
        <v>136</v>
      </c>
      <c r="J1658" t="s">
        <v>4916</v>
      </c>
      <c r="L1658" t="s">
        <v>1684</v>
      </c>
    </row>
    <row r="1659" spans="1:12" x14ac:dyDescent="0.25">
      <c r="A1659" t="s">
        <v>5152</v>
      </c>
      <c r="B1659" t="s">
        <v>5153</v>
      </c>
      <c r="C1659" t="s">
        <v>5154</v>
      </c>
      <c r="F1659" t="s">
        <v>417</v>
      </c>
      <c r="G1659" t="s">
        <v>50</v>
      </c>
      <c r="H1659" t="s">
        <v>51</v>
      </c>
      <c r="I1659" t="s">
        <v>136</v>
      </c>
      <c r="J1659" t="s">
        <v>4916</v>
      </c>
      <c r="L1659" t="s">
        <v>1684</v>
      </c>
    </row>
    <row r="1660" spans="1:12" x14ac:dyDescent="0.25">
      <c r="A1660" t="s">
        <v>5155</v>
      </c>
      <c r="B1660" t="s">
        <v>2807</v>
      </c>
      <c r="C1660" t="s">
        <v>5156</v>
      </c>
      <c r="F1660" t="s">
        <v>314</v>
      </c>
      <c r="G1660" t="s">
        <v>50</v>
      </c>
      <c r="H1660" t="s">
        <v>51</v>
      </c>
      <c r="I1660" t="s">
        <v>136</v>
      </c>
      <c r="J1660" t="s">
        <v>4916</v>
      </c>
      <c r="L1660" t="s">
        <v>1684</v>
      </c>
    </row>
    <row r="1661" spans="1:12" x14ac:dyDescent="0.25">
      <c r="A1661" t="s">
        <v>5157</v>
      </c>
      <c r="B1661" t="s">
        <v>5158</v>
      </c>
      <c r="C1661" t="s">
        <v>5159</v>
      </c>
      <c r="F1661" t="s">
        <v>2923</v>
      </c>
      <c r="G1661" t="s">
        <v>50</v>
      </c>
      <c r="H1661" t="s">
        <v>51</v>
      </c>
      <c r="I1661" t="s">
        <v>136</v>
      </c>
      <c r="J1661" t="s">
        <v>4916</v>
      </c>
      <c r="L1661" t="s">
        <v>1684</v>
      </c>
    </row>
    <row r="1662" spans="1:12" x14ac:dyDescent="0.25">
      <c r="A1662" t="s">
        <v>5160</v>
      </c>
      <c r="B1662" t="s">
        <v>5161</v>
      </c>
      <c r="C1662" t="s">
        <v>5162</v>
      </c>
      <c r="F1662" t="s">
        <v>5163</v>
      </c>
      <c r="G1662" t="s">
        <v>50</v>
      </c>
      <c r="H1662" t="s">
        <v>51</v>
      </c>
      <c r="I1662" t="s">
        <v>136</v>
      </c>
      <c r="J1662" t="s">
        <v>4916</v>
      </c>
      <c r="L1662" t="s">
        <v>1684</v>
      </c>
    </row>
    <row r="1663" spans="1:12" x14ac:dyDescent="0.25">
      <c r="A1663" t="s">
        <v>5164</v>
      </c>
      <c r="B1663" t="s">
        <v>5165</v>
      </c>
      <c r="C1663" t="s">
        <v>5166</v>
      </c>
      <c r="F1663" t="s">
        <v>1127</v>
      </c>
      <c r="G1663" t="s">
        <v>50</v>
      </c>
      <c r="H1663" t="s">
        <v>51</v>
      </c>
      <c r="I1663" t="s">
        <v>136</v>
      </c>
      <c r="J1663" t="s">
        <v>4916</v>
      </c>
      <c r="L1663" t="s">
        <v>1684</v>
      </c>
    </row>
    <row r="1664" spans="1:12" x14ac:dyDescent="0.25">
      <c r="A1664" t="s">
        <v>5167</v>
      </c>
      <c r="B1664" t="s">
        <v>5168</v>
      </c>
      <c r="C1664" t="s">
        <v>5169</v>
      </c>
      <c r="F1664" t="s">
        <v>1095</v>
      </c>
      <c r="G1664" t="s">
        <v>50</v>
      </c>
      <c r="H1664" t="s">
        <v>51</v>
      </c>
      <c r="I1664" t="s">
        <v>136</v>
      </c>
      <c r="J1664" t="s">
        <v>4916</v>
      </c>
      <c r="L1664" t="s">
        <v>1684</v>
      </c>
    </row>
    <row r="1665" spans="1:12" x14ac:dyDescent="0.25">
      <c r="A1665" t="s">
        <v>5170</v>
      </c>
      <c r="B1665" t="s">
        <v>5171</v>
      </c>
      <c r="C1665" t="s">
        <v>5172</v>
      </c>
      <c r="F1665" t="s">
        <v>678</v>
      </c>
      <c r="G1665" t="s">
        <v>50</v>
      </c>
      <c r="H1665" t="s">
        <v>51</v>
      </c>
      <c r="I1665" t="s">
        <v>136</v>
      </c>
      <c r="J1665" t="s">
        <v>4916</v>
      </c>
      <c r="L1665" t="s">
        <v>1684</v>
      </c>
    </row>
    <row r="1666" spans="1:12" x14ac:dyDescent="0.25">
      <c r="A1666" t="s">
        <v>5173</v>
      </c>
      <c r="B1666" t="s">
        <v>5174</v>
      </c>
      <c r="C1666" t="s">
        <v>5175</v>
      </c>
      <c r="F1666" t="s">
        <v>997</v>
      </c>
      <c r="G1666" t="s">
        <v>50</v>
      </c>
      <c r="H1666" t="s">
        <v>51</v>
      </c>
      <c r="I1666" t="s">
        <v>136</v>
      </c>
      <c r="J1666" t="s">
        <v>4916</v>
      </c>
      <c r="L1666" t="s">
        <v>1684</v>
      </c>
    </row>
    <row r="1667" spans="1:12" x14ac:dyDescent="0.25">
      <c r="A1667" t="s">
        <v>5176</v>
      </c>
      <c r="B1667" t="s">
        <v>5177</v>
      </c>
      <c r="C1667" t="s">
        <v>5178</v>
      </c>
      <c r="F1667" t="s">
        <v>2961</v>
      </c>
      <c r="G1667" t="s">
        <v>50</v>
      </c>
      <c r="H1667" t="s">
        <v>51</v>
      </c>
      <c r="I1667" t="s">
        <v>136</v>
      </c>
      <c r="J1667" t="s">
        <v>4916</v>
      </c>
      <c r="L1667" t="s">
        <v>1684</v>
      </c>
    </row>
    <row r="1668" spans="1:12" x14ac:dyDescent="0.25">
      <c r="A1668" t="s">
        <v>5179</v>
      </c>
      <c r="B1668" t="s">
        <v>5180</v>
      </c>
      <c r="C1668" t="s">
        <v>5181</v>
      </c>
      <c r="F1668" t="s">
        <v>5059</v>
      </c>
      <c r="G1668" t="s">
        <v>50</v>
      </c>
      <c r="H1668" t="s">
        <v>51</v>
      </c>
      <c r="I1668" t="s">
        <v>136</v>
      </c>
      <c r="J1668" t="s">
        <v>4916</v>
      </c>
      <c r="L1668" t="s">
        <v>1684</v>
      </c>
    </row>
    <row r="1669" spans="1:12" x14ac:dyDescent="0.25">
      <c r="A1669" t="s">
        <v>5182</v>
      </c>
      <c r="B1669" t="s">
        <v>5183</v>
      </c>
      <c r="C1669" t="s">
        <v>5184</v>
      </c>
      <c r="F1669" t="s">
        <v>475</v>
      </c>
      <c r="G1669" t="s">
        <v>50</v>
      </c>
      <c r="H1669" t="s">
        <v>51</v>
      </c>
      <c r="I1669" t="s">
        <v>136</v>
      </c>
      <c r="J1669" t="s">
        <v>4916</v>
      </c>
      <c r="L1669" t="s">
        <v>1684</v>
      </c>
    </row>
    <row r="1670" spans="1:12" x14ac:dyDescent="0.25">
      <c r="A1670" t="s">
        <v>5185</v>
      </c>
      <c r="B1670" t="s">
        <v>5186</v>
      </c>
      <c r="C1670" t="s">
        <v>5187</v>
      </c>
      <c r="F1670" t="s">
        <v>5188</v>
      </c>
      <c r="G1670" t="s">
        <v>50</v>
      </c>
      <c r="H1670" t="s">
        <v>51</v>
      </c>
      <c r="I1670" t="s">
        <v>136</v>
      </c>
      <c r="J1670" t="s">
        <v>4916</v>
      </c>
      <c r="L1670" t="s">
        <v>1684</v>
      </c>
    </row>
    <row r="1671" spans="1:12" x14ac:dyDescent="0.25">
      <c r="A1671" t="s">
        <v>5189</v>
      </c>
      <c r="B1671" t="s">
        <v>392</v>
      </c>
      <c r="C1671" t="s">
        <v>5190</v>
      </c>
      <c r="F1671" t="s">
        <v>2923</v>
      </c>
      <c r="G1671" t="s">
        <v>50</v>
      </c>
      <c r="H1671" t="s">
        <v>51</v>
      </c>
      <c r="I1671" t="s">
        <v>136</v>
      </c>
      <c r="J1671" t="s">
        <v>4916</v>
      </c>
      <c r="L1671" t="s">
        <v>1684</v>
      </c>
    </row>
    <row r="1672" spans="1:12" x14ac:dyDescent="0.25">
      <c r="A1672" t="s">
        <v>5191</v>
      </c>
      <c r="B1672" t="s">
        <v>5192</v>
      </c>
      <c r="F1672" t="s">
        <v>5193</v>
      </c>
      <c r="G1672" t="s">
        <v>5194</v>
      </c>
      <c r="H1672" t="s">
        <v>51</v>
      </c>
      <c r="I1672" t="s">
        <v>52</v>
      </c>
      <c r="J1672" t="s">
        <v>5195</v>
      </c>
      <c r="L1672" t="s">
        <v>1684</v>
      </c>
    </row>
    <row r="1673" spans="1:12" x14ac:dyDescent="0.25">
      <c r="A1673" t="s">
        <v>5196</v>
      </c>
      <c r="C1673" t="s">
        <v>5197</v>
      </c>
      <c r="E1673" t="s">
        <v>5198</v>
      </c>
      <c r="F1673" t="s">
        <v>1364</v>
      </c>
      <c r="G1673" t="s">
        <v>5194</v>
      </c>
      <c r="H1673" t="s">
        <v>51</v>
      </c>
      <c r="I1673" t="s">
        <v>52</v>
      </c>
      <c r="J1673" t="s">
        <v>5195</v>
      </c>
      <c r="L1673" t="s">
        <v>1684</v>
      </c>
    </row>
    <row r="1674" spans="1:12" x14ac:dyDescent="0.25">
      <c r="A1674" t="s">
        <v>5199</v>
      </c>
      <c r="B1674" t="s">
        <v>5200</v>
      </c>
      <c r="C1674" t="s">
        <v>5201</v>
      </c>
      <c r="F1674" t="s">
        <v>2442</v>
      </c>
      <c r="G1674" t="s">
        <v>5194</v>
      </c>
      <c r="H1674" t="s">
        <v>51</v>
      </c>
      <c r="I1674" t="s">
        <v>52</v>
      </c>
      <c r="J1674" t="s">
        <v>5195</v>
      </c>
      <c r="L1674" t="s">
        <v>1684</v>
      </c>
    </row>
    <row r="1675" spans="1:12" x14ac:dyDescent="0.25">
      <c r="A1675" t="s">
        <v>5202</v>
      </c>
      <c r="B1675" t="s">
        <v>5203</v>
      </c>
      <c r="C1675" t="s">
        <v>5204</v>
      </c>
      <c r="F1675" t="s">
        <v>1929</v>
      </c>
      <c r="G1675" t="s">
        <v>5194</v>
      </c>
      <c r="H1675" t="s">
        <v>51</v>
      </c>
      <c r="I1675" t="s">
        <v>52</v>
      </c>
      <c r="J1675" t="s">
        <v>5195</v>
      </c>
      <c r="L1675" t="s">
        <v>1684</v>
      </c>
    </row>
    <row r="1676" spans="1:12" x14ac:dyDescent="0.25">
      <c r="A1676" t="s">
        <v>5205</v>
      </c>
      <c r="B1676" t="s">
        <v>5206</v>
      </c>
      <c r="C1676" t="s">
        <v>5207</v>
      </c>
      <c r="F1676" t="s">
        <v>1809</v>
      </c>
      <c r="G1676" t="s">
        <v>5194</v>
      </c>
      <c r="H1676" t="s">
        <v>51</v>
      </c>
      <c r="I1676" t="s">
        <v>52</v>
      </c>
      <c r="J1676" t="s">
        <v>5195</v>
      </c>
      <c r="L1676" t="s">
        <v>1684</v>
      </c>
    </row>
    <row r="1677" spans="1:12" x14ac:dyDescent="0.25">
      <c r="A1677" t="s">
        <v>5208</v>
      </c>
      <c r="B1677" t="s">
        <v>5209</v>
      </c>
      <c r="C1677" t="s">
        <v>5210</v>
      </c>
      <c r="F1677" t="s">
        <v>2442</v>
      </c>
      <c r="G1677" t="s">
        <v>5194</v>
      </c>
      <c r="H1677" t="s">
        <v>51</v>
      </c>
      <c r="I1677" t="s">
        <v>52</v>
      </c>
      <c r="J1677" t="s">
        <v>5195</v>
      </c>
      <c r="L1677" t="s">
        <v>1684</v>
      </c>
    </row>
    <row r="1678" spans="1:12" x14ac:dyDescent="0.25">
      <c r="A1678" t="s">
        <v>5211</v>
      </c>
      <c r="B1678" t="s">
        <v>5212</v>
      </c>
      <c r="C1678" t="s">
        <v>5213</v>
      </c>
      <c r="F1678" t="s">
        <v>3584</v>
      </c>
      <c r="G1678" t="s">
        <v>5194</v>
      </c>
      <c r="H1678" t="s">
        <v>51</v>
      </c>
      <c r="I1678" t="s">
        <v>52</v>
      </c>
      <c r="J1678" t="s">
        <v>5195</v>
      </c>
      <c r="L1678" t="s">
        <v>1684</v>
      </c>
    </row>
    <row r="1679" spans="1:12" x14ac:dyDescent="0.25">
      <c r="A1679" t="s">
        <v>5214</v>
      </c>
      <c r="B1679" t="s">
        <v>5215</v>
      </c>
      <c r="C1679" t="s">
        <v>5216</v>
      </c>
      <c r="F1679" t="s">
        <v>1596</v>
      </c>
      <c r="G1679" t="s">
        <v>5194</v>
      </c>
      <c r="H1679" t="s">
        <v>51</v>
      </c>
      <c r="I1679" t="s">
        <v>52</v>
      </c>
      <c r="J1679" t="s">
        <v>5195</v>
      </c>
      <c r="L1679" t="s">
        <v>1684</v>
      </c>
    </row>
    <row r="1680" spans="1:12" x14ac:dyDescent="0.25">
      <c r="A1680" t="s">
        <v>5217</v>
      </c>
      <c r="B1680" t="s">
        <v>5218</v>
      </c>
      <c r="C1680" t="s">
        <v>5219</v>
      </c>
      <c r="F1680" t="s">
        <v>1593</v>
      </c>
      <c r="G1680" t="s">
        <v>5194</v>
      </c>
      <c r="H1680" t="s">
        <v>51</v>
      </c>
      <c r="I1680" t="s">
        <v>52</v>
      </c>
      <c r="J1680" t="s">
        <v>5195</v>
      </c>
      <c r="L1680" t="s">
        <v>1684</v>
      </c>
    </row>
    <row r="1681" spans="1:12" x14ac:dyDescent="0.25">
      <c r="A1681" t="s">
        <v>5220</v>
      </c>
      <c r="B1681" t="s">
        <v>5221</v>
      </c>
      <c r="C1681" t="s">
        <v>5222</v>
      </c>
      <c r="F1681" t="s">
        <v>5223</v>
      </c>
      <c r="G1681" t="s">
        <v>5194</v>
      </c>
      <c r="H1681" t="s">
        <v>51</v>
      </c>
      <c r="I1681" t="s">
        <v>52</v>
      </c>
      <c r="J1681" t="s">
        <v>5195</v>
      </c>
      <c r="L1681" t="s">
        <v>1684</v>
      </c>
    </row>
    <row r="1682" spans="1:12" x14ac:dyDescent="0.25">
      <c r="A1682" t="s">
        <v>5224</v>
      </c>
      <c r="B1682" t="s">
        <v>5225</v>
      </c>
      <c r="C1682" t="s">
        <v>5226</v>
      </c>
      <c r="F1682" t="s">
        <v>2427</v>
      </c>
      <c r="G1682" t="s">
        <v>5194</v>
      </c>
      <c r="H1682" t="s">
        <v>51</v>
      </c>
      <c r="I1682" t="s">
        <v>52</v>
      </c>
      <c r="J1682" t="s">
        <v>5195</v>
      </c>
      <c r="L1682" t="s">
        <v>1684</v>
      </c>
    </row>
    <row r="1683" spans="1:12" x14ac:dyDescent="0.25">
      <c r="A1683" t="s">
        <v>5227</v>
      </c>
      <c r="B1683" t="s">
        <v>5228</v>
      </c>
      <c r="C1683" t="s">
        <v>5229</v>
      </c>
      <c r="F1683" t="s">
        <v>3536</v>
      </c>
      <c r="G1683" t="s">
        <v>5194</v>
      </c>
      <c r="H1683" t="s">
        <v>51</v>
      </c>
      <c r="I1683" t="s">
        <v>52</v>
      </c>
      <c r="J1683" t="s">
        <v>5195</v>
      </c>
      <c r="L1683" t="s">
        <v>1684</v>
      </c>
    </row>
    <row r="1684" spans="1:12" x14ac:dyDescent="0.25">
      <c r="A1684" t="s">
        <v>5230</v>
      </c>
      <c r="B1684" t="s">
        <v>5231</v>
      </c>
      <c r="C1684" t="s">
        <v>5232</v>
      </c>
      <c r="F1684" t="s">
        <v>1775</v>
      </c>
      <c r="G1684" t="s">
        <v>5194</v>
      </c>
      <c r="H1684" t="s">
        <v>51</v>
      </c>
      <c r="I1684" t="s">
        <v>52</v>
      </c>
      <c r="J1684" t="s">
        <v>5195</v>
      </c>
      <c r="L1684" t="s">
        <v>1684</v>
      </c>
    </row>
    <row r="1685" spans="1:12" x14ac:dyDescent="0.25">
      <c r="A1685" t="s">
        <v>5233</v>
      </c>
      <c r="B1685" t="s">
        <v>5234</v>
      </c>
      <c r="C1685" t="s">
        <v>5235</v>
      </c>
      <c r="F1685" t="s">
        <v>285</v>
      </c>
      <c r="G1685" t="s">
        <v>50</v>
      </c>
      <c r="H1685" t="s">
        <v>51</v>
      </c>
      <c r="I1685" t="s">
        <v>136</v>
      </c>
      <c r="J1685" t="s">
        <v>4916</v>
      </c>
      <c r="L1685" t="s">
        <v>1684</v>
      </c>
    </row>
    <row r="1686" spans="1:12" x14ac:dyDescent="0.25">
      <c r="A1686" t="s">
        <v>5236</v>
      </c>
      <c r="B1686" t="s">
        <v>5237</v>
      </c>
      <c r="C1686" t="s">
        <v>5238</v>
      </c>
      <c r="F1686" t="s">
        <v>547</v>
      </c>
      <c r="G1686" t="s">
        <v>50</v>
      </c>
      <c r="H1686" t="s">
        <v>51</v>
      </c>
      <c r="I1686" t="s">
        <v>136</v>
      </c>
      <c r="J1686" t="s">
        <v>4916</v>
      </c>
      <c r="L1686" t="s">
        <v>1684</v>
      </c>
    </row>
    <row r="1687" spans="1:12" x14ac:dyDescent="0.25">
      <c r="A1687" t="s">
        <v>5239</v>
      </c>
      <c r="B1687" t="s">
        <v>5240</v>
      </c>
      <c r="C1687" t="s">
        <v>5241</v>
      </c>
      <c r="F1687" t="s">
        <v>838</v>
      </c>
      <c r="G1687" t="s">
        <v>50</v>
      </c>
      <c r="H1687" t="s">
        <v>51</v>
      </c>
      <c r="I1687" t="s">
        <v>136</v>
      </c>
      <c r="J1687" t="s">
        <v>4916</v>
      </c>
      <c r="L1687" t="s">
        <v>1684</v>
      </c>
    </row>
    <row r="1688" spans="1:12" x14ac:dyDescent="0.25">
      <c r="A1688" t="s">
        <v>5242</v>
      </c>
      <c r="B1688" t="s">
        <v>5243</v>
      </c>
      <c r="C1688" t="s">
        <v>5244</v>
      </c>
      <c r="F1688" t="s">
        <v>160</v>
      </c>
      <c r="G1688" t="s">
        <v>50</v>
      </c>
      <c r="H1688" t="s">
        <v>51</v>
      </c>
      <c r="I1688" t="s">
        <v>136</v>
      </c>
      <c r="J1688" t="s">
        <v>4916</v>
      </c>
      <c r="L1688" t="s">
        <v>1684</v>
      </c>
    </row>
    <row r="1689" spans="1:12" x14ac:dyDescent="0.25">
      <c r="A1689" t="s">
        <v>5245</v>
      </c>
      <c r="B1689" t="s">
        <v>5246</v>
      </c>
      <c r="C1689" t="s">
        <v>5247</v>
      </c>
      <c r="F1689" t="s">
        <v>2549</v>
      </c>
      <c r="G1689" t="s">
        <v>50</v>
      </c>
      <c r="H1689" t="s">
        <v>51</v>
      </c>
      <c r="I1689" t="s">
        <v>136</v>
      </c>
      <c r="J1689" t="s">
        <v>4916</v>
      </c>
      <c r="L1689" t="s">
        <v>1684</v>
      </c>
    </row>
    <row r="1690" spans="1:12" x14ac:dyDescent="0.25">
      <c r="A1690" t="s">
        <v>5248</v>
      </c>
      <c r="B1690" t="s">
        <v>5249</v>
      </c>
      <c r="C1690" t="s">
        <v>5250</v>
      </c>
      <c r="F1690" t="s">
        <v>863</v>
      </c>
      <c r="G1690" t="s">
        <v>50</v>
      </c>
      <c r="H1690" t="s">
        <v>51</v>
      </c>
      <c r="I1690" t="s">
        <v>136</v>
      </c>
      <c r="J1690" t="s">
        <v>4916</v>
      </c>
      <c r="L1690" t="s">
        <v>1684</v>
      </c>
    </row>
    <row r="1691" spans="1:12" x14ac:dyDescent="0.25">
      <c r="A1691" t="s">
        <v>5251</v>
      </c>
      <c r="B1691" t="s">
        <v>5252</v>
      </c>
      <c r="C1691" t="s">
        <v>5253</v>
      </c>
      <c r="F1691" t="s">
        <v>2418</v>
      </c>
      <c r="G1691" t="s">
        <v>50</v>
      </c>
      <c r="H1691" t="s">
        <v>51</v>
      </c>
      <c r="I1691" t="s">
        <v>136</v>
      </c>
      <c r="J1691" t="s">
        <v>4916</v>
      </c>
      <c r="L1691" t="s">
        <v>1684</v>
      </c>
    </row>
    <row r="1692" spans="1:12" x14ac:dyDescent="0.25">
      <c r="A1692" t="s">
        <v>5254</v>
      </c>
      <c r="B1692" t="s">
        <v>5255</v>
      </c>
      <c r="C1692" t="s">
        <v>5256</v>
      </c>
      <c r="F1692" t="s">
        <v>257</v>
      </c>
      <c r="G1692" t="s">
        <v>50</v>
      </c>
      <c r="H1692" t="s">
        <v>51</v>
      </c>
      <c r="I1692" t="s">
        <v>136</v>
      </c>
      <c r="J1692" t="s">
        <v>4916</v>
      </c>
      <c r="L1692" t="s">
        <v>1684</v>
      </c>
    </row>
    <row r="1693" spans="1:12" x14ac:dyDescent="0.25">
      <c r="A1693" t="s">
        <v>5257</v>
      </c>
      <c r="B1693" t="s">
        <v>5258</v>
      </c>
      <c r="C1693" t="s">
        <v>5259</v>
      </c>
      <c r="F1693" t="s">
        <v>5260</v>
      </c>
      <c r="G1693" t="s">
        <v>50</v>
      </c>
      <c r="H1693" t="s">
        <v>51</v>
      </c>
      <c r="I1693" t="s">
        <v>136</v>
      </c>
      <c r="J1693" t="s">
        <v>4916</v>
      </c>
      <c r="L1693" t="s">
        <v>1684</v>
      </c>
    </row>
    <row r="1694" spans="1:12" x14ac:dyDescent="0.25">
      <c r="A1694" t="s">
        <v>5261</v>
      </c>
      <c r="B1694" t="s">
        <v>5262</v>
      </c>
      <c r="C1694" t="s">
        <v>5263</v>
      </c>
      <c r="F1694" t="s">
        <v>5264</v>
      </c>
      <c r="G1694" t="s">
        <v>50</v>
      </c>
      <c r="H1694" t="s">
        <v>51</v>
      </c>
      <c r="I1694" t="s">
        <v>136</v>
      </c>
      <c r="J1694" t="s">
        <v>4916</v>
      </c>
      <c r="L1694" t="s">
        <v>1684</v>
      </c>
    </row>
    <row r="1695" spans="1:12" x14ac:dyDescent="0.25">
      <c r="A1695" t="s">
        <v>5265</v>
      </c>
      <c r="B1695" t="s">
        <v>5266</v>
      </c>
      <c r="C1695" t="s">
        <v>5267</v>
      </c>
      <c r="F1695" t="s">
        <v>5268</v>
      </c>
      <c r="G1695" t="s">
        <v>50</v>
      </c>
      <c r="H1695" t="s">
        <v>51</v>
      </c>
      <c r="I1695" t="s">
        <v>136</v>
      </c>
      <c r="J1695" t="s">
        <v>4916</v>
      </c>
      <c r="L1695" t="s">
        <v>1684</v>
      </c>
    </row>
    <row r="1696" spans="1:12" x14ac:dyDescent="0.25">
      <c r="A1696" t="s">
        <v>5269</v>
      </c>
      <c r="B1696" t="s">
        <v>5270</v>
      </c>
      <c r="C1696" t="s">
        <v>5271</v>
      </c>
      <c r="F1696" t="s">
        <v>685</v>
      </c>
      <c r="G1696" t="s">
        <v>50</v>
      </c>
      <c r="H1696" t="s">
        <v>51</v>
      </c>
      <c r="I1696" t="s">
        <v>136</v>
      </c>
      <c r="J1696" t="s">
        <v>4916</v>
      </c>
      <c r="L1696" t="s">
        <v>1684</v>
      </c>
    </row>
    <row r="1697" spans="1:12" x14ac:dyDescent="0.25">
      <c r="A1697" t="s">
        <v>5272</v>
      </c>
      <c r="B1697" t="s">
        <v>5273</v>
      </c>
      <c r="C1697" t="s">
        <v>5274</v>
      </c>
      <c r="F1697" t="s">
        <v>135</v>
      </c>
      <c r="G1697" t="s">
        <v>50</v>
      </c>
      <c r="H1697" t="s">
        <v>51</v>
      </c>
      <c r="I1697" t="s">
        <v>136</v>
      </c>
      <c r="J1697" t="s">
        <v>4916</v>
      </c>
      <c r="L1697" t="s">
        <v>1684</v>
      </c>
    </row>
    <row r="1698" spans="1:12" x14ac:dyDescent="0.25">
      <c r="A1698" t="s">
        <v>5275</v>
      </c>
      <c r="B1698" t="s">
        <v>5276</v>
      </c>
      <c r="C1698" t="s">
        <v>5277</v>
      </c>
      <c r="F1698" t="s">
        <v>1367</v>
      </c>
      <c r="G1698" t="s">
        <v>50</v>
      </c>
      <c r="H1698" t="s">
        <v>51</v>
      </c>
      <c r="I1698" t="s">
        <v>136</v>
      </c>
      <c r="J1698" t="s">
        <v>4916</v>
      </c>
      <c r="L1698" t="s">
        <v>1684</v>
      </c>
    </row>
    <row r="1699" spans="1:12" x14ac:dyDescent="0.25">
      <c r="A1699" t="s">
        <v>5278</v>
      </c>
      <c r="B1699" t="s">
        <v>5279</v>
      </c>
      <c r="C1699" t="s">
        <v>5280</v>
      </c>
      <c r="F1699" t="s">
        <v>5281</v>
      </c>
      <c r="G1699" t="s">
        <v>50</v>
      </c>
      <c r="H1699" t="s">
        <v>51</v>
      </c>
      <c r="I1699" t="s">
        <v>136</v>
      </c>
      <c r="J1699" t="s">
        <v>4916</v>
      </c>
      <c r="L1699" t="s">
        <v>1684</v>
      </c>
    </row>
    <row r="1700" spans="1:12" x14ac:dyDescent="0.25">
      <c r="A1700" t="s">
        <v>5282</v>
      </c>
      <c r="B1700" t="s">
        <v>5283</v>
      </c>
      <c r="C1700" t="s">
        <v>5284</v>
      </c>
      <c r="F1700" t="s">
        <v>5285</v>
      </c>
      <c r="G1700" t="s">
        <v>50</v>
      </c>
      <c r="H1700" t="s">
        <v>51</v>
      </c>
      <c r="I1700" t="s">
        <v>136</v>
      </c>
      <c r="J1700" t="s">
        <v>4916</v>
      </c>
      <c r="L1700" t="s">
        <v>1684</v>
      </c>
    </row>
    <row r="1701" spans="1:12" x14ac:dyDescent="0.25">
      <c r="A1701" t="s">
        <v>5286</v>
      </c>
      <c r="B1701" t="s">
        <v>5287</v>
      </c>
      <c r="C1701" t="s">
        <v>5288</v>
      </c>
      <c r="F1701" t="s">
        <v>1294</v>
      </c>
      <c r="G1701" t="s">
        <v>50</v>
      </c>
      <c r="H1701" t="s">
        <v>51</v>
      </c>
      <c r="I1701" t="s">
        <v>136</v>
      </c>
      <c r="J1701" t="s">
        <v>4916</v>
      </c>
      <c r="L1701" t="s">
        <v>1684</v>
      </c>
    </row>
    <row r="1702" spans="1:12" x14ac:dyDescent="0.25">
      <c r="A1702" t="s">
        <v>5289</v>
      </c>
      <c r="B1702" t="s">
        <v>5290</v>
      </c>
      <c r="C1702" t="s">
        <v>5291</v>
      </c>
      <c r="F1702" t="s">
        <v>5163</v>
      </c>
      <c r="G1702" t="s">
        <v>50</v>
      </c>
      <c r="H1702" t="s">
        <v>51</v>
      </c>
      <c r="I1702" t="s">
        <v>136</v>
      </c>
      <c r="J1702" t="s">
        <v>4916</v>
      </c>
      <c r="L1702" t="s">
        <v>1684</v>
      </c>
    </row>
    <row r="1703" spans="1:12" x14ac:dyDescent="0.25">
      <c r="A1703" t="s">
        <v>5292</v>
      </c>
      <c r="B1703" t="s">
        <v>5293</v>
      </c>
      <c r="C1703" t="s">
        <v>5294</v>
      </c>
      <c r="F1703" t="s">
        <v>346</v>
      </c>
      <c r="G1703" t="s">
        <v>50</v>
      </c>
      <c r="H1703" t="s">
        <v>51</v>
      </c>
      <c r="I1703" t="s">
        <v>136</v>
      </c>
      <c r="J1703" t="s">
        <v>4916</v>
      </c>
      <c r="L1703" t="s">
        <v>1684</v>
      </c>
    </row>
    <row r="1704" spans="1:12" x14ac:dyDescent="0.25">
      <c r="A1704" t="s">
        <v>5295</v>
      </c>
      <c r="B1704" t="s">
        <v>5296</v>
      </c>
      <c r="C1704" t="s">
        <v>5297</v>
      </c>
      <c r="F1704" t="s">
        <v>1160</v>
      </c>
      <c r="G1704" t="s">
        <v>50</v>
      </c>
      <c r="H1704" t="s">
        <v>51</v>
      </c>
      <c r="I1704" t="s">
        <v>136</v>
      </c>
      <c r="J1704" t="s">
        <v>4916</v>
      </c>
      <c r="L1704" t="s">
        <v>1684</v>
      </c>
    </row>
    <row r="1705" spans="1:12" x14ac:dyDescent="0.25">
      <c r="A1705" t="s">
        <v>5298</v>
      </c>
      <c r="B1705" t="s">
        <v>5299</v>
      </c>
      <c r="C1705" t="s">
        <v>5300</v>
      </c>
      <c r="F1705" t="s">
        <v>5301</v>
      </c>
      <c r="G1705" t="s">
        <v>50</v>
      </c>
      <c r="H1705" t="s">
        <v>51</v>
      </c>
      <c r="I1705" t="s">
        <v>136</v>
      </c>
      <c r="J1705" t="s">
        <v>4916</v>
      </c>
      <c r="L1705" t="s">
        <v>1684</v>
      </c>
    </row>
    <row r="1706" spans="1:12" x14ac:dyDescent="0.25">
      <c r="A1706" t="s">
        <v>5302</v>
      </c>
      <c r="B1706" t="s">
        <v>5303</v>
      </c>
      <c r="C1706" t="s">
        <v>5304</v>
      </c>
      <c r="F1706" t="s">
        <v>3197</v>
      </c>
      <c r="G1706" t="s">
        <v>50</v>
      </c>
      <c r="H1706" t="s">
        <v>51</v>
      </c>
      <c r="I1706" t="s">
        <v>136</v>
      </c>
      <c r="J1706" t="s">
        <v>4916</v>
      </c>
      <c r="L1706" t="s">
        <v>1684</v>
      </c>
    </row>
    <row r="1707" spans="1:12" x14ac:dyDescent="0.25">
      <c r="A1707" t="s">
        <v>5305</v>
      </c>
      <c r="B1707" t="s">
        <v>5306</v>
      </c>
      <c r="C1707" t="s">
        <v>5307</v>
      </c>
      <c r="F1707" t="s">
        <v>292</v>
      </c>
      <c r="G1707" t="s">
        <v>50</v>
      </c>
      <c r="H1707" t="s">
        <v>51</v>
      </c>
      <c r="I1707" t="s">
        <v>136</v>
      </c>
      <c r="J1707" t="s">
        <v>4916</v>
      </c>
      <c r="L1707" t="s">
        <v>1684</v>
      </c>
    </row>
    <row r="1708" spans="1:12" x14ac:dyDescent="0.25">
      <c r="A1708" t="s">
        <v>5308</v>
      </c>
      <c r="B1708" t="s">
        <v>5309</v>
      </c>
      <c r="C1708" t="s">
        <v>5310</v>
      </c>
      <c r="F1708" t="s">
        <v>3370</v>
      </c>
      <c r="G1708" t="s">
        <v>50</v>
      </c>
      <c r="H1708" t="s">
        <v>51</v>
      </c>
      <c r="I1708" t="s">
        <v>136</v>
      </c>
      <c r="J1708" t="s">
        <v>4916</v>
      </c>
      <c r="L1708" t="s">
        <v>1684</v>
      </c>
    </row>
    <row r="1709" spans="1:12" x14ac:dyDescent="0.25">
      <c r="A1709" t="s">
        <v>5311</v>
      </c>
      <c r="B1709" t="s">
        <v>5312</v>
      </c>
      <c r="C1709" t="s">
        <v>5313</v>
      </c>
      <c r="F1709" t="s">
        <v>575</v>
      </c>
      <c r="G1709" t="s">
        <v>50</v>
      </c>
      <c r="H1709" t="s">
        <v>51</v>
      </c>
      <c r="I1709" t="s">
        <v>136</v>
      </c>
      <c r="J1709" t="s">
        <v>4916</v>
      </c>
      <c r="L1709" t="s">
        <v>1684</v>
      </c>
    </row>
    <row r="1710" spans="1:12" x14ac:dyDescent="0.25">
      <c r="A1710" t="s">
        <v>5314</v>
      </c>
      <c r="B1710" t="s">
        <v>5315</v>
      </c>
      <c r="C1710" t="s">
        <v>5316</v>
      </c>
      <c r="F1710" t="s">
        <v>1113</v>
      </c>
      <c r="G1710" t="s">
        <v>50</v>
      </c>
      <c r="H1710" t="s">
        <v>51</v>
      </c>
      <c r="I1710" t="s">
        <v>136</v>
      </c>
      <c r="J1710" t="s">
        <v>4916</v>
      </c>
      <c r="L1710" t="s">
        <v>1684</v>
      </c>
    </row>
    <row r="1711" spans="1:12" x14ac:dyDescent="0.25">
      <c r="A1711" t="s">
        <v>5317</v>
      </c>
      <c r="B1711" t="s">
        <v>5318</v>
      </c>
      <c r="C1711" t="s">
        <v>5319</v>
      </c>
      <c r="F1711" t="s">
        <v>5320</v>
      </c>
      <c r="G1711" t="s">
        <v>50</v>
      </c>
      <c r="H1711" t="s">
        <v>51</v>
      </c>
      <c r="I1711" t="s">
        <v>136</v>
      </c>
      <c r="J1711" t="s">
        <v>4916</v>
      </c>
      <c r="L1711" t="s">
        <v>1684</v>
      </c>
    </row>
    <row r="1712" spans="1:12" x14ac:dyDescent="0.25">
      <c r="A1712" t="s">
        <v>5321</v>
      </c>
      <c r="B1712" t="s">
        <v>5322</v>
      </c>
      <c r="C1712" t="s">
        <v>5323</v>
      </c>
      <c r="F1712" t="s">
        <v>5324</v>
      </c>
      <c r="G1712" t="s">
        <v>50</v>
      </c>
      <c r="H1712" t="s">
        <v>51</v>
      </c>
      <c r="I1712" t="s">
        <v>136</v>
      </c>
      <c r="J1712" t="s">
        <v>4916</v>
      </c>
      <c r="L1712" t="s">
        <v>1684</v>
      </c>
    </row>
    <row r="1713" spans="1:12" x14ac:dyDescent="0.25">
      <c r="A1713" t="s">
        <v>5325</v>
      </c>
      <c r="B1713" t="s">
        <v>549</v>
      </c>
      <c r="C1713" t="s">
        <v>5326</v>
      </c>
      <c r="F1713" t="s">
        <v>511</v>
      </c>
      <c r="G1713" t="s">
        <v>50</v>
      </c>
      <c r="H1713" t="s">
        <v>51</v>
      </c>
      <c r="I1713" t="s">
        <v>136</v>
      </c>
      <c r="J1713" t="s">
        <v>4916</v>
      </c>
      <c r="L1713" t="s">
        <v>1684</v>
      </c>
    </row>
    <row r="1714" spans="1:12" x14ac:dyDescent="0.25">
      <c r="A1714" t="s">
        <v>5327</v>
      </c>
      <c r="B1714" t="s">
        <v>5328</v>
      </c>
      <c r="C1714" t="s">
        <v>5329</v>
      </c>
      <c r="F1714" t="s">
        <v>663</v>
      </c>
      <c r="G1714" t="s">
        <v>50</v>
      </c>
      <c r="H1714" t="s">
        <v>51</v>
      </c>
      <c r="I1714" t="s">
        <v>136</v>
      </c>
      <c r="J1714" t="s">
        <v>4916</v>
      </c>
      <c r="L1714" t="s">
        <v>1684</v>
      </c>
    </row>
    <row r="1715" spans="1:12" x14ac:dyDescent="0.25">
      <c r="A1715" t="s">
        <v>5330</v>
      </c>
      <c r="B1715" t="s">
        <v>5331</v>
      </c>
      <c r="C1715" t="s">
        <v>5332</v>
      </c>
      <c r="F1715" t="s">
        <v>5333</v>
      </c>
      <c r="G1715" t="s">
        <v>50</v>
      </c>
      <c r="H1715" t="s">
        <v>51</v>
      </c>
      <c r="I1715" t="s">
        <v>136</v>
      </c>
      <c r="J1715" t="s">
        <v>4916</v>
      </c>
      <c r="L1715" t="s">
        <v>1684</v>
      </c>
    </row>
    <row r="1716" spans="1:12" x14ac:dyDescent="0.25">
      <c r="A1716" t="s">
        <v>5334</v>
      </c>
      <c r="B1716" t="s">
        <v>5335</v>
      </c>
      <c r="C1716" t="s">
        <v>5336</v>
      </c>
      <c r="F1716" t="s">
        <v>5337</v>
      </c>
      <c r="G1716" t="s">
        <v>50</v>
      </c>
      <c r="H1716" t="s">
        <v>51</v>
      </c>
      <c r="I1716" t="s">
        <v>136</v>
      </c>
      <c r="J1716" t="s">
        <v>4916</v>
      </c>
      <c r="L1716" t="s">
        <v>1684</v>
      </c>
    </row>
    <row r="1717" spans="1:12" x14ac:dyDescent="0.25">
      <c r="A1717" t="s">
        <v>5338</v>
      </c>
      <c r="B1717" t="s">
        <v>5339</v>
      </c>
      <c r="C1717" t="s">
        <v>5340</v>
      </c>
      <c r="F1717" t="s">
        <v>5341</v>
      </c>
      <c r="G1717" t="s">
        <v>50</v>
      </c>
      <c r="H1717" t="s">
        <v>51</v>
      </c>
      <c r="I1717" t="s">
        <v>136</v>
      </c>
      <c r="J1717" t="s">
        <v>4916</v>
      </c>
      <c r="L1717" t="s">
        <v>1684</v>
      </c>
    </row>
    <row r="1718" spans="1:12" x14ac:dyDescent="0.25">
      <c r="A1718" t="s">
        <v>5342</v>
      </c>
      <c r="B1718" t="s">
        <v>5343</v>
      </c>
      <c r="C1718" t="s">
        <v>5344</v>
      </c>
      <c r="F1718" t="s">
        <v>2549</v>
      </c>
      <c r="G1718" t="s">
        <v>50</v>
      </c>
      <c r="H1718" t="s">
        <v>51</v>
      </c>
      <c r="I1718" t="s">
        <v>136</v>
      </c>
      <c r="J1718" t="s">
        <v>4916</v>
      </c>
      <c r="L1718" t="s">
        <v>1684</v>
      </c>
    </row>
    <row r="1719" spans="1:12" x14ac:dyDescent="0.25">
      <c r="A1719" t="s">
        <v>5345</v>
      </c>
      <c r="B1719" t="s">
        <v>5346</v>
      </c>
      <c r="C1719" t="s">
        <v>5347</v>
      </c>
      <c r="F1719" t="s">
        <v>5074</v>
      </c>
      <c r="G1719" t="s">
        <v>50</v>
      </c>
      <c r="H1719" t="s">
        <v>51</v>
      </c>
      <c r="I1719" t="s">
        <v>136</v>
      </c>
      <c r="J1719" t="s">
        <v>4916</v>
      </c>
      <c r="L1719" t="s">
        <v>1684</v>
      </c>
    </row>
    <row r="1720" spans="1:12" x14ac:dyDescent="0.25">
      <c r="A1720" t="s">
        <v>5348</v>
      </c>
      <c r="B1720" t="s">
        <v>5349</v>
      </c>
      <c r="C1720" t="s">
        <v>5350</v>
      </c>
      <c r="F1720" t="s">
        <v>5285</v>
      </c>
      <c r="G1720" t="s">
        <v>50</v>
      </c>
      <c r="H1720" t="s">
        <v>51</v>
      </c>
      <c r="I1720" t="s">
        <v>136</v>
      </c>
      <c r="J1720" t="s">
        <v>4916</v>
      </c>
      <c r="L1720" t="s">
        <v>1684</v>
      </c>
    </row>
    <row r="1721" spans="1:12" x14ac:dyDescent="0.25">
      <c r="A1721" t="s">
        <v>5351</v>
      </c>
      <c r="B1721" t="s">
        <v>5352</v>
      </c>
      <c r="C1721" t="s">
        <v>5353</v>
      </c>
      <c r="F1721" t="s">
        <v>1040</v>
      </c>
      <c r="G1721" t="s">
        <v>50</v>
      </c>
      <c r="H1721" t="s">
        <v>51</v>
      </c>
      <c r="I1721" t="s">
        <v>136</v>
      </c>
      <c r="J1721" t="s">
        <v>4916</v>
      </c>
      <c r="L1721" t="s">
        <v>1684</v>
      </c>
    </row>
    <row r="1722" spans="1:12" x14ac:dyDescent="0.25">
      <c r="A1722" t="s">
        <v>5354</v>
      </c>
      <c r="B1722" t="s">
        <v>5355</v>
      </c>
      <c r="C1722" t="s">
        <v>5356</v>
      </c>
      <c r="F1722" t="s">
        <v>5337</v>
      </c>
      <c r="G1722" t="s">
        <v>50</v>
      </c>
      <c r="H1722" t="s">
        <v>51</v>
      </c>
      <c r="I1722" t="s">
        <v>136</v>
      </c>
      <c r="J1722" t="s">
        <v>4916</v>
      </c>
      <c r="L1722" t="s">
        <v>1684</v>
      </c>
    </row>
    <row r="1723" spans="1:12" x14ac:dyDescent="0.25">
      <c r="A1723" t="s">
        <v>5357</v>
      </c>
      <c r="B1723" t="s">
        <v>5358</v>
      </c>
      <c r="C1723" t="s">
        <v>5359</v>
      </c>
      <c r="F1723" t="s">
        <v>4873</v>
      </c>
      <c r="G1723" t="s">
        <v>50</v>
      </c>
      <c r="H1723" t="s">
        <v>51</v>
      </c>
      <c r="I1723" t="s">
        <v>136</v>
      </c>
      <c r="J1723" t="s">
        <v>4916</v>
      </c>
      <c r="L1723" t="s">
        <v>1684</v>
      </c>
    </row>
    <row r="1724" spans="1:12" x14ac:dyDescent="0.25">
      <c r="A1724" t="s">
        <v>5360</v>
      </c>
      <c r="B1724" t="s">
        <v>5361</v>
      </c>
      <c r="C1724" t="s">
        <v>5362</v>
      </c>
      <c r="F1724" t="s">
        <v>543</v>
      </c>
      <c r="G1724" t="s">
        <v>50</v>
      </c>
      <c r="H1724" t="s">
        <v>51</v>
      </c>
      <c r="I1724" t="s">
        <v>136</v>
      </c>
      <c r="J1724" t="s">
        <v>4916</v>
      </c>
      <c r="L1724" t="s">
        <v>1684</v>
      </c>
    </row>
    <row r="1725" spans="1:12" x14ac:dyDescent="0.25">
      <c r="A1725" t="s">
        <v>5363</v>
      </c>
      <c r="B1725" t="s">
        <v>5364</v>
      </c>
      <c r="C1725" t="s">
        <v>5365</v>
      </c>
      <c r="F1725" t="s">
        <v>5366</v>
      </c>
      <c r="G1725" t="s">
        <v>50</v>
      </c>
      <c r="H1725" t="s">
        <v>51</v>
      </c>
      <c r="I1725" t="s">
        <v>136</v>
      </c>
      <c r="J1725" t="s">
        <v>4916</v>
      </c>
      <c r="L1725" t="s">
        <v>1684</v>
      </c>
    </row>
    <row r="1726" spans="1:12" x14ac:dyDescent="0.25">
      <c r="A1726" t="s">
        <v>5367</v>
      </c>
      <c r="B1726" t="s">
        <v>5368</v>
      </c>
      <c r="C1726" t="s">
        <v>5369</v>
      </c>
      <c r="F1726" t="s">
        <v>2418</v>
      </c>
      <c r="G1726" t="s">
        <v>50</v>
      </c>
      <c r="H1726" t="s">
        <v>51</v>
      </c>
      <c r="I1726" t="s">
        <v>136</v>
      </c>
      <c r="J1726" t="s">
        <v>4916</v>
      </c>
      <c r="L1726" t="s">
        <v>1684</v>
      </c>
    </row>
    <row r="1727" spans="1:12" x14ac:dyDescent="0.25">
      <c r="A1727" t="s">
        <v>5370</v>
      </c>
      <c r="B1727" t="s">
        <v>5371</v>
      </c>
      <c r="C1727" t="s">
        <v>5372</v>
      </c>
      <c r="F1727" t="s">
        <v>882</v>
      </c>
      <c r="G1727" t="s">
        <v>50</v>
      </c>
      <c r="H1727" t="s">
        <v>51</v>
      </c>
      <c r="I1727" t="s">
        <v>136</v>
      </c>
      <c r="J1727" t="s">
        <v>4916</v>
      </c>
      <c r="L1727" t="s">
        <v>1684</v>
      </c>
    </row>
    <row r="1728" spans="1:12" x14ac:dyDescent="0.25">
      <c r="A1728" t="s">
        <v>5373</v>
      </c>
      <c r="B1728" t="s">
        <v>5374</v>
      </c>
      <c r="C1728" t="s">
        <v>5375</v>
      </c>
      <c r="F1728" t="s">
        <v>5376</v>
      </c>
      <c r="G1728" t="s">
        <v>50</v>
      </c>
      <c r="H1728" t="s">
        <v>51</v>
      </c>
      <c r="I1728" t="s">
        <v>136</v>
      </c>
      <c r="J1728" t="s">
        <v>4916</v>
      </c>
      <c r="L1728" t="s">
        <v>1684</v>
      </c>
    </row>
    <row r="1729" spans="1:12" x14ac:dyDescent="0.25">
      <c r="A1729" t="s">
        <v>5377</v>
      </c>
      <c r="B1729" t="s">
        <v>5378</v>
      </c>
      <c r="C1729" t="s">
        <v>5379</v>
      </c>
      <c r="F1729" t="s">
        <v>575</v>
      </c>
      <c r="G1729" t="s">
        <v>50</v>
      </c>
      <c r="H1729" t="s">
        <v>51</v>
      </c>
      <c r="I1729" t="s">
        <v>136</v>
      </c>
      <c r="J1729" t="s">
        <v>4916</v>
      </c>
      <c r="L1729" t="s">
        <v>1684</v>
      </c>
    </row>
    <row r="1730" spans="1:12" x14ac:dyDescent="0.25">
      <c r="A1730" t="s">
        <v>5380</v>
      </c>
      <c r="B1730" t="s">
        <v>5381</v>
      </c>
      <c r="C1730" t="s">
        <v>5382</v>
      </c>
      <c r="F1730" t="s">
        <v>5383</v>
      </c>
      <c r="G1730" t="s">
        <v>50</v>
      </c>
      <c r="H1730" t="s">
        <v>51</v>
      </c>
      <c r="I1730" t="s">
        <v>136</v>
      </c>
      <c r="J1730" t="s">
        <v>4916</v>
      </c>
      <c r="L1730" t="s">
        <v>1684</v>
      </c>
    </row>
    <row r="1731" spans="1:12" x14ac:dyDescent="0.25">
      <c r="A1731" t="s">
        <v>5384</v>
      </c>
      <c r="B1731" t="s">
        <v>5385</v>
      </c>
      <c r="C1731" t="s">
        <v>5386</v>
      </c>
      <c r="F1731" t="s">
        <v>1940</v>
      </c>
      <c r="G1731" t="s">
        <v>50</v>
      </c>
      <c r="H1731" t="s">
        <v>51</v>
      </c>
      <c r="I1731" t="s">
        <v>136</v>
      </c>
      <c r="J1731" t="s">
        <v>4916</v>
      </c>
      <c r="L1731" t="s">
        <v>1684</v>
      </c>
    </row>
    <row r="1732" spans="1:12" x14ac:dyDescent="0.25">
      <c r="A1732" t="s">
        <v>5387</v>
      </c>
      <c r="B1732" t="s">
        <v>5388</v>
      </c>
      <c r="C1732" t="s">
        <v>5389</v>
      </c>
      <c r="F1732" t="s">
        <v>5390</v>
      </c>
      <c r="G1732" t="s">
        <v>50</v>
      </c>
      <c r="H1732" t="s">
        <v>51</v>
      </c>
      <c r="I1732" t="s">
        <v>136</v>
      </c>
      <c r="J1732" t="s">
        <v>4916</v>
      </c>
      <c r="L1732" t="s">
        <v>1684</v>
      </c>
    </row>
    <row r="1733" spans="1:12" x14ac:dyDescent="0.25">
      <c r="A1733" t="s">
        <v>5391</v>
      </c>
      <c r="B1733" t="s">
        <v>5315</v>
      </c>
      <c r="C1733" t="s">
        <v>5392</v>
      </c>
      <c r="F1733" t="s">
        <v>1113</v>
      </c>
      <c r="G1733" t="s">
        <v>50</v>
      </c>
      <c r="H1733" t="s">
        <v>51</v>
      </c>
      <c r="I1733" t="s">
        <v>136</v>
      </c>
      <c r="J1733" t="s">
        <v>4916</v>
      </c>
      <c r="L1733" t="s">
        <v>1684</v>
      </c>
    </row>
    <row r="1734" spans="1:12" x14ac:dyDescent="0.25">
      <c r="A1734" t="s">
        <v>5393</v>
      </c>
      <c r="B1734" t="s">
        <v>5394</v>
      </c>
      <c r="C1734" t="s">
        <v>5395</v>
      </c>
      <c r="F1734" t="s">
        <v>5396</v>
      </c>
      <c r="G1734" t="s">
        <v>50</v>
      </c>
      <c r="H1734" t="s">
        <v>51</v>
      </c>
      <c r="I1734" t="s">
        <v>136</v>
      </c>
      <c r="J1734" t="s">
        <v>4916</v>
      </c>
      <c r="L1734" t="s">
        <v>1684</v>
      </c>
    </row>
    <row r="1735" spans="1:12" x14ac:dyDescent="0.25">
      <c r="A1735" t="s">
        <v>5397</v>
      </c>
      <c r="B1735" t="s">
        <v>5398</v>
      </c>
      <c r="C1735" t="s">
        <v>5399</v>
      </c>
      <c r="F1735" t="s">
        <v>747</v>
      </c>
      <c r="G1735" t="s">
        <v>50</v>
      </c>
      <c r="H1735" t="s">
        <v>51</v>
      </c>
      <c r="I1735" t="s">
        <v>136</v>
      </c>
      <c r="J1735" t="s">
        <v>4916</v>
      </c>
      <c r="L1735" t="s">
        <v>1684</v>
      </c>
    </row>
    <row r="1736" spans="1:12" x14ac:dyDescent="0.25">
      <c r="A1736" t="s">
        <v>5400</v>
      </c>
      <c r="B1736" t="s">
        <v>5401</v>
      </c>
      <c r="C1736" t="s">
        <v>5402</v>
      </c>
      <c r="F1736" t="s">
        <v>5403</v>
      </c>
      <c r="G1736" t="s">
        <v>50</v>
      </c>
      <c r="H1736" t="s">
        <v>51</v>
      </c>
      <c r="I1736" t="s">
        <v>136</v>
      </c>
      <c r="J1736" t="s">
        <v>4916</v>
      </c>
      <c r="L1736" t="s">
        <v>1684</v>
      </c>
    </row>
    <row r="1737" spans="1:12" x14ac:dyDescent="0.25">
      <c r="A1737" t="s">
        <v>5404</v>
      </c>
      <c r="B1737" t="s">
        <v>5405</v>
      </c>
      <c r="C1737" t="s">
        <v>5406</v>
      </c>
      <c r="F1737" t="s">
        <v>1040</v>
      </c>
      <c r="G1737" t="s">
        <v>50</v>
      </c>
      <c r="H1737" t="s">
        <v>51</v>
      </c>
      <c r="I1737" t="s">
        <v>136</v>
      </c>
      <c r="J1737" t="s">
        <v>4916</v>
      </c>
      <c r="L1737" t="s">
        <v>1684</v>
      </c>
    </row>
    <row r="1738" spans="1:12" x14ac:dyDescent="0.25">
      <c r="A1738" t="s">
        <v>5407</v>
      </c>
      <c r="B1738" t="s">
        <v>5408</v>
      </c>
      <c r="C1738" t="s">
        <v>5409</v>
      </c>
      <c r="F1738" t="s">
        <v>5410</v>
      </c>
      <c r="G1738" t="s">
        <v>50</v>
      </c>
      <c r="H1738" t="s">
        <v>51</v>
      </c>
      <c r="I1738" t="s">
        <v>136</v>
      </c>
      <c r="J1738" t="s">
        <v>4916</v>
      </c>
      <c r="L1738" t="s">
        <v>1684</v>
      </c>
    </row>
    <row r="1739" spans="1:12" x14ac:dyDescent="0.25">
      <c r="A1739" t="s">
        <v>5411</v>
      </c>
      <c r="B1739" t="s">
        <v>5412</v>
      </c>
      <c r="C1739" t="s">
        <v>5413</v>
      </c>
      <c r="F1739" t="s">
        <v>176</v>
      </c>
      <c r="G1739" t="s">
        <v>50</v>
      </c>
      <c r="H1739" t="s">
        <v>51</v>
      </c>
      <c r="I1739" t="s">
        <v>136</v>
      </c>
      <c r="J1739" t="s">
        <v>4916</v>
      </c>
      <c r="L1739" t="s">
        <v>1684</v>
      </c>
    </row>
    <row r="1740" spans="1:12" x14ac:dyDescent="0.25">
      <c r="A1740" t="s">
        <v>5414</v>
      </c>
      <c r="B1740" t="s">
        <v>5415</v>
      </c>
      <c r="C1740" t="s">
        <v>5416</v>
      </c>
      <c r="F1740" t="s">
        <v>5417</v>
      </c>
      <c r="G1740" t="s">
        <v>50</v>
      </c>
      <c r="H1740" t="s">
        <v>51</v>
      </c>
      <c r="I1740" t="s">
        <v>136</v>
      </c>
      <c r="J1740" t="s">
        <v>4916</v>
      </c>
      <c r="L1740" t="s">
        <v>1684</v>
      </c>
    </row>
    <row r="1741" spans="1:12" x14ac:dyDescent="0.25">
      <c r="A1741" t="s">
        <v>5418</v>
      </c>
      <c r="B1741" t="s">
        <v>5419</v>
      </c>
      <c r="C1741" t="s">
        <v>5420</v>
      </c>
      <c r="F1741" t="s">
        <v>5070</v>
      </c>
      <c r="G1741" t="s">
        <v>50</v>
      </c>
      <c r="H1741" t="s">
        <v>51</v>
      </c>
      <c r="I1741" t="s">
        <v>136</v>
      </c>
      <c r="J1741" t="s">
        <v>4916</v>
      </c>
      <c r="L1741" t="s">
        <v>1684</v>
      </c>
    </row>
    <row r="1742" spans="1:12" x14ac:dyDescent="0.25">
      <c r="A1742" t="s">
        <v>5421</v>
      </c>
      <c r="B1742" t="s">
        <v>5422</v>
      </c>
      <c r="C1742" t="s">
        <v>5423</v>
      </c>
      <c r="F1742" t="s">
        <v>4885</v>
      </c>
      <c r="G1742" t="s">
        <v>50</v>
      </c>
      <c r="H1742" t="s">
        <v>51</v>
      </c>
      <c r="I1742" t="s">
        <v>136</v>
      </c>
      <c r="J1742" t="s">
        <v>4916</v>
      </c>
      <c r="L1742" t="s">
        <v>1684</v>
      </c>
    </row>
    <row r="1743" spans="1:12" x14ac:dyDescent="0.25">
      <c r="A1743" t="s">
        <v>5424</v>
      </c>
      <c r="B1743" t="s">
        <v>5425</v>
      </c>
      <c r="C1743" t="s">
        <v>5426</v>
      </c>
      <c r="F1743" t="s">
        <v>5410</v>
      </c>
      <c r="G1743" t="s">
        <v>50</v>
      </c>
      <c r="H1743" t="s">
        <v>51</v>
      </c>
      <c r="I1743" t="s">
        <v>136</v>
      </c>
      <c r="J1743" t="s">
        <v>4916</v>
      </c>
      <c r="L1743" t="s">
        <v>1684</v>
      </c>
    </row>
    <row r="1744" spans="1:12" x14ac:dyDescent="0.25">
      <c r="A1744" t="s">
        <v>5427</v>
      </c>
      <c r="B1744" t="s">
        <v>5428</v>
      </c>
      <c r="C1744" t="s">
        <v>5429</v>
      </c>
      <c r="F1744" t="s">
        <v>725</v>
      </c>
      <c r="G1744" t="s">
        <v>50</v>
      </c>
      <c r="H1744" t="s">
        <v>51</v>
      </c>
      <c r="I1744" t="s">
        <v>136</v>
      </c>
      <c r="J1744" t="s">
        <v>4916</v>
      </c>
      <c r="L1744" t="s">
        <v>1684</v>
      </c>
    </row>
    <row r="1745" spans="1:12" x14ac:dyDescent="0.25">
      <c r="A1745" t="s">
        <v>5430</v>
      </c>
      <c r="B1745" t="s">
        <v>5431</v>
      </c>
      <c r="C1745" t="s">
        <v>5432</v>
      </c>
      <c r="F1745" t="s">
        <v>5433</v>
      </c>
      <c r="G1745" t="s">
        <v>50</v>
      </c>
      <c r="H1745" t="s">
        <v>51</v>
      </c>
      <c r="I1745" t="s">
        <v>136</v>
      </c>
      <c r="J1745" t="s">
        <v>4916</v>
      </c>
      <c r="L1745" t="s">
        <v>1684</v>
      </c>
    </row>
    <row r="1746" spans="1:12" x14ac:dyDescent="0.25">
      <c r="A1746" t="s">
        <v>5434</v>
      </c>
      <c r="B1746" t="s">
        <v>5435</v>
      </c>
      <c r="C1746" t="s">
        <v>5436</v>
      </c>
      <c r="F1746" t="s">
        <v>503</v>
      </c>
      <c r="G1746" t="s">
        <v>50</v>
      </c>
      <c r="H1746" t="s">
        <v>51</v>
      </c>
      <c r="I1746" t="s">
        <v>136</v>
      </c>
      <c r="J1746" t="s">
        <v>4916</v>
      </c>
      <c r="L1746" t="s">
        <v>1684</v>
      </c>
    </row>
    <row r="1747" spans="1:12" x14ac:dyDescent="0.25">
      <c r="A1747" t="s">
        <v>5437</v>
      </c>
      <c r="B1747" t="s">
        <v>5438</v>
      </c>
      <c r="C1747" t="s">
        <v>5439</v>
      </c>
      <c r="F1747" t="s">
        <v>358</v>
      </c>
      <c r="G1747" t="s">
        <v>50</v>
      </c>
      <c r="H1747" t="s">
        <v>51</v>
      </c>
      <c r="I1747" t="s">
        <v>136</v>
      </c>
      <c r="J1747" t="s">
        <v>4916</v>
      </c>
      <c r="L1747" t="s">
        <v>1684</v>
      </c>
    </row>
    <row r="1748" spans="1:12" x14ac:dyDescent="0.25">
      <c r="A1748" t="s">
        <v>5440</v>
      </c>
      <c r="B1748" t="s">
        <v>473</v>
      </c>
      <c r="C1748" t="s">
        <v>5441</v>
      </c>
      <c r="F1748" t="s">
        <v>405</v>
      </c>
      <c r="G1748" t="s">
        <v>50</v>
      </c>
      <c r="H1748" t="s">
        <v>51</v>
      </c>
      <c r="I1748" t="s">
        <v>136</v>
      </c>
      <c r="J1748" t="s">
        <v>4916</v>
      </c>
      <c r="L1748" t="s">
        <v>1684</v>
      </c>
    </row>
    <row r="1749" spans="1:12" x14ac:dyDescent="0.25">
      <c r="A1749" t="s">
        <v>5442</v>
      </c>
      <c r="B1749" t="s">
        <v>5443</v>
      </c>
      <c r="C1749" t="s">
        <v>5444</v>
      </c>
      <c r="F1749" t="s">
        <v>5445</v>
      </c>
      <c r="G1749" t="s">
        <v>50</v>
      </c>
      <c r="H1749" t="s">
        <v>51</v>
      </c>
      <c r="I1749" t="s">
        <v>136</v>
      </c>
      <c r="J1749" t="s">
        <v>4916</v>
      </c>
      <c r="L1749" t="s">
        <v>1684</v>
      </c>
    </row>
    <row r="1750" spans="1:12" x14ac:dyDescent="0.25">
      <c r="A1750" t="s">
        <v>5446</v>
      </c>
      <c r="B1750" t="s">
        <v>5447</v>
      </c>
      <c r="C1750" t="s">
        <v>5448</v>
      </c>
      <c r="F1750" t="s">
        <v>838</v>
      </c>
      <c r="G1750" t="s">
        <v>50</v>
      </c>
      <c r="H1750" t="s">
        <v>51</v>
      </c>
      <c r="I1750" t="s">
        <v>136</v>
      </c>
      <c r="J1750" t="s">
        <v>4916</v>
      </c>
      <c r="L1750" t="s">
        <v>1684</v>
      </c>
    </row>
    <row r="1751" spans="1:12" x14ac:dyDescent="0.25">
      <c r="A1751" t="s">
        <v>5449</v>
      </c>
      <c r="B1751" t="s">
        <v>5450</v>
      </c>
      <c r="F1751" t="s">
        <v>188</v>
      </c>
      <c r="G1751" t="s">
        <v>5451</v>
      </c>
      <c r="H1751" t="s">
        <v>51</v>
      </c>
      <c r="I1751" t="s">
        <v>5452</v>
      </c>
      <c r="J1751" t="s">
        <v>5453</v>
      </c>
      <c r="L1751" t="s">
        <v>1684</v>
      </c>
    </row>
    <row r="1752" spans="1:12" x14ac:dyDescent="0.25">
      <c r="A1752" t="s">
        <v>5454</v>
      </c>
      <c r="B1752" t="s">
        <v>5455</v>
      </c>
      <c r="C1752" t="s">
        <v>5456</v>
      </c>
      <c r="F1752" t="s">
        <v>58</v>
      </c>
      <c r="G1752" t="s">
        <v>50</v>
      </c>
      <c r="H1752" t="s">
        <v>51</v>
      </c>
      <c r="I1752" t="s">
        <v>3467</v>
      </c>
      <c r="J1752" t="s">
        <v>5457</v>
      </c>
      <c r="L1752" t="s">
        <v>1684</v>
      </c>
    </row>
    <row r="1753" spans="1:12" x14ac:dyDescent="0.25">
      <c r="A1753" t="s">
        <v>5458</v>
      </c>
      <c r="B1753" t="s">
        <v>5459</v>
      </c>
      <c r="C1753" t="s">
        <v>5460</v>
      </c>
      <c r="F1753" t="s">
        <v>3213</v>
      </c>
      <c r="G1753" t="s">
        <v>50</v>
      </c>
      <c r="H1753" t="s">
        <v>51</v>
      </c>
      <c r="I1753" t="s">
        <v>3467</v>
      </c>
      <c r="J1753" t="s">
        <v>5457</v>
      </c>
      <c r="L1753" t="s">
        <v>1684</v>
      </c>
    </row>
    <row r="1754" spans="1:12" x14ac:dyDescent="0.25">
      <c r="A1754" t="s">
        <v>5461</v>
      </c>
      <c r="B1754" t="s">
        <v>5462</v>
      </c>
      <c r="C1754" t="s">
        <v>5463</v>
      </c>
      <c r="F1754" t="s">
        <v>66</v>
      </c>
      <c r="G1754" t="s">
        <v>50</v>
      </c>
      <c r="H1754" t="s">
        <v>51</v>
      </c>
      <c r="I1754" t="s">
        <v>3467</v>
      </c>
      <c r="J1754" t="s">
        <v>5457</v>
      </c>
      <c r="L1754" t="s">
        <v>1684</v>
      </c>
    </row>
    <row r="1755" spans="1:12" x14ac:dyDescent="0.25">
      <c r="A1755" t="s">
        <v>5464</v>
      </c>
      <c r="B1755" t="s">
        <v>5465</v>
      </c>
      <c r="C1755" t="s">
        <v>5466</v>
      </c>
      <c r="F1755" t="s">
        <v>66</v>
      </c>
      <c r="G1755" t="s">
        <v>50</v>
      </c>
      <c r="H1755" t="s">
        <v>51</v>
      </c>
      <c r="I1755" t="s">
        <v>3467</v>
      </c>
      <c r="J1755" t="s">
        <v>5457</v>
      </c>
      <c r="L1755" t="s">
        <v>1684</v>
      </c>
    </row>
    <row r="1756" spans="1:12" x14ac:dyDescent="0.25">
      <c r="A1756" t="s">
        <v>5467</v>
      </c>
      <c r="B1756" t="s">
        <v>5468</v>
      </c>
      <c r="C1756" t="s">
        <v>5469</v>
      </c>
      <c r="F1756" t="s">
        <v>3213</v>
      </c>
      <c r="G1756" t="s">
        <v>50</v>
      </c>
      <c r="H1756" t="s">
        <v>51</v>
      </c>
      <c r="I1756" t="s">
        <v>3467</v>
      </c>
      <c r="J1756" t="s">
        <v>5457</v>
      </c>
      <c r="L1756" t="s">
        <v>1684</v>
      </c>
    </row>
    <row r="1757" spans="1:12" x14ac:dyDescent="0.25">
      <c r="A1757" t="s">
        <v>5470</v>
      </c>
      <c r="B1757" t="s">
        <v>5471</v>
      </c>
      <c r="C1757" t="s">
        <v>5472</v>
      </c>
      <c r="F1757" t="s">
        <v>66</v>
      </c>
      <c r="G1757" t="s">
        <v>50</v>
      </c>
      <c r="H1757" t="s">
        <v>51</v>
      </c>
      <c r="I1757" t="s">
        <v>3467</v>
      </c>
      <c r="J1757" t="s">
        <v>5457</v>
      </c>
      <c r="L1757" t="s">
        <v>1684</v>
      </c>
    </row>
    <row r="1758" spans="1:12" x14ac:dyDescent="0.25">
      <c r="A1758" t="s">
        <v>5473</v>
      </c>
      <c r="B1758" t="s">
        <v>5474</v>
      </c>
      <c r="C1758" t="s">
        <v>5475</v>
      </c>
      <c r="F1758" t="s">
        <v>303</v>
      </c>
      <c r="G1758" t="s">
        <v>50</v>
      </c>
      <c r="H1758" t="s">
        <v>51</v>
      </c>
      <c r="I1758" t="s">
        <v>3467</v>
      </c>
      <c r="J1758" t="s">
        <v>5457</v>
      </c>
      <c r="L1758" t="s">
        <v>1684</v>
      </c>
    </row>
    <row r="1759" spans="1:12" x14ac:dyDescent="0.25">
      <c r="A1759" t="s">
        <v>5476</v>
      </c>
      <c r="B1759" t="s">
        <v>5477</v>
      </c>
      <c r="C1759" t="s">
        <v>5478</v>
      </c>
      <c r="F1759" t="s">
        <v>86</v>
      </c>
      <c r="G1759" t="s">
        <v>50</v>
      </c>
      <c r="H1759" t="s">
        <v>51</v>
      </c>
      <c r="I1759" t="s">
        <v>3467</v>
      </c>
      <c r="J1759" t="s">
        <v>5457</v>
      </c>
      <c r="L1759" t="s">
        <v>1684</v>
      </c>
    </row>
    <row r="1760" spans="1:12" x14ac:dyDescent="0.25">
      <c r="A1760" t="s">
        <v>5479</v>
      </c>
      <c r="B1760" t="s">
        <v>5480</v>
      </c>
      <c r="C1760" t="s">
        <v>5481</v>
      </c>
      <c r="F1760" t="s">
        <v>1884</v>
      </c>
      <c r="G1760" t="s">
        <v>50</v>
      </c>
      <c r="H1760" t="s">
        <v>51</v>
      </c>
      <c r="I1760" t="s">
        <v>3467</v>
      </c>
      <c r="J1760" t="s">
        <v>5457</v>
      </c>
      <c r="L1760" t="s">
        <v>1684</v>
      </c>
    </row>
    <row r="1761" spans="1:12" x14ac:dyDescent="0.25">
      <c r="A1761" t="s">
        <v>5482</v>
      </c>
      <c r="B1761" t="s">
        <v>5483</v>
      </c>
      <c r="C1761" t="s">
        <v>5484</v>
      </c>
      <c r="F1761" t="s">
        <v>115</v>
      </c>
      <c r="G1761" t="s">
        <v>50</v>
      </c>
      <c r="H1761" t="s">
        <v>51</v>
      </c>
      <c r="I1761" t="s">
        <v>3467</v>
      </c>
      <c r="J1761" t="s">
        <v>5457</v>
      </c>
      <c r="L1761" t="s">
        <v>1684</v>
      </c>
    </row>
    <row r="1762" spans="1:12" x14ac:dyDescent="0.25">
      <c r="A1762" t="s">
        <v>5485</v>
      </c>
      <c r="B1762" t="s">
        <v>5486</v>
      </c>
      <c r="C1762" t="s">
        <v>5487</v>
      </c>
      <c r="F1762" t="s">
        <v>624</v>
      </c>
      <c r="G1762" t="s">
        <v>50</v>
      </c>
      <c r="H1762" t="s">
        <v>51</v>
      </c>
      <c r="I1762" t="s">
        <v>5488</v>
      </c>
      <c r="J1762" t="s">
        <v>5489</v>
      </c>
      <c r="L1762" t="s">
        <v>1429</v>
      </c>
    </row>
    <row r="1763" spans="1:12" x14ac:dyDescent="0.25">
      <c r="A1763" t="s">
        <v>5490</v>
      </c>
      <c r="C1763" t="s">
        <v>5491</v>
      </c>
      <c r="E1763" t="s">
        <v>5492</v>
      </c>
      <c r="F1763" t="s">
        <v>2709</v>
      </c>
      <c r="G1763" t="s">
        <v>50</v>
      </c>
      <c r="H1763" t="s">
        <v>51</v>
      </c>
      <c r="I1763" t="s">
        <v>5488</v>
      </c>
      <c r="J1763" t="s">
        <v>5489</v>
      </c>
      <c r="L1763" t="s">
        <v>1429</v>
      </c>
    </row>
    <row r="1764" spans="1:12" x14ac:dyDescent="0.25">
      <c r="A1764" t="s">
        <v>5493</v>
      </c>
      <c r="C1764" t="s">
        <v>5494</v>
      </c>
      <c r="E1764" t="s">
        <v>2075</v>
      </c>
      <c r="F1764" t="s">
        <v>1294</v>
      </c>
      <c r="G1764" t="s">
        <v>50</v>
      </c>
      <c r="H1764" t="s">
        <v>51</v>
      </c>
      <c r="I1764" t="s">
        <v>5488</v>
      </c>
      <c r="J1764" t="s">
        <v>5489</v>
      </c>
      <c r="L1764" t="s">
        <v>1429</v>
      </c>
    </row>
    <row r="1765" spans="1:12" x14ac:dyDescent="0.25">
      <c r="A1765" t="s">
        <v>5495</v>
      </c>
      <c r="B1765" t="s">
        <v>5496</v>
      </c>
      <c r="C1765" t="s">
        <v>5497</v>
      </c>
      <c r="F1765" t="s">
        <v>985</v>
      </c>
      <c r="G1765" t="s">
        <v>50</v>
      </c>
      <c r="H1765" t="s">
        <v>51</v>
      </c>
      <c r="I1765" t="s">
        <v>5488</v>
      </c>
      <c r="J1765" t="s">
        <v>5498</v>
      </c>
      <c r="L1765" t="s">
        <v>1291</v>
      </c>
    </row>
    <row r="1766" spans="1:12" x14ac:dyDescent="0.25">
      <c r="A1766" t="s">
        <v>5499</v>
      </c>
      <c r="B1766" t="s">
        <v>5500</v>
      </c>
      <c r="C1766" t="s">
        <v>5501</v>
      </c>
      <c r="F1766" t="s">
        <v>277</v>
      </c>
      <c r="G1766" t="s">
        <v>50</v>
      </c>
      <c r="H1766" t="s">
        <v>51</v>
      </c>
      <c r="I1766" t="s">
        <v>5488</v>
      </c>
      <c r="J1766" t="s">
        <v>5498</v>
      </c>
      <c r="L1766" t="s">
        <v>1291</v>
      </c>
    </row>
    <row r="1767" spans="1:12" x14ac:dyDescent="0.25">
      <c r="A1767" t="s">
        <v>5502</v>
      </c>
      <c r="B1767" t="s">
        <v>5503</v>
      </c>
      <c r="C1767" t="s">
        <v>5504</v>
      </c>
      <c r="F1767" t="s">
        <v>496</v>
      </c>
      <c r="G1767" t="s">
        <v>50</v>
      </c>
      <c r="H1767" t="s">
        <v>51</v>
      </c>
      <c r="I1767" t="s">
        <v>5488</v>
      </c>
      <c r="J1767" t="s">
        <v>5498</v>
      </c>
      <c r="L1767" t="s">
        <v>1291</v>
      </c>
    </row>
    <row r="1768" spans="1:12" x14ac:dyDescent="0.25">
      <c r="A1768" t="s">
        <v>5505</v>
      </c>
      <c r="B1768" t="s">
        <v>5506</v>
      </c>
      <c r="C1768" t="s">
        <v>5507</v>
      </c>
      <c r="F1768" t="s">
        <v>1024</v>
      </c>
      <c r="G1768" t="s">
        <v>50</v>
      </c>
      <c r="H1768" t="s">
        <v>51</v>
      </c>
      <c r="I1768" t="s">
        <v>5488</v>
      </c>
      <c r="J1768" t="s">
        <v>5498</v>
      </c>
      <c r="L1768" t="s">
        <v>1291</v>
      </c>
    </row>
    <row r="1769" spans="1:12" x14ac:dyDescent="0.25">
      <c r="A1769" t="s">
        <v>5508</v>
      </c>
      <c r="B1769" t="s">
        <v>5509</v>
      </c>
      <c r="F1769" t="s">
        <v>100</v>
      </c>
      <c r="G1769" t="s">
        <v>50</v>
      </c>
      <c r="H1769" t="s">
        <v>51</v>
      </c>
      <c r="I1769" t="s">
        <v>5510</v>
      </c>
      <c r="J1769" t="s">
        <v>1270</v>
      </c>
      <c r="L1769" t="s">
        <v>1684</v>
      </c>
    </row>
    <row r="1770" spans="1:12" x14ac:dyDescent="0.25">
      <c r="A1770" t="s">
        <v>5511</v>
      </c>
      <c r="B1770" t="s">
        <v>5512</v>
      </c>
      <c r="F1770" t="s">
        <v>152</v>
      </c>
      <c r="G1770" t="s">
        <v>50</v>
      </c>
      <c r="H1770" t="s">
        <v>51</v>
      </c>
      <c r="I1770" t="s">
        <v>5510</v>
      </c>
      <c r="J1770" t="s">
        <v>1270</v>
      </c>
      <c r="L1770" t="s">
        <v>1684</v>
      </c>
    </row>
    <row r="1771" spans="1:12" x14ac:dyDescent="0.25">
      <c r="A1771" t="s">
        <v>5513</v>
      </c>
      <c r="B1771" t="s">
        <v>5514</v>
      </c>
      <c r="F1771" t="s">
        <v>188</v>
      </c>
      <c r="G1771" t="s">
        <v>50</v>
      </c>
      <c r="H1771" t="s">
        <v>51</v>
      </c>
      <c r="I1771" t="s">
        <v>5510</v>
      </c>
      <c r="J1771" t="s">
        <v>1270</v>
      </c>
      <c r="L1771" t="s">
        <v>1684</v>
      </c>
    </row>
    <row r="1772" spans="1:12" x14ac:dyDescent="0.25">
      <c r="A1772" t="s">
        <v>5515</v>
      </c>
      <c r="B1772" t="s">
        <v>5516</v>
      </c>
      <c r="F1772" t="s">
        <v>1127</v>
      </c>
      <c r="G1772" t="s">
        <v>50</v>
      </c>
      <c r="H1772" t="s">
        <v>51</v>
      </c>
      <c r="I1772" t="s">
        <v>5510</v>
      </c>
      <c r="J1772" t="s">
        <v>1270</v>
      </c>
      <c r="L1772" t="s">
        <v>1684</v>
      </c>
    </row>
    <row r="1773" spans="1:12" x14ac:dyDescent="0.25">
      <c r="A1773" t="s">
        <v>5517</v>
      </c>
      <c r="B1773" t="s">
        <v>5518</v>
      </c>
      <c r="F1773" t="s">
        <v>1842</v>
      </c>
      <c r="G1773" t="s">
        <v>50</v>
      </c>
      <c r="H1773" t="s">
        <v>51</v>
      </c>
      <c r="I1773" t="s">
        <v>5510</v>
      </c>
      <c r="J1773" t="s">
        <v>1270</v>
      </c>
      <c r="L1773" t="s">
        <v>1684</v>
      </c>
    </row>
    <row r="1774" spans="1:12" x14ac:dyDescent="0.25">
      <c r="A1774" t="s">
        <v>5519</v>
      </c>
      <c r="B1774" t="s">
        <v>5520</v>
      </c>
      <c r="F1774" t="s">
        <v>1842</v>
      </c>
      <c r="G1774" t="s">
        <v>50</v>
      </c>
      <c r="H1774" t="s">
        <v>51</v>
      </c>
      <c r="I1774" t="s">
        <v>5510</v>
      </c>
      <c r="J1774" t="s">
        <v>1270</v>
      </c>
      <c r="L1774" t="s">
        <v>1684</v>
      </c>
    </row>
    <row r="1775" spans="1:12" x14ac:dyDescent="0.25">
      <c r="A1775" t="s">
        <v>5521</v>
      </c>
      <c r="B1775" t="s">
        <v>5522</v>
      </c>
      <c r="F1775" t="s">
        <v>78</v>
      </c>
      <c r="G1775" t="s">
        <v>50</v>
      </c>
      <c r="H1775" t="s">
        <v>51</v>
      </c>
      <c r="I1775" t="s">
        <v>5510</v>
      </c>
      <c r="J1775" t="s">
        <v>1270</v>
      </c>
      <c r="L1775" t="s">
        <v>1684</v>
      </c>
    </row>
    <row r="1776" spans="1:12" x14ac:dyDescent="0.25">
      <c r="A1776" t="s">
        <v>5523</v>
      </c>
      <c r="B1776" t="s">
        <v>5524</v>
      </c>
      <c r="F1776" t="s">
        <v>809</v>
      </c>
      <c r="G1776" t="s">
        <v>50</v>
      </c>
      <c r="H1776" t="s">
        <v>51</v>
      </c>
      <c r="I1776" t="s">
        <v>3633</v>
      </c>
      <c r="J1776" t="s">
        <v>3634</v>
      </c>
      <c r="L1776" t="s">
        <v>1291</v>
      </c>
    </row>
    <row r="1777" spans="1:12" x14ac:dyDescent="0.25">
      <c r="A1777" t="s">
        <v>5525</v>
      </c>
      <c r="B1777" t="s">
        <v>5526</v>
      </c>
      <c r="F1777" t="s">
        <v>1095</v>
      </c>
      <c r="G1777" t="s">
        <v>50</v>
      </c>
      <c r="H1777" t="s">
        <v>51</v>
      </c>
      <c r="I1777" t="s">
        <v>3502</v>
      </c>
      <c r="J1777" t="s">
        <v>5527</v>
      </c>
      <c r="L1777" t="s">
        <v>1684</v>
      </c>
    </row>
    <row r="1778" spans="1:12" x14ac:dyDescent="0.25">
      <c r="A1778" t="s">
        <v>5528</v>
      </c>
      <c r="B1778" t="s">
        <v>5529</v>
      </c>
      <c r="F1778" t="s">
        <v>1884</v>
      </c>
      <c r="G1778" t="s">
        <v>50</v>
      </c>
      <c r="H1778" t="s">
        <v>51</v>
      </c>
      <c r="I1778" t="s">
        <v>5510</v>
      </c>
      <c r="J1778" t="s">
        <v>1270</v>
      </c>
      <c r="L1778" t="s">
        <v>1684</v>
      </c>
    </row>
    <row r="1779" spans="1:12" x14ac:dyDescent="0.25">
      <c r="A1779" t="s">
        <v>5530</v>
      </c>
      <c r="B1779" t="s">
        <v>5531</v>
      </c>
      <c r="F1779" t="s">
        <v>115</v>
      </c>
      <c r="G1779" t="s">
        <v>50</v>
      </c>
      <c r="H1779" t="s">
        <v>51</v>
      </c>
      <c r="I1779" t="s">
        <v>5532</v>
      </c>
      <c r="J1779" t="s">
        <v>5533</v>
      </c>
      <c r="L1779" t="s">
        <v>1684</v>
      </c>
    </row>
    <row r="1780" spans="1:12" x14ac:dyDescent="0.25">
      <c r="A1780" t="s">
        <v>5534</v>
      </c>
      <c r="B1780" t="s">
        <v>5535</v>
      </c>
      <c r="F1780" t="s">
        <v>981</v>
      </c>
      <c r="G1780" t="s">
        <v>50</v>
      </c>
      <c r="H1780" t="s">
        <v>51</v>
      </c>
      <c r="I1780" t="s">
        <v>3493</v>
      </c>
      <c r="J1780" t="s">
        <v>3494</v>
      </c>
      <c r="L1780" t="s">
        <v>1684</v>
      </c>
    </row>
    <row r="1781" spans="1:12" x14ac:dyDescent="0.25">
      <c r="A1781" t="s">
        <v>5536</v>
      </c>
      <c r="B1781" t="s">
        <v>5537</v>
      </c>
      <c r="F1781" t="s">
        <v>5538</v>
      </c>
      <c r="G1781" t="s">
        <v>50</v>
      </c>
      <c r="H1781" t="s">
        <v>51</v>
      </c>
      <c r="I1781" t="s">
        <v>3502</v>
      </c>
      <c r="J1781" t="s">
        <v>5527</v>
      </c>
      <c r="L1781" t="s">
        <v>1684</v>
      </c>
    </row>
    <row r="1782" spans="1:12" x14ac:dyDescent="0.25">
      <c r="A1782" t="s">
        <v>5539</v>
      </c>
      <c r="B1782" t="s">
        <v>5540</v>
      </c>
      <c r="F1782" t="s">
        <v>338</v>
      </c>
      <c r="G1782" t="s">
        <v>50</v>
      </c>
      <c r="H1782" t="s">
        <v>51</v>
      </c>
      <c r="I1782" t="s">
        <v>3502</v>
      </c>
      <c r="J1782" t="s">
        <v>5527</v>
      </c>
      <c r="L1782" t="s">
        <v>1684</v>
      </c>
    </row>
    <row r="1783" spans="1:12" x14ac:dyDescent="0.25">
      <c r="A1783" t="s">
        <v>5541</v>
      </c>
      <c r="B1783" t="s">
        <v>5542</v>
      </c>
      <c r="F1783" t="s">
        <v>277</v>
      </c>
      <c r="G1783" t="s">
        <v>50</v>
      </c>
      <c r="H1783" t="s">
        <v>51</v>
      </c>
      <c r="I1783" t="s">
        <v>5532</v>
      </c>
      <c r="J1783" t="s">
        <v>5533</v>
      </c>
      <c r="L1783" t="s">
        <v>1684</v>
      </c>
    </row>
    <row r="1784" spans="1:12" x14ac:dyDescent="0.25">
      <c r="A1784" t="s">
        <v>5543</v>
      </c>
      <c r="B1784" t="s">
        <v>5544</v>
      </c>
      <c r="F1784" t="s">
        <v>5545</v>
      </c>
      <c r="G1784" t="s">
        <v>50</v>
      </c>
      <c r="H1784" t="s">
        <v>51</v>
      </c>
      <c r="I1784" t="s">
        <v>3502</v>
      </c>
      <c r="J1784" t="s">
        <v>5527</v>
      </c>
      <c r="L1784" t="s">
        <v>1684</v>
      </c>
    </row>
    <row r="1785" spans="1:12" x14ac:dyDescent="0.25">
      <c r="A1785" t="s">
        <v>5546</v>
      </c>
      <c r="B1785" t="s">
        <v>5547</v>
      </c>
      <c r="F1785" t="s">
        <v>652</v>
      </c>
      <c r="G1785" t="s">
        <v>50</v>
      </c>
      <c r="H1785" t="s">
        <v>51</v>
      </c>
      <c r="I1785" t="s">
        <v>5510</v>
      </c>
      <c r="J1785" t="s">
        <v>1270</v>
      </c>
      <c r="L1785" t="s">
        <v>1684</v>
      </c>
    </row>
    <row r="1786" spans="1:12" x14ac:dyDescent="0.25">
      <c r="A1786" t="s">
        <v>5548</v>
      </c>
      <c r="B1786" t="s">
        <v>5549</v>
      </c>
      <c r="C1786" t="s">
        <v>5550</v>
      </c>
      <c r="F1786" t="s">
        <v>981</v>
      </c>
      <c r="G1786" t="s">
        <v>1426</v>
      </c>
      <c r="H1786" t="s">
        <v>51</v>
      </c>
      <c r="I1786" t="s">
        <v>1427</v>
      </c>
      <c r="J1786" t="s">
        <v>1428</v>
      </c>
      <c r="L1786" t="s">
        <v>1429</v>
      </c>
    </row>
    <row r="1787" spans="1:12" x14ac:dyDescent="0.25">
      <c r="A1787" t="s">
        <v>5551</v>
      </c>
      <c r="B1787" t="s">
        <v>5552</v>
      </c>
      <c r="C1787" t="s">
        <v>5553</v>
      </c>
      <c r="F1787" t="s">
        <v>5554</v>
      </c>
      <c r="G1787" t="s">
        <v>1426</v>
      </c>
      <c r="H1787" t="s">
        <v>51</v>
      </c>
      <c r="I1787" t="s">
        <v>1427</v>
      </c>
      <c r="J1787" t="s">
        <v>1428</v>
      </c>
      <c r="L1787" t="s">
        <v>1429</v>
      </c>
    </row>
    <row r="1788" spans="1:12" x14ac:dyDescent="0.25">
      <c r="A1788" t="s">
        <v>5555</v>
      </c>
      <c r="B1788" t="s">
        <v>5556</v>
      </c>
      <c r="C1788" t="s">
        <v>5557</v>
      </c>
      <c r="F1788" t="s">
        <v>207</v>
      </c>
      <c r="G1788" t="s">
        <v>1426</v>
      </c>
      <c r="H1788" t="s">
        <v>51</v>
      </c>
      <c r="I1788" t="s">
        <v>1427</v>
      </c>
      <c r="J1788" t="s">
        <v>1428</v>
      </c>
      <c r="L1788" t="s">
        <v>1429</v>
      </c>
    </row>
    <row r="1789" spans="1:12" x14ac:dyDescent="0.25">
      <c r="A1789" t="s">
        <v>5558</v>
      </c>
      <c r="B1789" t="s">
        <v>5559</v>
      </c>
      <c r="C1789" t="s">
        <v>5560</v>
      </c>
      <c r="F1789" t="s">
        <v>1036</v>
      </c>
      <c r="G1789" t="s">
        <v>1426</v>
      </c>
      <c r="H1789" t="s">
        <v>51</v>
      </c>
      <c r="I1789" t="s">
        <v>1427</v>
      </c>
      <c r="J1789" t="s">
        <v>1428</v>
      </c>
      <c r="L1789" t="s">
        <v>1429</v>
      </c>
    </row>
    <row r="1790" spans="1:12" x14ac:dyDescent="0.25">
      <c r="A1790" t="s">
        <v>5561</v>
      </c>
      <c r="B1790" t="s">
        <v>5562</v>
      </c>
      <c r="C1790" t="s">
        <v>5563</v>
      </c>
      <c r="F1790" t="s">
        <v>5564</v>
      </c>
      <c r="G1790" t="s">
        <v>1426</v>
      </c>
      <c r="H1790" t="s">
        <v>51</v>
      </c>
      <c r="I1790" t="s">
        <v>1427</v>
      </c>
      <c r="J1790" t="s">
        <v>1428</v>
      </c>
      <c r="L1790" t="s">
        <v>1429</v>
      </c>
    </row>
    <row r="1791" spans="1:12" x14ac:dyDescent="0.25">
      <c r="A1791" t="s">
        <v>5565</v>
      </c>
      <c r="B1791" t="s">
        <v>5566</v>
      </c>
      <c r="C1791" t="s">
        <v>5567</v>
      </c>
      <c r="F1791" t="s">
        <v>3370</v>
      </c>
      <c r="G1791" t="s">
        <v>1426</v>
      </c>
      <c r="H1791" t="s">
        <v>51</v>
      </c>
      <c r="I1791" t="s">
        <v>1427</v>
      </c>
      <c r="J1791" t="s">
        <v>1428</v>
      </c>
      <c r="L1791" t="s">
        <v>1429</v>
      </c>
    </row>
    <row r="1792" spans="1:12" x14ac:dyDescent="0.25">
      <c r="A1792" t="s">
        <v>5568</v>
      </c>
      <c r="B1792" t="s">
        <v>5569</v>
      </c>
      <c r="C1792" t="s">
        <v>5570</v>
      </c>
      <c r="F1792" t="s">
        <v>62</v>
      </c>
      <c r="G1792" t="s">
        <v>1426</v>
      </c>
      <c r="H1792" t="s">
        <v>51</v>
      </c>
      <c r="I1792" t="s">
        <v>1427</v>
      </c>
      <c r="J1792" t="s">
        <v>1428</v>
      </c>
      <c r="L1792" t="s">
        <v>1429</v>
      </c>
    </row>
    <row r="1793" spans="1:12" x14ac:dyDescent="0.25">
      <c r="A1793" t="s">
        <v>5571</v>
      </c>
      <c r="B1793" t="s">
        <v>5572</v>
      </c>
      <c r="C1793" t="s">
        <v>5573</v>
      </c>
      <c r="F1793" t="s">
        <v>5564</v>
      </c>
      <c r="G1793" t="s">
        <v>1426</v>
      </c>
      <c r="H1793" t="s">
        <v>51</v>
      </c>
      <c r="I1793" t="s">
        <v>1427</v>
      </c>
      <c r="J1793" t="s">
        <v>5574</v>
      </c>
      <c r="L1793" t="s">
        <v>1429</v>
      </c>
    </row>
    <row r="1794" spans="1:12" x14ac:dyDescent="0.25">
      <c r="A1794" t="s">
        <v>5575</v>
      </c>
      <c r="B1794" t="s">
        <v>5576</v>
      </c>
      <c r="C1794" t="s">
        <v>5577</v>
      </c>
      <c r="F1794" t="s">
        <v>5578</v>
      </c>
      <c r="G1794" t="s">
        <v>5579</v>
      </c>
      <c r="H1794" t="s">
        <v>51</v>
      </c>
      <c r="I1794" t="s">
        <v>1427</v>
      </c>
      <c r="J1794" t="s">
        <v>5580</v>
      </c>
      <c r="L1794" t="s">
        <v>4874</v>
      </c>
    </row>
    <row r="1795" spans="1:12" x14ac:dyDescent="0.25">
      <c r="A1795" t="s">
        <v>5581</v>
      </c>
      <c r="B1795" t="s">
        <v>5582</v>
      </c>
      <c r="F1795" t="s">
        <v>5583</v>
      </c>
      <c r="G1795" t="s">
        <v>1460</v>
      </c>
      <c r="H1795" t="s">
        <v>51</v>
      </c>
      <c r="I1795" t="s">
        <v>5584</v>
      </c>
      <c r="J1795" t="s">
        <v>5585</v>
      </c>
      <c r="L1795" t="s">
        <v>1684</v>
      </c>
    </row>
    <row r="1796" spans="1:12" x14ac:dyDescent="0.25">
      <c r="A1796" t="s">
        <v>5586</v>
      </c>
      <c r="B1796" t="s">
        <v>5587</v>
      </c>
      <c r="F1796" t="s">
        <v>5588</v>
      </c>
      <c r="G1796" t="s">
        <v>1460</v>
      </c>
      <c r="H1796" t="s">
        <v>51</v>
      </c>
      <c r="I1796" t="s">
        <v>5584</v>
      </c>
      <c r="J1796" t="s">
        <v>5585</v>
      </c>
      <c r="L1796" t="s">
        <v>1684</v>
      </c>
    </row>
    <row r="1797" spans="1:12" x14ac:dyDescent="0.25">
      <c r="A1797" t="s">
        <v>5589</v>
      </c>
      <c r="B1797" t="s">
        <v>5590</v>
      </c>
      <c r="F1797" t="s">
        <v>1066</v>
      </c>
      <c r="G1797" t="s">
        <v>50</v>
      </c>
      <c r="H1797" t="s">
        <v>51</v>
      </c>
      <c r="I1797" t="s">
        <v>5510</v>
      </c>
      <c r="J1797" t="s">
        <v>1270</v>
      </c>
      <c r="L1797" t="s">
        <v>1684</v>
      </c>
    </row>
    <row r="1798" spans="1:12" x14ac:dyDescent="0.25">
      <c r="A1798" t="s">
        <v>5591</v>
      </c>
      <c r="B1798" t="s">
        <v>5592</v>
      </c>
      <c r="F1798" t="s">
        <v>943</v>
      </c>
      <c r="G1798" t="s">
        <v>50</v>
      </c>
      <c r="H1798" t="s">
        <v>51</v>
      </c>
      <c r="I1798" t="s">
        <v>5510</v>
      </c>
      <c r="J1798" t="s">
        <v>1270</v>
      </c>
      <c r="L1798" t="s">
        <v>1684</v>
      </c>
    </row>
    <row r="1799" spans="1:12" x14ac:dyDescent="0.25">
      <c r="A1799" t="s">
        <v>5593</v>
      </c>
      <c r="B1799" t="s">
        <v>5594</v>
      </c>
      <c r="F1799" t="s">
        <v>943</v>
      </c>
      <c r="G1799" t="s">
        <v>50</v>
      </c>
      <c r="H1799" t="s">
        <v>51</v>
      </c>
      <c r="I1799" t="s">
        <v>5510</v>
      </c>
      <c r="J1799" t="s">
        <v>1270</v>
      </c>
      <c r="L1799" t="s">
        <v>1684</v>
      </c>
    </row>
    <row r="1800" spans="1:12" x14ac:dyDescent="0.25">
      <c r="A1800" t="s">
        <v>5595</v>
      </c>
      <c r="B1800" t="s">
        <v>5596</v>
      </c>
      <c r="F1800" t="s">
        <v>277</v>
      </c>
      <c r="G1800" t="s">
        <v>50</v>
      </c>
      <c r="H1800" t="s">
        <v>51</v>
      </c>
      <c r="I1800" t="s">
        <v>5510</v>
      </c>
      <c r="J1800" t="s">
        <v>1270</v>
      </c>
      <c r="L1800" t="s">
        <v>1684</v>
      </c>
    </row>
    <row r="1801" spans="1:12" x14ac:dyDescent="0.25">
      <c r="A1801" t="s">
        <v>5597</v>
      </c>
      <c r="B1801" t="s">
        <v>5598</v>
      </c>
      <c r="F1801" t="s">
        <v>1127</v>
      </c>
      <c r="G1801" t="s">
        <v>50</v>
      </c>
      <c r="H1801" t="s">
        <v>51</v>
      </c>
      <c r="I1801" t="s">
        <v>5510</v>
      </c>
      <c r="J1801" t="s">
        <v>1270</v>
      </c>
      <c r="L1801" t="s">
        <v>1684</v>
      </c>
    </row>
    <row r="1802" spans="1:12" x14ac:dyDescent="0.25">
      <c r="A1802" t="s">
        <v>5599</v>
      </c>
      <c r="B1802" t="s">
        <v>5600</v>
      </c>
      <c r="F1802" t="s">
        <v>1059</v>
      </c>
      <c r="G1802" t="s">
        <v>50</v>
      </c>
      <c r="H1802" t="s">
        <v>51</v>
      </c>
      <c r="I1802" t="s">
        <v>5510</v>
      </c>
      <c r="J1802" t="s">
        <v>1270</v>
      </c>
      <c r="L1802" t="s">
        <v>1684</v>
      </c>
    </row>
    <row r="1803" spans="1:12" x14ac:dyDescent="0.25">
      <c r="A1803" t="s">
        <v>5601</v>
      </c>
      <c r="B1803" t="s">
        <v>5602</v>
      </c>
      <c r="F1803" t="s">
        <v>1066</v>
      </c>
      <c r="G1803" t="s">
        <v>50</v>
      </c>
      <c r="H1803" t="s">
        <v>51</v>
      </c>
      <c r="I1803" t="s">
        <v>5510</v>
      </c>
      <c r="J1803" t="s">
        <v>1270</v>
      </c>
      <c r="L1803" t="s">
        <v>1684</v>
      </c>
    </row>
    <row r="1804" spans="1:12" x14ac:dyDescent="0.25">
      <c r="A1804" t="s">
        <v>5603</v>
      </c>
      <c r="B1804" t="s">
        <v>5604</v>
      </c>
      <c r="F1804" t="s">
        <v>632</v>
      </c>
      <c r="G1804" t="s">
        <v>50</v>
      </c>
      <c r="H1804" t="s">
        <v>51</v>
      </c>
      <c r="I1804" t="s">
        <v>5510</v>
      </c>
      <c r="J1804" t="s">
        <v>1270</v>
      </c>
      <c r="L1804" t="s">
        <v>1684</v>
      </c>
    </row>
    <row r="1805" spans="1:12" x14ac:dyDescent="0.25">
      <c r="A1805" t="s">
        <v>5605</v>
      </c>
      <c r="B1805" t="s">
        <v>5606</v>
      </c>
      <c r="C1805" t="s">
        <v>5607</v>
      </c>
      <c r="F1805" t="s">
        <v>1095</v>
      </c>
      <c r="G1805" t="s">
        <v>1426</v>
      </c>
      <c r="H1805" t="s">
        <v>51</v>
      </c>
      <c r="I1805" t="s">
        <v>1427</v>
      </c>
      <c r="J1805" t="s">
        <v>1428</v>
      </c>
      <c r="L1805" t="s">
        <v>1291</v>
      </c>
    </row>
    <row r="1806" spans="1:12" x14ac:dyDescent="0.25">
      <c r="A1806" t="s">
        <v>5608</v>
      </c>
      <c r="B1806" t="s">
        <v>5609</v>
      </c>
      <c r="C1806" t="s">
        <v>5610</v>
      </c>
      <c r="F1806" t="s">
        <v>2418</v>
      </c>
      <c r="G1806" t="s">
        <v>1426</v>
      </c>
      <c r="H1806" t="s">
        <v>51</v>
      </c>
      <c r="I1806" t="s">
        <v>1427</v>
      </c>
      <c r="J1806" t="s">
        <v>1428</v>
      </c>
      <c r="L1806" t="s">
        <v>1291</v>
      </c>
    </row>
    <row r="1807" spans="1:12" x14ac:dyDescent="0.25">
      <c r="A1807" t="s">
        <v>5611</v>
      </c>
      <c r="B1807" t="s">
        <v>5612</v>
      </c>
      <c r="F1807" t="s">
        <v>78</v>
      </c>
      <c r="G1807" t="s">
        <v>50</v>
      </c>
      <c r="H1807" t="s">
        <v>51</v>
      </c>
      <c r="I1807" t="s">
        <v>5510</v>
      </c>
      <c r="J1807" t="s">
        <v>5613</v>
      </c>
      <c r="L1807" t="s">
        <v>1684</v>
      </c>
    </row>
    <row r="1808" spans="1:12" x14ac:dyDescent="0.25">
      <c r="A1808" t="s">
        <v>5614</v>
      </c>
      <c r="B1808" t="s">
        <v>5615</v>
      </c>
      <c r="F1808" t="s">
        <v>78</v>
      </c>
      <c r="G1808" t="s">
        <v>50</v>
      </c>
      <c r="H1808" t="s">
        <v>51</v>
      </c>
      <c r="I1808" t="s">
        <v>5510</v>
      </c>
      <c r="J1808" t="s">
        <v>5613</v>
      </c>
      <c r="L1808" t="s">
        <v>1684</v>
      </c>
    </row>
    <row r="1809" spans="1:12" x14ac:dyDescent="0.25">
      <c r="A1809" t="s">
        <v>5616</v>
      </c>
      <c r="B1809" t="s">
        <v>5617</v>
      </c>
      <c r="F1809" t="s">
        <v>78</v>
      </c>
      <c r="G1809" t="s">
        <v>50</v>
      </c>
      <c r="H1809" t="s">
        <v>51</v>
      </c>
      <c r="I1809" t="s">
        <v>5510</v>
      </c>
      <c r="J1809" t="s">
        <v>5613</v>
      </c>
      <c r="L1809" t="s">
        <v>1684</v>
      </c>
    </row>
    <row r="1810" spans="1:12" x14ac:dyDescent="0.25">
      <c r="A1810" t="s">
        <v>5618</v>
      </c>
      <c r="B1810" t="s">
        <v>5619</v>
      </c>
      <c r="F1810" t="s">
        <v>859</v>
      </c>
      <c r="G1810" t="s">
        <v>50</v>
      </c>
      <c r="H1810" t="s">
        <v>51</v>
      </c>
      <c r="I1810" t="s">
        <v>5510</v>
      </c>
      <c r="J1810" t="s">
        <v>5613</v>
      </c>
      <c r="L1810" t="s">
        <v>1684</v>
      </c>
    </row>
    <row r="1811" spans="1:12" x14ac:dyDescent="0.25">
      <c r="A1811" t="s">
        <v>5620</v>
      </c>
      <c r="B1811" t="s">
        <v>5621</v>
      </c>
      <c r="F1811" t="s">
        <v>526</v>
      </c>
      <c r="G1811" t="s">
        <v>50</v>
      </c>
      <c r="H1811" t="s">
        <v>51</v>
      </c>
      <c r="I1811" t="s">
        <v>5510</v>
      </c>
      <c r="J1811" t="s">
        <v>5613</v>
      </c>
      <c r="L1811" t="s">
        <v>1684</v>
      </c>
    </row>
    <row r="1812" spans="1:12" x14ac:dyDescent="0.25">
      <c r="A1812" t="s">
        <v>5622</v>
      </c>
      <c r="B1812" t="s">
        <v>5623</v>
      </c>
      <c r="F1812" t="s">
        <v>929</v>
      </c>
      <c r="G1812" t="s">
        <v>2435</v>
      </c>
      <c r="H1812" t="s">
        <v>51</v>
      </c>
      <c r="I1812" t="s">
        <v>2436</v>
      </c>
      <c r="J1812" t="s">
        <v>2437</v>
      </c>
      <c r="L1812" t="s">
        <v>1429</v>
      </c>
    </row>
    <row r="1813" spans="1:12" x14ac:dyDescent="0.25">
      <c r="A1813" t="s">
        <v>5624</v>
      </c>
      <c r="B1813" t="s">
        <v>5625</v>
      </c>
      <c r="F1813" t="s">
        <v>929</v>
      </c>
      <c r="G1813" t="s">
        <v>2435</v>
      </c>
      <c r="H1813" t="s">
        <v>51</v>
      </c>
      <c r="I1813" t="s">
        <v>2436</v>
      </c>
      <c r="J1813" t="s">
        <v>2437</v>
      </c>
      <c r="L1813" t="s">
        <v>1429</v>
      </c>
    </row>
    <row r="1814" spans="1:12" x14ac:dyDescent="0.25">
      <c r="A1814" t="s">
        <v>5626</v>
      </c>
      <c r="B1814" t="s">
        <v>5627</v>
      </c>
      <c r="F1814" t="s">
        <v>1095</v>
      </c>
      <c r="G1814" t="s">
        <v>1663</v>
      </c>
      <c r="H1814" t="s">
        <v>51</v>
      </c>
      <c r="I1814" t="s">
        <v>5628</v>
      </c>
      <c r="J1814" t="s">
        <v>5629</v>
      </c>
      <c r="L1814" t="s">
        <v>1684</v>
      </c>
    </row>
    <row r="1815" spans="1:12" x14ac:dyDescent="0.25">
      <c r="A1815" t="s">
        <v>5630</v>
      </c>
      <c r="B1815" t="s">
        <v>5631</v>
      </c>
      <c r="F1815" t="s">
        <v>5632</v>
      </c>
      <c r="G1815" t="s">
        <v>5633</v>
      </c>
      <c r="H1815" t="s">
        <v>51</v>
      </c>
      <c r="I1815" t="s">
        <v>5634</v>
      </c>
      <c r="J1815" t="s">
        <v>5635</v>
      </c>
      <c r="L1815" t="s">
        <v>1291</v>
      </c>
    </row>
    <row r="1816" spans="1:12" x14ac:dyDescent="0.25">
      <c r="A1816" t="s">
        <v>5636</v>
      </c>
      <c r="B1816" t="s">
        <v>5637</v>
      </c>
      <c r="F1816" t="s">
        <v>5260</v>
      </c>
      <c r="G1816" t="s">
        <v>50</v>
      </c>
      <c r="H1816" t="s">
        <v>51</v>
      </c>
      <c r="I1816" t="s">
        <v>1655</v>
      </c>
      <c r="J1816" t="s">
        <v>1656</v>
      </c>
      <c r="L1816" t="s">
        <v>5638</v>
      </c>
    </row>
    <row r="1817" spans="1:12" x14ac:dyDescent="0.25">
      <c r="A1817" t="s">
        <v>5639</v>
      </c>
      <c r="B1817" t="s">
        <v>5640</v>
      </c>
      <c r="F1817" t="s">
        <v>5641</v>
      </c>
      <c r="G1817" t="s">
        <v>50</v>
      </c>
      <c r="H1817" t="s">
        <v>51</v>
      </c>
      <c r="I1817" t="s">
        <v>5642</v>
      </c>
      <c r="J1817" t="s">
        <v>5643</v>
      </c>
      <c r="L1817" t="s">
        <v>1684</v>
      </c>
    </row>
    <row r="1818" spans="1:12" x14ac:dyDescent="0.25">
      <c r="A1818" t="s">
        <v>5644</v>
      </c>
      <c r="B1818" t="s">
        <v>5645</v>
      </c>
      <c r="F1818" t="s">
        <v>5646</v>
      </c>
      <c r="G1818" t="s">
        <v>5647</v>
      </c>
      <c r="H1818" t="s">
        <v>51</v>
      </c>
      <c r="I1818" t="s">
        <v>5648</v>
      </c>
      <c r="J1818" t="s">
        <v>5649</v>
      </c>
      <c r="L1818" t="s">
        <v>1684</v>
      </c>
    </row>
    <row r="1819" spans="1:12" x14ac:dyDescent="0.25">
      <c r="A1819" t="s">
        <v>5650</v>
      </c>
      <c r="B1819" t="s">
        <v>5645</v>
      </c>
      <c r="F1819" t="s">
        <v>5646</v>
      </c>
      <c r="G1819" t="s">
        <v>5647</v>
      </c>
      <c r="H1819" t="s">
        <v>51</v>
      </c>
      <c r="I1819" t="s">
        <v>5648</v>
      </c>
      <c r="J1819" t="s">
        <v>5649</v>
      </c>
      <c r="L1819" t="s">
        <v>1684</v>
      </c>
    </row>
    <row r="1820" spans="1:12" x14ac:dyDescent="0.25">
      <c r="A1820" t="s">
        <v>5651</v>
      </c>
      <c r="B1820" t="s">
        <v>3579</v>
      </c>
      <c r="C1820" t="s">
        <v>5652</v>
      </c>
      <c r="F1820" t="s">
        <v>3581</v>
      </c>
      <c r="G1820" t="s">
        <v>1681</v>
      </c>
      <c r="H1820" t="s">
        <v>51</v>
      </c>
      <c r="I1820" t="s">
        <v>1682</v>
      </c>
      <c r="J1820" t="s">
        <v>1683</v>
      </c>
      <c r="L1820" t="s">
        <v>1429</v>
      </c>
    </row>
    <row r="1821" spans="1:12" x14ac:dyDescent="0.25">
      <c r="A1821" t="s">
        <v>5653</v>
      </c>
      <c r="B1821" t="s">
        <v>5654</v>
      </c>
      <c r="C1821" t="s">
        <v>5655</v>
      </c>
      <c r="F1821" t="s">
        <v>152</v>
      </c>
      <c r="G1821" t="s">
        <v>1722</v>
      </c>
      <c r="H1821" t="s">
        <v>51</v>
      </c>
      <c r="I1821" t="s">
        <v>5656</v>
      </c>
      <c r="J1821" t="s">
        <v>5657</v>
      </c>
      <c r="L1821" t="s">
        <v>5658</v>
      </c>
    </row>
    <row r="1822" spans="1:12" x14ac:dyDescent="0.25">
      <c r="A1822" t="s">
        <v>5659</v>
      </c>
      <c r="B1822" t="s">
        <v>5660</v>
      </c>
      <c r="C1822" t="s">
        <v>5661</v>
      </c>
      <c r="F1822" t="s">
        <v>1842</v>
      </c>
      <c r="G1822" t="s">
        <v>1722</v>
      </c>
      <c r="H1822" t="s">
        <v>51</v>
      </c>
      <c r="I1822" t="s">
        <v>5656</v>
      </c>
      <c r="J1822" t="s">
        <v>5657</v>
      </c>
      <c r="L1822" t="s">
        <v>5658</v>
      </c>
    </row>
    <row r="1823" spans="1:12" x14ac:dyDescent="0.25">
      <c r="A1823" t="s">
        <v>5662</v>
      </c>
      <c r="B1823" t="s">
        <v>5663</v>
      </c>
      <c r="C1823" t="s">
        <v>5664</v>
      </c>
      <c r="F1823" t="s">
        <v>1842</v>
      </c>
      <c r="G1823" t="s">
        <v>1722</v>
      </c>
      <c r="H1823" t="s">
        <v>51</v>
      </c>
      <c r="I1823" t="s">
        <v>5656</v>
      </c>
      <c r="J1823" t="s">
        <v>5657</v>
      </c>
      <c r="L1823" t="s">
        <v>5658</v>
      </c>
    </row>
    <row r="1824" spans="1:12" x14ac:dyDescent="0.25">
      <c r="A1824" t="s">
        <v>5665</v>
      </c>
      <c r="C1824" t="s">
        <v>5666</v>
      </c>
      <c r="E1824" t="s">
        <v>5667</v>
      </c>
      <c r="F1824" t="s">
        <v>5668</v>
      </c>
      <c r="G1824" t="s">
        <v>1722</v>
      </c>
      <c r="H1824" t="s">
        <v>51</v>
      </c>
      <c r="I1824" t="s">
        <v>5656</v>
      </c>
      <c r="J1824" t="s">
        <v>5657</v>
      </c>
      <c r="L1824" t="s">
        <v>5658</v>
      </c>
    </row>
    <row r="1825" spans="1:12" x14ac:dyDescent="0.25">
      <c r="A1825" t="s">
        <v>5669</v>
      </c>
      <c r="C1825" t="s">
        <v>5670</v>
      </c>
      <c r="E1825" t="s">
        <v>5671</v>
      </c>
      <c r="F1825" t="s">
        <v>58</v>
      </c>
      <c r="G1825" t="s">
        <v>1722</v>
      </c>
      <c r="H1825" t="s">
        <v>51</v>
      </c>
      <c r="I1825" t="s">
        <v>5656</v>
      </c>
      <c r="J1825" t="s">
        <v>5657</v>
      </c>
      <c r="L1825" t="s">
        <v>5658</v>
      </c>
    </row>
    <row r="1826" spans="1:12" x14ac:dyDescent="0.25">
      <c r="A1826" t="s">
        <v>5672</v>
      </c>
      <c r="C1826" t="s">
        <v>5673</v>
      </c>
      <c r="E1826" t="s">
        <v>5674</v>
      </c>
      <c r="F1826" t="s">
        <v>5675</v>
      </c>
      <c r="G1826" t="s">
        <v>1722</v>
      </c>
      <c r="H1826" t="s">
        <v>51</v>
      </c>
      <c r="I1826" t="s">
        <v>5656</v>
      </c>
      <c r="J1826" t="s">
        <v>5657</v>
      </c>
      <c r="L1826" t="s">
        <v>5658</v>
      </c>
    </row>
    <row r="1827" spans="1:12" x14ac:dyDescent="0.25">
      <c r="A1827" t="s">
        <v>5676</v>
      </c>
      <c r="B1827" t="s">
        <v>5677</v>
      </c>
      <c r="C1827" t="s">
        <v>5678</v>
      </c>
      <c r="F1827" t="s">
        <v>896</v>
      </c>
      <c r="G1827" t="s">
        <v>1722</v>
      </c>
      <c r="H1827" t="s">
        <v>51</v>
      </c>
      <c r="I1827" t="s">
        <v>5656</v>
      </c>
      <c r="J1827" t="s">
        <v>5657</v>
      </c>
      <c r="L1827" t="s">
        <v>3460</v>
      </c>
    </row>
    <row r="1828" spans="1:12" x14ac:dyDescent="0.25">
      <c r="A1828" t="s">
        <v>5679</v>
      </c>
      <c r="B1828" t="s">
        <v>5680</v>
      </c>
      <c r="C1828" t="s">
        <v>5681</v>
      </c>
      <c r="F1828" t="s">
        <v>1127</v>
      </c>
      <c r="G1828" t="s">
        <v>1722</v>
      </c>
      <c r="H1828" t="s">
        <v>51</v>
      </c>
      <c r="I1828" t="s">
        <v>5656</v>
      </c>
      <c r="J1828" t="s">
        <v>5657</v>
      </c>
      <c r="L1828" t="s">
        <v>3460</v>
      </c>
    </row>
    <row r="1829" spans="1:12" x14ac:dyDescent="0.25">
      <c r="A1829" t="s">
        <v>5682</v>
      </c>
      <c r="B1829" t="s">
        <v>5683</v>
      </c>
      <c r="C1829" t="s">
        <v>5684</v>
      </c>
      <c r="F1829" t="s">
        <v>277</v>
      </c>
      <c r="G1829" t="s">
        <v>1722</v>
      </c>
      <c r="H1829" t="s">
        <v>51</v>
      </c>
      <c r="I1829" t="s">
        <v>5656</v>
      </c>
      <c r="J1829" t="s">
        <v>5657</v>
      </c>
      <c r="L1829" t="s">
        <v>3460</v>
      </c>
    </row>
    <row r="1830" spans="1:12" x14ac:dyDescent="0.25">
      <c r="A1830" t="s">
        <v>5685</v>
      </c>
      <c r="B1830" t="s">
        <v>5686</v>
      </c>
      <c r="C1830" t="s">
        <v>5687</v>
      </c>
      <c r="F1830" t="s">
        <v>1140</v>
      </c>
      <c r="G1830" t="s">
        <v>1722</v>
      </c>
      <c r="H1830" t="s">
        <v>51</v>
      </c>
      <c r="I1830" t="s">
        <v>5656</v>
      </c>
      <c r="J1830" t="s">
        <v>5657</v>
      </c>
      <c r="L1830" t="s">
        <v>3460</v>
      </c>
    </row>
    <row r="1831" spans="1:12" x14ac:dyDescent="0.25">
      <c r="A1831" t="s">
        <v>5688</v>
      </c>
      <c r="C1831" t="s">
        <v>5666</v>
      </c>
      <c r="E1831" t="s">
        <v>5667</v>
      </c>
      <c r="F1831" t="s">
        <v>5668</v>
      </c>
      <c r="G1831" t="s">
        <v>1722</v>
      </c>
      <c r="H1831" t="s">
        <v>51</v>
      </c>
      <c r="I1831" t="s">
        <v>5656</v>
      </c>
      <c r="J1831" t="s">
        <v>5657</v>
      </c>
      <c r="L1831" t="s">
        <v>3460</v>
      </c>
    </row>
    <row r="1832" spans="1:12" x14ac:dyDescent="0.25">
      <c r="A1832" t="s">
        <v>5689</v>
      </c>
      <c r="B1832" t="s">
        <v>5690</v>
      </c>
      <c r="F1832" t="s">
        <v>246</v>
      </c>
      <c r="G1832" t="s">
        <v>1722</v>
      </c>
      <c r="H1832" t="s">
        <v>51</v>
      </c>
      <c r="I1832" t="s">
        <v>5691</v>
      </c>
      <c r="J1832" t="s">
        <v>5692</v>
      </c>
      <c r="L1832" t="s">
        <v>1429</v>
      </c>
    </row>
    <row r="1833" spans="1:12" x14ac:dyDescent="0.25">
      <c r="A1833" t="s">
        <v>5693</v>
      </c>
      <c r="B1833" t="s">
        <v>5694</v>
      </c>
      <c r="F1833" t="s">
        <v>533</v>
      </c>
      <c r="G1833" t="s">
        <v>50</v>
      </c>
      <c r="H1833" t="s">
        <v>51</v>
      </c>
      <c r="I1833" t="s">
        <v>954</v>
      </c>
      <c r="J1833" t="s">
        <v>1456</v>
      </c>
      <c r="L1833" t="s">
        <v>1429</v>
      </c>
    </row>
    <row r="1834" spans="1:12" x14ac:dyDescent="0.25">
      <c r="A1834" t="s">
        <v>5695</v>
      </c>
      <c r="B1834" t="s">
        <v>5696</v>
      </c>
      <c r="F1834" t="s">
        <v>242</v>
      </c>
      <c r="G1834" t="s">
        <v>50</v>
      </c>
      <c r="H1834" t="s">
        <v>51</v>
      </c>
      <c r="I1834" t="s">
        <v>954</v>
      </c>
      <c r="J1834" t="s">
        <v>1456</v>
      </c>
      <c r="L1834" t="s">
        <v>1429</v>
      </c>
    </row>
    <row r="1835" spans="1:12" x14ac:dyDescent="0.25">
      <c r="A1835" t="s">
        <v>5697</v>
      </c>
      <c r="B1835" t="s">
        <v>5698</v>
      </c>
      <c r="F1835" t="s">
        <v>277</v>
      </c>
      <c r="G1835" t="s">
        <v>50</v>
      </c>
      <c r="H1835" t="s">
        <v>51</v>
      </c>
      <c r="I1835" t="s">
        <v>5532</v>
      </c>
      <c r="J1835" t="s">
        <v>5533</v>
      </c>
      <c r="L1835" t="s">
        <v>1429</v>
      </c>
    </row>
    <row r="1836" spans="1:12" x14ac:dyDescent="0.25">
      <c r="A1836" t="s">
        <v>5699</v>
      </c>
      <c r="B1836" t="s">
        <v>5700</v>
      </c>
      <c r="C1836" t="s">
        <v>5701</v>
      </c>
      <c r="F1836" t="s">
        <v>5702</v>
      </c>
      <c r="G1836" t="s">
        <v>1663</v>
      </c>
      <c r="H1836" t="s">
        <v>51</v>
      </c>
      <c r="I1836" t="s">
        <v>52</v>
      </c>
      <c r="J1836" t="s">
        <v>5533</v>
      </c>
      <c r="L1836" t="s">
        <v>5658</v>
      </c>
    </row>
    <row r="1837" spans="1:12" x14ac:dyDescent="0.25">
      <c r="A1837" t="s">
        <v>5703</v>
      </c>
      <c r="B1837" t="s">
        <v>5704</v>
      </c>
      <c r="C1837" t="s">
        <v>5705</v>
      </c>
      <c r="F1837" t="s">
        <v>1339</v>
      </c>
      <c r="G1837" t="s">
        <v>1663</v>
      </c>
      <c r="H1837" t="s">
        <v>51</v>
      </c>
      <c r="I1837" t="s">
        <v>52</v>
      </c>
      <c r="J1837" t="s">
        <v>5533</v>
      </c>
      <c r="L1837" t="s">
        <v>5658</v>
      </c>
    </row>
    <row r="1838" spans="1:12" x14ac:dyDescent="0.25">
      <c r="A1838" t="s">
        <v>5706</v>
      </c>
      <c r="B1838" t="s">
        <v>5707</v>
      </c>
      <c r="C1838" t="s">
        <v>5708</v>
      </c>
      <c r="F1838" t="s">
        <v>5709</v>
      </c>
      <c r="G1838" t="s">
        <v>1663</v>
      </c>
      <c r="H1838" t="s">
        <v>51</v>
      </c>
      <c r="I1838" t="s">
        <v>52</v>
      </c>
      <c r="J1838" t="s">
        <v>5533</v>
      </c>
      <c r="L1838" t="s">
        <v>5658</v>
      </c>
    </row>
    <row r="1839" spans="1:12" x14ac:dyDescent="0.25">
      <c r="A1839" t="s">
        <v>5710</v>
      </c>
      <c r="B1839" t="s">
        <v>5711</v>
      </c>
      <c r="C1839" t="s">
        <v>5712</v>
      </c>
      <c r="F1839" t="s">
        <v>5713</v>
      </c>
      <c r="G1839" t="s">
        <v>1663</v>
      </c>
      <c r="H1839" t="s">
        <v>51</v>
      </c>
      <c r="I1839" t="s">
        <v>52</v>
      </c>
      <c r="J1839" t="s">
        <v>5533</v>
      </c>
      <c r="L1839" t="s">
        <v>5658</v>
      </c>
    </row>
    <row r="1840" spans="1:12" x14ac:dyDescent="0.25">
      <c r="A1840" t="s">
        <v>5714</v>
      </c>
      <c r="B1840" t="s">
        <v>5715</v>
      </c>
      <c r="C1840" t="s">
        <v>5716</v>
      </c>
      <c r="F1840" t="s">
        <v>5066</v>
      </c>
      <c r="G1840" t="s">
        <v>1663</v>
      </c>
      <c r="H1840" t="s">
        <v>51</v>
      </c>
      <c r="I1840" t="s">
        <v>52</v>
      </c>
      <c r="J1840" t="s">
        <v>5533</v>
      </c>
      <c r="L1840" t="s">
        <v>5658</v>
      </c>
    </row>
    <row r="1841" spans="1:12" x14ac:dyDescent="0.25">
      <c r="A1841" t="s">
        <v>5717</v>
      </c>
      <c r="B1841" t="s">
        <v>5718</v>
      </c>
      <c r="C1841" t="s">
        <v>5719</v>
      </c>
      <c r="F1841" t="s">
        <v>5720</v>
      </c>
      <c r="G1841" t="s">
        <v>1663</v>
      </c>
      <c r="H1841" t="s">
        <v>51</v>
      </c>
      <c r="I1841" t="s">
        <v>52</v>
      </c>
      <c r="J1841" t="s">
        <v>5533</v>
      </c>
      <c r="L1841" t="s">
        <v>5658</v>
      </c>
    </row>
    <row r="1842" spans="1:12" x14ac:dyDescent="0.25">
      <c r="A1842" t="s">
        <v>5721</v>
      </c>
      <c r="B1842" t="s">
        <v>5722</v>
      </c>
      <c r="C1842" t="s">
        <v>5723</v>
      </c>
      <c r="F1842" t="s">
        <v>2950</v>
      </c>
      <c r="G1842" t="s">
        <v>1663</v>
      </c>
      <c r="H1842" t="s">
        <v>51</v>
      </c>
      <c r="I1842" t="s">
        <v>52</v>
      </c>
      <c r="J1842" t="s">
        <v>5724</v>
      </c>
      <c r="L1842" t="s">
        <v>1291</v>
      </c>
    </row>
    <row r="1843" spans="1:12" x14ac:dyDescent="0.25">
      <c r="A1843" t="s">
        <v>5725</v>
      </c>
      <c r="B1843" t="s">
        <v>5726</v>
      </c>
      <c r="C1843" t="s">
        <v>5727</v>
      </c>
      <c r="F1843" t="s">
        <v>1160</v>
      </c>
      <c r="G1843" t="s">
        <v>1663</v>
      </c>
      <c r="H1843" t="s">
        <v>51</v>
      </c>
      <c r="I1843" t="s">
        <v>52</v>
      </c>
      <c r="J1843" t="s">
        <v>5724</v>
      </c>
      <c r="L1843" t="s">
        <v>1291</v>
      </c>
    </row>
    <row r="1844" spans="1:12" x14ac:dyDescent="0.25">
      <c r="A1844" t="s">
        <v>5728</v>
      </c>
      <c r="B1844" t="s">
        <v>5729</v>
      </c>
      <c r="C1844" t="s">
        <v>5730</v>
      </c>
      <c r="F1844" t="s">
        <v>1590</v>
      </c>
      <c r="G1844" t="s">
        <v>5194</v>
      </c>
      <c r="H1844" t="s">
        <v>51</v>
      </c>
      <c r="I1844" t="s">
        <v>52</v>
      </c>
      <c r="J1844" t="s">
        <v>5731</v>
      </c>
      <c r="L1844" t="s">
        <v>1429</v>
      </c>
    </row>
    <row r="1845" spans="1:12" x14ac:dyDescent="0.25">
      <c r="A1845" t="s">
        <v>5732</v>
      </c>
      <c r="B1845" t="s">
        <v>5733</v>
      </c>
      <c r="C1845" t="s">
        <v>5734</v>
      </c>
      <c r="F1845" t="s">
        <v>3584</v>
      </c>
      <c r="G1845" t="s">
        <v>5194</v>
      </c>
      <c r="H1845" t="s">
        <v>51</v>
      </c>
      <c r="I1845" t="s">
        <v>52</v>
      </c>
      <c r="J1845" t="s">
        <v>5731</v>
      </c>
      <c r="L1845" t="s">
        <v>1429</v>
      </c>
    </row>
    <row r="1846" spans="1:12" x14ac:dyDescent="0.25">
      <c r="A1846" t="s">
        <v>5735</v>
      </c>
      <c r="B1846" t="s">
        <v>5736</v>
      </c>
      <c r="C1846" t="s">
        <v>5737</v>
      </c>
      <c r="F1846" t="s">
        <v>5738</v>
      </c>
      <c r="G1846" t="s">
        <v>1663</v>
      </c>
      <c r="H1846" t="s">
        <v>51</v>
      </c>
      <c r="I1846" t="s">
        <v>52</v>
      </c>
      <c r="J1846" t="s">
        <v>5724</v>
      </c>
      <c r="L1846" t="s">
        <v>1291</v>
      </c>
    </row>
    <row r="1847" spans="1:12" x14ac:dyDescent="0.25">
      <c r="A1847" t="s">
        <v>5739</v>
      </c>
      <c r="B1847" t="s">
        <v>5740</v>
      </c>
      <c r="C1847" t="s">
        <v>5741</v>
      </c>
      <c r="F1847" t="s">
        <v>1140</v>
      </c>
      <c r="G1847" t="s">
        <v>1663</v>
      </c>
      <c r="H1847" t="s">
        <v>51</v>
      </c>
      <c r="I1847" t="s">
        <v>52</v>
      </c>
      <c r="J1847" t="s">
        <v>5724</v>
      </c>
      <c r="L1847" t="s">
        <v>1291</v>
      </c>
    </row>
    <row r="1848" spans="1:12" x14ac:dyDescent="0.25">
      <c r="A1848" t="s">
        <v>5742</v>
      </c>
      <c r="B1848" t="s">
        <v>5743</v>
      </c>
      <c r="C1848" t="s">
        <v>5744</v>
      </c>
      <c r="F1848" t="s">
        <v>2278</v>
      </c>
      <c r="G1848" t="s">
        <v>1663</v>
      </c>
      <c r="H1848" t="s">
        <v>51</v>
      </c>
      <c r="I1848" t="s">
        <v>52</v>
      </c>
      <c r="J1848" t="s">
        <v>5724</v>
      </c>
      <c r="L1848" t="s">
        <v>1291</v>
      </c>
    </row>
    <row r="1849" spans="1:12" x14ac:dyDescent="0.25">
      <c r="A1849" t="s">
        <v>5745</v>
      </c>
      <c r="B1849" t="s">
        <v>5746</v>
      </c>
      <c r="C1849" t="s">
        <v>5747</v>
      </c>
      <c r="F1849" t="s">
        <v>5748</v>
      </c>
      <c r="G1849" t="s">
        <v>1663</v>
      </c>
      <c r="H1849" t="s">
        <v>51</v>
      </c>
      <c r="I1849" t="s">
        <v>52</v>
      </c>
      <c r="J1849" t="s">
        <v>5724</v>
      </c>
      <c r="L1849" t="s">
        <v>1291</v>
      </c>
    </row>
    <row r="1850" spans="1:12" x14ac:dyDescent="0.25">
      <c r="A1850" t="s">
        <v>5749</v>
      </c>
      <c r="B1850" t="s">
        <v>5750</v>
      </c>
      <c r="C1850" t="s">
        <v>5751</v>
      </c>
      <c r="F1850" t="s">
        <v>5752</v>
      </c>
      <c r="G1850" t="s">
        <v>1663</v>
      </c>
      <c r="H1850" t="s">
        <v>51</v>
      </c>
      <c r="I1850" t="s">
        <v>52</v>
      </c>
      <c r="J1850" t="s">
        <v>5724</v>
      </c>
      <c r="L1850" t="s">
        <v>1291</v>
      </c>
    </row>
    <row r="1851" spans="1:12" x14ac:dyDescent="0.25">
      <c r="A1851" t="s">
        <v>5753</v>
      </c>
      <c r="B1851" t="s">
        <v>5754</v>
      </c>
      <c r="C1851" t="s">
        <v>5755</v>
      </c>
      <c r="F1851" t="s">
        <v>5756</v>
      </c>
      <c r="G1851" t="s">
        <v>5194</v>
      </c>
      <c r="H1851" t="s">
        <v>51</v>
      </c>
      <c r="I1851" t="s">
        <v>52</v>
      </c>
      <c r="J1851" t="s">
        <v>5731</v>
      </c>
      <c r="L1851" t="s">
        <v>1429</v>
      </c>
    </row>
    <row r="1852" spans="1:12" x14ac:dyDescent="0.25">
      <c r="A1852" t="s">
        <v>5757</v>
      </c>
      <c r="B1852" t="s">
        <v>5758</v>
      </c>
      <c r="C1852" t="s">
        <v>5759</v>
      </c>
      <c r="F1852" t="s">
        <v>1596</v>
      </c>
      <c r="G1852" t="s">
        <v>5194</v>
      </c>
      <c r="H1852" t="s">
        <v>51</v>
      </c>
      <c r="I1852" t="s">
        <v>52</v>
      </c>
      <c r="J1852" t="s">
        <v>5731</v>
      </c>
      <c r="L1852" t="s">
        <v>1429</v>
      </c>
    </row>
    <row r="1853" spans="1:12" x14ac:dyDescent="0.25">
      <c r="A1853" t="s">
        <v>5760</v>
      </c>
      <c r="B1853" t="s">
        <v>5761</v>
      </c>
      <c r="C1853" t="s">
        <v>5762</v>
      </c>
      <c r="F1853" t="s">
        <v>1593</v>
      </c>
      <c r="G1853" t="s">
        <v>5194</v>
      </c>
      <c r="H1853" t="s">
        <v>51</v>
      </c>
      <c r="I1853" t="s">
        <v>52</v>
      </c>
      <c r="J1853" t="s">
        <v>5731</v>
      </c>
      <c r="L1853" t="s">
        <v>1429</v>
      </c>
    </row>
    <row r="1854" spans="1:12" x14ac:dyDescent="0.25">
      <c r="A1854" t="s">
        <v>5763</v>
      </c>
      <c r="B1854" t="s">
        <v>5764</v>
      </c>
      <c r="C1854" t="s">
        <v>5765</v>
      </c>
      <c r="F1854" t="s">
        <v>1795</v>
      </c>
      <c r="G1854" t="s">
        <v>5194</v>
      </c>
      <c r="H1854" t="s">
        <v>51</v>
      </c>
      <c r="I1854" t="s">
        <v>52</v>
      </c>
      <c r="J1854" t="s">
        <v>5731</v>
      </c>
      <c r="L1854" t="s">
        <v>1429</v>
      </c>
    </row>
    <row r="1855" spans="1:12" x14ac:dyDescent="0.25">
      <c r="A1855" t="s">
        <v>5766</v>
      </c>
      <c r="B1855" t="s">
        <v>5767</v>
      </c>
      <c r="C1855" t="s">
        <v>5768</v>
      </c>
      <c r="F1855" t="s">
        <v>1929</v>
      </c>
      <c r="G1855" t="s">
        <v>5194</v>
      </c>
      <c r="H1855" t="s">
        <v>51</v>
      </c>
      <c r="I1855" t="s">
        <v>52</v>
      </c>
      <c r="J1855" t="s">
        <v>5731</v>
      </c>
      <c r="L1855" t="s">
        <v>1429</v>
      </c>
    </row>
    <row r="1856" spans="1:12" x14ac:dyDescent="0.25">
      <c r="A1856" t="s">
        <v>5769</v>
      </c>
      <c r="B1856" t="s">
        <v>5770</v>
      </c>
      <c r="C1856" t="s">
        <v>5771</v>
      </c>
      <c r="F1856" t="s">
        <v>2123</v>
      </c>
      <c r="G1856" t="s">
        <v>5194</v>
      </c>
      <c r="H1856" t="s">
        <v>51</v>
      </c>
      <c r="I1856" t="s">
        <v>52</v>
      </c>
      <c r="J1856" t="s">
        <v>5731</v>
      </c>
      <c r="L1856" t="s">
        <v>1429</v>
      </c>
    </row>
    <row r="1857" spans="1:12" x14ac:dyDescent="0.25">
      <c r="A1857" t="s">
        <v>5772</v>
      </c>
      <c r="B1857" t="s">
        <v>5773</v>
      </c>
      <c r="C1857" t="s">
        <v>5774</v>
      </c>
      <c r="F1857" t="s">
        <v>2123</v>
      </c>
      <c r="G1857" t="s">
        <v>5194</v>
      </c>
      <c r="H1857" t="s">
        <v>51</v>
      </c>
      <c r="I1857" t="s">
        <v>52</v>
      </c>
      <c r="J1857" t="s">
        <v>5731</v>
      </c>
      <c r="L1857" t="s">
        <v>1429</v>
      </c>
    </row>
    <row r="1858" spans="1:12" x14ac:dyDescent="0.25">
      <c r="A1858" t="s">
        <v>5775</v>
      </c>
      <c r="B1858" t="s">
        <v>5231</v>
      </c>
      <c r="C1858" t="s">
        <v>5776</v>
      </c>
      <c r="F1858" t="s">
        <v>1601</v>
      </c>
      <c r="G1858" t="s">
        <v>5194</v>
      </c>
      <c r="H1858" t="s">
        <v>51</v>
      </c>
      <c r="I1858" t="s">
        <v>52</v>
      </c>
      <c r="J1858" t="s">
        <v>5731</v>
      </c>
      <c r="L1858" t="s">
        <v>1429</v>
      </c>
    </row>
    <row r="1859" spans="1:12" x14ac:dyDescent="0.25">
      <c r="A1859" t="s">
        <v>5777</v>
      </c>
      <c r="B1859" t="s">
        <v>5778</v>
      </c>
      <c r="C1859" t="s">
        <v>5779</v>
      </c>
      <c r="F1859" t="s">
        <v>3754</v>
      </c>
      <c r="G1859" t="s">
        <v>5194</v>
      </c>
      <c r="H1859" t="s">
        <v>51</v>
      </c>
      <c r="I1859" t="s">
        <v>52</v>
      </c>
      <c r="J1859" t="s">
        <v>5731</v>
      </c>
      <c r="L1859" t="s">
        <v>1429</v>
      </c>
    </row>
    <row r="1860" spans="1:12" x14ac:dyDescent="0.25">
      <c r="A1860" t="s">
        <v>5780</v>
      </c>
      <c r="B1860" t="s">
        <v>5781</v>
      </c>
      <c r="C1860" t="s">
        <v>5782</v>
      </c>
      <c r="F1860" t="s">
        <v>1929</v>
      </c>
      <c r="G1860" t="s">
        <v>5194</v>
      </c>
      <c r="H1860" t="s">
        <v>51</v>
      </c>
      <c r="I1860" t="s">
        <v>52</v>
      </c>
      <c r="J1860" t="s">
        <v>5731</v>
      </c>
      <c r="L1860" t="s">
        <v>1429</v>
      </c>
    </row>
    <row r="1861" spans="1:12" x14ac:dyDescent="0.25">
      <c r="A1861" t="s">
        <v>5783</v>
      </c>
      <c r="B1861" t="s">
        <v>5784</v>
      </c>
      <c r="C1861" t="s">
        <v>5785</v>
      </c>
      <c r="F1861" t="s">
        <v>1593</v>
      </c>
      <c r="G1861" t="s">
        <v>5194</v>
      </c>
      <c r="H1861" t="s">
        <v>51</v>
      </c>
      <c r="I1861" t="s">
        <v>52</v>
      </c>
      <c r="J1861" t="s">
        <v>5731</v>
      </c>
      <c r="L1861" t="s">
        <v>1429</v>
      </c>
    </row>
    <row r="1862" spans="1:12" x14ac:dyDescent="0.25">
      <c r="A1862" t="s">
        <v>5786</v>
      </c>
      <c r="B1862" t="s">
        <v>5787</v>
      </c>
      <c r="C1862" t="s">
        <v>5788</v>
      </c>
      <c r="F1862" t="s">
        <v>5789</v>
      </c>
      <c r="G1862" t="s">
        <v>5194</v>
      </c>
      <c r="H1862" t="s">
        <v>51</v>
      </c>
      <c r="I1862" t="s">
        <v>52</v>
      </c>
      <c r="J1862" t="s">
        <v>5731</v>
      </c>
      <c r="L1862" t="s">
        <v>1429</v>
      </c>
    </row>
    <row r="1863" spans="1:12" x14ac:dyDescent="0.25">
      <c r="A1863" t="s">
        <v>5790</v>
      </c>
      <c r="B1863" t="s">
        <v>5791</v>
      </c>
      <c r="C1863" t="s">
        <v>5792</v>
      </c>
      <c r="F1863" t="s">
        <v>1929</v>
      </c>
      <c r="G1863" t="s">
        <v>5194</v>
      </c>
      <c r="H1863" t="s">
        <v>51</v>
      </c>
      <c r="I1863" t="s">
        <v>52</v>
      </c>
      <c r="J1863" t="s">
        <v>5731</v>
      </c>
      <c r="L1863" t="s">
        <v>1429</v>
      </c>
    </row>
    <row r="1864" spans="1:12" x14ac:dyDescent="0.25">
      <c r="A1864" t="s">
        <v>5793</v>
      </c>
      <c r="B1864" t="s">
        <v>5794</v>
      </c>
      <c r="C1864" t="s">
        <v>5795</v>
      </c>
      <c r="F1864" t="s">
        <v>1601</v>
      </c>
      <c r="G1864" t="s">
        <v>5194</v>
      </c>
      <c r="H1864" t="s">
        <v>51</v>
      </c>
      <c r="I1864" t="s">
        <v>52</v>
      </c>
      <c r="J1864" t="s">
        <v>5731</v>
      </c>
      <c r="L1864" t="s">
        <v>1429</v>
      </c>
    </row>
    <row r="1865" spans="1:12" x14ac:dyDescent="0.25">
      <c r="A1865" t="s">
        <v>5796</v>
      </c>
      <c r="B1865" t="s">
        <v>5797</v>
      </c>
      <c r="C1865" t="s">
        <v>5798</v>
      </c>
      <c r="F1865" t="s">
        <v>5789</v>
      </c>
      <c r="G1865" t="s">
        <v>5194</v>
      </c>
      <c r="H1865" t="s">
        <v>51</v>
      </c>
      <c r="I1865" t="s">
        <v>52</v>
      </c>
      <c r="J1865" t="s">
        <v>5731</v>
      </c>
      <c r="L1865" t="s">
        <v>1429</v>
      </c>
    </row>
    <row r="1866" spans="1:12" x14ac:dyDescent="0.25">
      <c r="A1866" t="s">
        <v>5799</v>
      </c>
      <c r="B1866" t="s">
        <v>5800</v>
      </c>
      <c r="F1866" t="s">
        <v>5074</v>
      </c>
      <c r="G1866" t="s">
        <v>50</v>
      </c>
      <c r="H1866" t="s">
        <v>51</v>
      </c>
      <c r="I1866" t="s">
        <v>1655</v>
      </c>
      <c r="J1866" t="s">
        <v>1656</v>
      </c>
      <c r="L1866" t="s">
        <v>1291</v>
      </c>
    </row>
    <row r="1867" spans="1:12" x14ac:dyDescent="0.25">
      <c r="A1867" t="s">
        <v>5801</v>
      </c>
      <c r="B1867" t="s">
        <v>5802</v>
      </c>
      <c r="C1867" t="s">
        <v>5803</v>
      </c>
      <c r="F1867" t="s">
        <v>1590</v>
      </c>
      <c r="G1867" t="s">
        <v>5194</v>
      </c>
      <c r="H1867" t="s">
        <v>51</v>
      </c>
      <c r="I1867" t="s">
        <v>52</v>
      </c>
      <c r="J1867" t="s">
        <v>5731</v>
      </c>
      <c r="L1867" t="s">
        <v>1429</v>
      </c>
    </row>
    <row r="1868" spans="1:12" x14ac:dyDescent="0.25">
      <c r="A1868" t="s">
        <v>5804</v>
      </c>
      <c r="B1868" t="s">
        <v>5805</v>
      </c>
      <c r="C1868" t="s">
        <v>5806</v>
      </c>
      <c r="F1868" t="s">
        <v>1596</v>
      </c>
      <c r="G1868" t="s">
        <v>5194</v>
      </c>
      <c r="H1868" t="s">
        <v>51</v>
      </c>
      <c r="I1868" t="s">
        <v>52</v>
      </c>
      <c r="J1868" t="s">
        <v>5731</v>
      </c>
      <c r="L1868" t="s">
        <v>1429</v>
      </c>
    </row>
    <row r="1869" spans="1:12" x14ac:dyDescent="0.25">
      <c r="A1869" t="s">
        <v>5807</v>
      </c>
      <c r="B1869" t="s">
        <v>5808</v>
      </c>
      <c r="C1869" t="s">
        <v>5809</v>
      </c>
      <c r="F1869" t="s">
        <v>1929</v>
      </c>
      <c r="G1869" t="s">
        <v>5194</v>
      </c>
      <c r="H1869" t="s">
        <v>51</v>
      </c>
      <c r="I1869" t="s">
        <v>52</v>
      </c>
      <c r="J1869" t="s">
        <v>5731</v>
      </c>
      <c r="L1869" t="s">
        <v>1429</v>
      </c>
    </row>
    <row r="1870" spans="1:12" x14ac:dyDescent="0.25">
      <c r="A1870" t="s">
        <v>5810</v>
      </c>
      <c r="B1870" t="s">
        <v>5811</v>
      </c>
      <c r="C1870" t="s">
        <v>5812</v>
      </c>
      <c r="F1870" t="s">
        <v>1775</v>
      </c>
      <c r="G1870" t="s">
        <v>5194</v>
      </c>
      <c r="H1870" t="s">
        <v>51</v>
      </c>
      <c r="I1870" t="s">
        <v>52</v>
      </c>
      <c r="J1870" t="s">
        <v>5731</v>
      </c>
      <c r="L1870" t="s">
        <v>1429</v>
      </c>
    </row>
    <row r="1871" spans="1:12" x14ac:dyDescent="0.25">
      <c r="A1871" t="s">
        <v>5813</v>
      </c>
      <c r="B1871" t="s">
        <v>5814</v>
      </c>
      <c r="C1871" t="s">
        <v>5815</v>
      </c>
      <c r="F1871" t="s">
        <v>1929</v>
      </c>
      <c r="G1871" t="s">
        <v>5194</v>
      </c>
      <c r="H1871" t="s">
        <v>51</v>
      </c>
      <c r="I1871" t="s">
        <v>52</v>
      </c>
      <c r="J1871" t="s">
        <v>5731</v>
      </c>
      <c r="L1871" t="s">
        <v>1429</v>
      </c>
    </row>
    <row r="1872" spans="1:12" x14ac:dyDescent="0.25">
      <c r="A1872" t="s">
        <v>5816</v>
      </c>
      <c r="B1872" t="s">
        <v>5817</v>
      </c>
      <c r="C1872" t="s">
        <v>5818</v>
      </c>
      <c r="F1872" t="s">
        <v>5819</v>
      </c>
      <c r="G1872" t="s">
        <v>5194</v>
      </c>
      <c r="H1872" t="s">
        <v>51</v>
      </c>
      <c r="I1872" t="s">
        <v>52</v>
      </c>
      <c r="J1872" t="s">
        <v>5731</v>
      </c>
      <c r="L1872" t="s">
        <v>1429</v>
      </c>
    </row>
    <row r="1873" spans="1:12" x14ac:dyDescent="0.25">
      <c r="A1873" t="s">
        <v>5820</v>
      </c>
      <c r="B1873" t="s">
        <v>5821</v>
      </c>
      <c r="C1873" t="s">
        <v>5822</v>
      </c>
      <c r="F1873" t="s">
        <v>5823</v>
      </c>
      <c r="G1873" t="s">
        <v>5194</v>
      </c>
      <c r="H1873" t="s">
        <v>51</v>
      </c>
      <c r="I1873" t="s">
        <v>52</v>
      </c>
      <c r="J1873" t="s">
        <v>5731</v>
      </c>
      <c r="L1873" t="s">
        <v>1429</v>
      </c>
    </row>
    <row r="1874" spans="1:12" x14ac:dyDescent="0.25">
      <c r="A1874" t="s">
        <v>5824</v>
      </c>
      <c r="B1874" t="s">
        <v>5825</v>
      </c>
      <c r="C1874" t="s">
        <v>5826</v>
      </c>
      <c r="F1874" t="s">
        <v>1632</v>
      </c>
      <c r="G1874" t="s">
        <v>5194</v>
      </c>
      <c r="H1874" t="s">
        <v>51</v>
      </c>
      <c r="I1874" t="s">
        <v>52</v>
      </c>
      <c r="J1874" t="s">
        <v>5731</v>
      </c>
      <c r="L1874" t="s">
        <v>1429</v>
      </c>
    </row>
    <row r="1875" spans="1:12" x14ac:dyDescent="0.25">
      <c r="A1875" t="s">
        <v>5827</v>
      </c>
      <c r="B1875" t="s">
        <v>5828</v>
      </c>
      <c r="C1875" t="s">
        <v>5829</v>
      </c>
      <c r="F1875" t="s">
        <v>1632</v>
      </c>
      <c r="G1875" t="s">
        <v>5194</v>
      </c>
      <c r="H1875" t="s">
        <v>51</v>
      </c>
      <c r="I1875" t="s">
        <v>52</v>
      </c>
      <c r="J1875" t="s">
        <v>5731</v>
      </c>
      <c r="L1875" t="s">
        <v>1429</v>
      </c>
    </row>
    <row r="1876" spans="1:12" x14ac:dyDescent="0.25">
      <c r="A1876" t="s">
        <v>5830</v>
      </c>
      <c r="B1876" t="s">
        <v>5831</v>
      </c>
      <c r="C1876" t="s">
        <v>5832</v>
      </c>
      <c r="F1876" t="s">
        <v>1756</v>
      </c>
      <c r="G1876" t="s">
        <v>5194</v>
      </c>
      <c r="H1876" t="s">
        <v>51</v>
      </c>
      <c r="I1876" t="s">
        <v>52</v>
      </c>
      <c r="J1876" t="s">
        <v>5731</v>
      </c>
      <c r="L1876" t="s">
        <v>1429</v>
      </c>
    </row>
    <row r="1877" spans="1:12" x14ac:dyDescent="0.25">
      <c r="A1877" t="s">
        <v>5833</v>
      </c>
      <c r="B1877" t="s">
        <v>5834</v>
      </c>
      <c r="C1877" t="s">
        <v>5835</v>
      </c>
      <c r="F1877" t="s">
        <v>1771</v>
      </c>
      <c r="G1877" t="s">
        <v>5194</v>
      </c>
      <c r="H1877" t="s">
        <v>51</v>
      </c>
      <c r="I1877" t="s">
        <v>52</v>
      </c>
      <c r="J1877" t="s">
        <v>5731</v>
      </c>
      <c r="L1877" t="s">
        <v>1429</v>
      </c>
    </row>
    <row r="1878" spans="1:12" x14ac:dyDescent="0.25">
      <c r="A1878" t="s">
        <v>5836</v>
      </c>
      <c r="B1878" t="s">
        <v>5837</v>
      </c>
      <c r="C1878" t="s">
        <v>5838</v>
      </c>
      <c r="F1878" t="s">
        <v>5839</v>
      </c>
      <c r="G1878" t="s">
        <v>5194</v>
      </c>
      <c r="H1878" t="s">
        <v>51</v>
      </c>
      <c r="I1878" t="s">
        <v>52</v>
      </c>
      <c r="J1878" t="s">
        <v>5731</v>
      </c>
      <c r="L1878" t="s">
        <v>1429</v>
      </c>
    </row>
    <row r="1879" spans="1:12" x14ac:dyDescent="0.25">
      <c r="A1879" t="s">
        <v>5840</v>
      </c>
      <c r="B1879" t="s">
        <v>5192</v>
      </c>
      <c r="C1879" t="s">
        <v>5841</v>
      </c>
      <c r="F1879" t="s">
        <v>5789</v>
      </c>
      <c r="G1879" t="s">
        <v>5194</v>
      </c>
      <c r="H1879" t="s">
        <v>51</v>
      </c>
      <c r="I1879" t="s">
        <v>52</v>
      </c>
      <c r="J1879" t="s">
        <v>5731</v>
      </c>
      <c r="L1879" t="s">
        <v>1429</v>
      </c>
    </row>
    <row r="1880" spans="1:12" x14ac:dyDescent="0.25">
      <c r="A1880" t="s">
        <v>5842</v>
      </c>
      <c r="B1880" t="s">
        <v>5843</v>
      </c>
      <c r="C1880" t="s">
        <v>5844</v>
      </c>
      <c r="F1880" t="s">
        <v>5845</v>
      </c>
      <c r="G1880" t="s">
        <v>5194</v>
      </c>
      <c r="H1880" t="s">
        <v>51</v>
      </c>
      <c r="I1880" t="s">
        <v>52</v>
      </c>
      <c r="J1880" t="s">
        <v>5731</v>
      </c>
      <c r="L1880" t="s">
        <v>1429</v>
      </c>
    </row>
    <row r="1881" spans="1:12" x14ac:dyDescent="0.25">
      <c r="A1881" t="s">
        <v>5846</v>
      </c>
      <c r="B1881" t="s">
        <v>5847</v>
      </c>
      <c r="C1881" t="s">
        <v>5848</v>
      </c>
      <c r="F1881" t="s">
        <v>5849</v>
      </c>
      <c r="G1881" t="s">
        <v>5194</v>
      </c>
      <c r="H1881" t="s">
        <v>51</v>
      </c>
      <c r="I1881" t="s">
        <v>52</v>
      </c>
      <c r="J1881" t="s">
        <v>5731</v>
      </c>
      <c r="L1881" t="s">
        <v>1429</v>
      </c>
    </row>
    <row r="1882" spans="1:12" x14ac:dyDescent="0.25">
      <c r="A1882" t="s">
        <v>5850</v>
      </c>
      <c r="B1882" t="s">
        <v>5851</v>
      </c>
      <c r="C1882" t="s">
        <v>5852</v>
      </c>
      <c r="F1882" t="s">
        <v>3584</v>
      </c>
      <c r="G1882" t="s">
        <v>5194</v>
      </c>
      <c r="H1882" t="s">
        <v>51</v>
      </c>
      <c r="I1882" t="s">
        <v>52</v>
      </c>
      <c r="J1882" t="s">
        <v>5731</v>
      </c>
      <c r="L1882" t="s">
        <v>1429</v>
      </c>
    </row>
    <row r="1883" spans="1:12" x14ac:dyDescent="0.25">
      <c r="A1883" t="s">
        <v>5853</v>
      </c>
      <c r="B1883" t="s">
        <v>5854</v>
      </c>
      <c r="C1883" t="s">
        <v>5855</v>
      </c>
      <c r="F1883" t="s">
        <v>1590</v>
      </c>
      <c r="G1883" t="s">
        <v>5194</v>
      </c>
      <c r="H1883" t="s">
        <v>51</v>
      </c>
      <c r="I1883" t="s">
        <v>52</v>
      </c>
      <c r="J1883" t="s">
        <v>5731</v>
      </c>
      <c r="L1883" t="s">
        <v>1429</v>
      </c>
    </row>
    <row r="1884" spans="1:12" x14ac:dyDescent="0.25">
      <c r="A1884" t="s">
        <v>5856</v>
      </c>
      <c r="B1884" t="s">
        <v>5857</v>
      </c>
      <c r="C1884" t="s">
        <v>5858</v>
      </c>
      <c r="F1884" t="s">
        <v>1590</v>
      </c>
      <c r="G1884" t="s">
        <v>5194</v>
      </c>
      <c r="H1884" t="s">
        <v>51</v>
      </c>
      <c r="I1884" t="s">
        <v>52</v>
      </c>
      <c r="J1884" t="s">
        <v>5731</v>
      </c>
      <c r="L1884" t="s">
        <v>1429</v>
      </c>
    </row>
    <row r="1885" spans="1:12" x14ac:dyDescent="0.25">
      <c r="A1885" t="s">
        <v>5859</v>
      </c>
      <c r="B1885" t="s">
        <v>5860</v>
      </c>
      <c r="C1885" t="s">
        <v>5861</v>
      </c>
      <c r="F1885" t="s">
        <v>1596</v>
      </c>
      <c r="G1885" t="s">
        <v>5194</v>
      </c>
      <c r="H1885" t="s">
        <v>51</v>
      </c>
      <c r="I1885" t="s">
        <v>52</v>
      </c>
      <c r="J1885" t="s">
        <v>5731</v>
      </c>
      <c r="L1885" t="s">
        <v>1429</v>
      </c>
    </row>
    <row r="1886" spans="1:12" x14ac:dyDescent="0.25">
      <c r="A1886" t="s">
        <v>5862</v>
      </c>
      <c r="B1886" t="s">
        <v>5860</v>
      </c>
      <c r="C1886" t="s">
        <v>5861</v>
      </c>
      <c r="F1886" t="s">
        <v>1596</v>
      </c>
      <c r="G1886" t="s">
        <v>5194</v>
      </c>
      <c r="H1886" t="s">
        <v>51</v>
      </c>
      <c r="I1886" t="s">
        <v>52</v>
      </c>
      <c r="J1886" t="s">
        <v>5731</v>
      </c>
      <c r="L1886" t="s">
        <v>1429</v>
      </c>
    </row>
    <row r="1887" spans="1:12" x14ac:dyDescent="0.25">
      <c r="A1887" t="s">
        <v>5863</v>
      </c>
      <c r="B1887" t="s">
        <v>5805</v>
      </c>
      <c r="C1887" t="s">
        <v>5864</v>
      </c>
      <c r="F1887" t="s">
        <v>1929</v>
      </c>
      <c r="G1887" t="s">
        <v>5194</v>
      </c>
      <c r="H1887" t="s">
        <v>51</v>
      </c>
      <c r="I1887" t="s">
        <v>52</v>
      </c>
      <c r="J1887" t="s">
        <v>5731</v>
      </c>
      <c r="L1887" t="s">
        <v>1429</v>
      </c>
    </row>
    <row r="1888" spans="1:12" x14ac:dyDescent="0.25">
      <c r="A1888" t="s">
        <v>5865</v>
      </c>
      <c r="B1888" t="s">
        <v>5866</v>
      </c>
      <c r="C1888" t="s">
        <v>5867</v>
      </c>
      <c r="F1888" t="s">
        <v>1756</v>
      </c>
      <c r="G1888" t="s">
        <v>5194</v>
      </c>
      <c r="H1888" t="s">
        <v>51</v>
      </c>
      <c r="I1888" t="s">
        <v>52</v>
      </c>
      <c r="J1888" t="s">
        <v>5731</v>
      </c>
      <c r="L1888" t="s">
        <v>1429</v>
      </c>
    </row>
    <row r="1889" spans="1:12" x14ac:dyDescent="0.25">
      <c r="A1889" t="s">
        <v>5868</v>
      </c>
      <c r="B1889" t="s">
        <v>5869</v>
      </c>
      <c r="C1889" t="s">
        <v>5870</v>
      </c>
      <c r="F1889" t="s">
        <v>1756</v>
      </c>
      <c r="G1889" t="s">
        <v>5194</v>
      </c>
      <c r="H1889" t="s">
        <v>51</v>
      </c>
      <c r="I1889" t="s">
        <v>52</v>
      </c>
      <c r="J1889" t="s">
        <v>5731</v>
      </c>
      <c r="L1889" t="s">
        <v>1429</v>
      </c>
    </row>
    <row r="1890" spans="1:12" x14ac:dyDescent="0.25">
      <c r="A1890" t="s">
        <v>5871</v>
      </c>
      <c r="B1890" t="s">
        <v>5872</v>
      </c>
      <c r="C1890" t="s">
        <v>5873</v>
      </c>
      <c r="F1890" t="s">
        <v>1593</v>
      </c>
      <c r="G1890" t="s">
        <v>5194</v>
      </c>
      <c r="H1890" t="s">
        <v>51</v>
      </c>
      <c r="I1890" t="s">
        <v>52</v>
      </c>
      <c r="J1890" t="s">
        <v>5731</v>
      </c>
      <c r="L1890" t="s">
        <v>1429</v>
      </c>
    </row>
    <row r="1891" spans="1:12" x14ac:dyDescent="0.25">
      <c r="A1891" t="s">
        <v>5874</v>
      </c>
      <c r="B1891" t="s">
        <v>5872</v>
      </c>
      <c r="C1891" t="s">
        <v>5873</v>
      </c>
      <c r="F1891" t="s">
        <v>1593</v>
      </c>
      <c r="G1891" t="s">
        <v>5194</v>
      </c>
      <c r="H1891" t="s">
        <v>51</v>
      </c>
      <c r="I1891" t="s">
        <v>52</v>
      </c>
      <c r="J1891" t="s">
        <v>5731</v>
      </c>
      <c r="L1891" t="s">
        <v>1429</v>
      </c>
    </row>
    <row r="1892" spans="1:12" x14ac:dyDescent="0.25">
      <c r="A1892" t="s">
        <v>5875</v>
      </c>
      <c r="B1892" t="s">
        <v>5876</v>
      </c>
      <c r="C1892" t="s">
        <v>5877</v>
      </c>
      <c r="F1892" t="s">
        <v>5878</v>
      </c>
      <c r="G1892" t="s">
        <v>5194</v>
      </c>
      <c r="H1892" t="s">
        <v>51</v>
      </c>
      <c r="I1892" t="s">
        <v>52</v>
      </c>
      <c r="J1892" t="s">
        <v>5731</v>
      </c>
      <c r="L1892" t="s">
        <v>1429</v>
      </c>
    </row>
    <row r="1893" spans="1:12" x14ac:dyDescent="0.25">
      <c r="A1893" t="s">
        <v>5879</v>
      </c>
      <c r="B1893" t="s">
        <v>5797</v>
      </c>
      <c r="C1893" t="s">
        <v>5880</v>
      </c>
      <c r="F1893" t="s">
        <v>5789</v>
      </c>
      <c r="G1893" t="s">
        <v>5194</v>
      </c>
      <c r="H1893" t="s">
        <v>51</v>
      </c>
      <c r="I1893" t="s">
        <v>52</v>
      </c>
      <c r="J1893" t="s">
        <v>5731</v>
      </c>
      <c r="L1893" t="s">
        <v>1429</v>
      </c>
    </row>
    <row r="1894" spans="1:12" x14ac:dyDescent="0.25">
      <c r="A1894" t="s">
        <v>5881</v>
      </c>
      <c r="B1894" t="s">
        <v>5882</v>
      </c>
      <c r="C1894" t="s">
        <v>5883</v>
      </c>
      <c r="F1894" t="s">
        <v>1385</v>
      </c>
      <c r="G1894" t="s">
        <v>5194</v>
      </c>
      <c r="H1894" t="s">
        <v>51</v>
      </c>
      <c r="I1894" t="s">
        <v>52</v>
      </c>
      <c r="J1894" t="s">
        <v>5731</v>
      </c>
      <c r="L1894" t="s">
        <v>1429</v>
      </c>
    </row>
    <row r="1895" spans="1:12" x14ac:dyDescent="0.25">
      <c r="A1895" t="s">
        <v>5884</v>
      </c>
      <c r="B1895" t="s">
        <v>5885</v>
      </c>
      <c r="C1895" t="s">
        <v>5886</v>
      </c>
      <c r="F1895" t="s">
        <v>1385</v>
      </c>
      <c r="G1895" t="s">
        <v>5194</v>
      </c>
      <c r="H1895" t="s">
        <v>51</v>
      </c>
      <c r="I1895" t="s">
        <v>52</v>
      </c>
      <c r="J1895" t="s">
        <v>5731</v>
      </c>
      <c r="L1895" t="s">
        <v>1429</v>
      </c>
    </row>
    <row r="1896" spans="1:12" x14ac:dyDescent="0.25">
      <c r="A1896" t="s">
        <v>5887</v>
      </c>
      <c r="B1896" t="s">
        <v>5888</v>
      </c>
      <c r="C1896" t="s">
        <v>5889</v>
      </c>
      <c r="F1896" t="s">
        <v>1795</v>
      </c>
      <c r="G1896" t="s">
        <v>5194</v>
      </c>
      <c r="H1896" t="s">
        <v>51</v>
      </c>
      <c r="I1896" t="s">
        <v>52</v>
      </c>
      <c r="J1896" t="s">
        <v>5731</v>
      </c>
      <c r="L1896" t="s">
        <v>1429</v>
      </c>
    </row>
    <row r="1897" spans="1:12" x14ac:dyDescent="0.25">
      <c r="A1897" t="s">
        <v>5890</v>
      </c>
      <c r="B1897" t="s">
        <v>5891</v>
      </c>
      <c r="C1897" t="s">
        <v>5892</v>
      </c>
      <c r="F1897" t="s">
        <v>1795</v>
      </c>
      <c r="G1897" t="s">
        <v>5194</v>
      </c>
      <c r="H1897" t="s">
        <v>51</v>
      </c>
      <c r="I1897" t="s">
        <v>52</v>
      </c>
      <c r="J1897" t="s">
        <v>5731</v>
      </c>
      <c r="L1897" t="s">
        <v>1429</v>
      </c>
    </row>
    <row r="1898" spans="1:12" x14ac:dyDescent="0.25">
      <c r="A1898" t="s">
        <v>5893</v>
      </c>
      <c r="B1898" t="s">
        <v>5894</v>
      </c>
      <c r="C1898" t="s">
        <v>5895</v>
      </c>
      <c r="F1898" t="s">
        <v>1929</v>
      </c>
      <c r="G1898" t="s">
        <v>5194</v>
      </c>
      <c r="H1898" t="s">
        <v>51</v>
      </c>
      <c r="I1898" t="s">
        <v>52</v>
      </c>
      <c r="J1898" t="s">
        <v>5731</v>
      </c>
      <c r="L1898" t="s">
        <v>1429</v>
      </c>
    </row>
    <row r="1899" spans="1:12" x14ac:dyDescent="0.25">
      <c r="A1899" t="s">
        <v>5896</v>
      </c>
      <c r="B1899" t="s">
        <v>5897</v>
      </c>
      <c r="C1899" t="s">
        <v>5898</v>
      </c>
      <c r="F1899" t="s">
        <v>515</v>
      </c>
      <c r="G1899" t="s">
        <v>5194</v>
      </c>
      <c r="H1899" t="s">
        <v>51</v>
      </c>
      <c r="I1899" t="s">
        <v>52</v>
      </c>
      <c r="J1899" t="s">
        <v>5731</v>
      </c>
      <c r="L1899" t="s">
        <v>1429</v>
      </c>
    </row>
    <row r="1900" spans="1:12" x14ac:dyDescent="0.25">
      <c r="A1900" t="s">
        <v>5899</v>
      </c>
      <c r="B1900" t="s">
        <v>5900</v>
      </c>
      <c r="C1900" t="s">
        <v>5901</v>
      </c>
      <c r="F1900" t="s">
        <v>5823</v>
      </c>
      <c r="G1900" t="s">
        <v>5194</v>
      </c>
      <c r="H1900" t="s">
        <v>51</v>
      </c>
      <c r="I1900" t="s">
        <v>52</v>
      </c>
      <c r="J1900" t="s">
        <v>5731</v>
      </c>
      <c r="L1900" t="s">
        <v>1429</v>
      </c>
    </row>
    <row r="1901" spans="1:12" x14ac:dyDescent="0.25">
      <c r="A1901" t="s">
        <v>5902</v>
      </c>
      <c r="B1901" t="s">
        <v>5903</v>
      </c>
      <c r="C1901" t="s">
        <v>5904</v>
      </c>
      <c r="F1901" t="s">
        <v>5905</v>
      </c>
      <c r="G1901" t="s">
        <v>5194</v>
      </c>
      <c r="H1901" t="s">
        <v>51</v>
      </c>
      <c r="I1901" t="s">
        <v>52</v>
      </c>
      <c r="J1901" t="s">
        <v>5731</v>
      </c>
      <c r="L1901" t="s">
        <v>1429</v>
      </c>
    </row>
    <row r="1902" spans="1:12" x14ac:dyDescent="0.25">
      <c r="A1902" t="s">
        <v>5906</v>
      </c>
      <c r="B1902" t="s">
        <v>5907</v>
      </c>
      <c r="C1902" t="s">
        <v>5908</v>
      </c>
      <c r="F1902" t="s">
        <v>2587</v>
      </c>
      <c r="G1902" t="s">
        <v>5194</v>
      </c>
      <c r="H1902" t="s">
        <v>51</v>
      </c>
      <c r="I1902" t="s">
        <v>52</v>
      </c>
      <c r="J1902" t="s">
        <v>5731</v>
      </c>
      <c r="L1902" t="s">
        <v>1429</v>
      </c>
    </row>
    <row r="1903" spans="1:12" x14ac:dyDescent="0.25">
      <c r="A1903" t="s">
        <v>5909</v>
      </c>
      <c r="B1903" t="s">
        <v>5910</v>
      </c>
      <c r="C1903" t="s">
        <v>5911</v>
      </c>
      <c r="F1903" t="s">
        <v>1795</v>
      </c>
      <c r="G1903" t="s">
        <v>5194</v>
      </c>
      <c r="H1903" t="s">
        <v>51</v>
      </c>
      <c r="I1903" t="s">
        <v>52</v>
      </c>
      <c r="J1903" t="s">
        <v>5731</v>
      </c>
      <c r="L1903" t="s">
        <v>1429</v>
      </c>
    </row>
    <row r="1904" spans="1:12" x14ac:dyDescent="0.25">
      <c r="A1904" t="s">
        <v>5912</v>
      </c>
      <c r="B1904" t="s">
        <v>5913</v>
      </c>
      <c r="C1904" t="s">
        <v>5914</v>
      </c>
      <c r="F1904" t="s">
        <v>5915</v>
      </c>
      <c r="G1904" t="s">
        <v>5194</v>
      </c>
      <c r="H1904" t="s">
        <v>51</v>
      </c>
      <c r="I1904" t="s">
        <v>52</v>
      </c>
      <c r="J1904" t="s">
        <v>5731</v>
      </c>
      <c r="L1904" t="s">
        <v>1429</v>
      </c>
    </row>
    <row r="1905" spans="1:12" x14ac:dyDescent="0.25">
      <c r="A1905" t="s">
        <v>5916</v>
      </c>
      <c r="B1905" t="s">
        <v>5917</v>
      </c>
      <c r="C1905" t="s">
        <v>5918</v>
      </c>
      <c r="F1905" t="s">
        <v>5849</v>
      </c>
      <c r="G1905" t="s">
        <v>5194</v>
      </c>
      <c r="H1905" t="s">
        <v>51</v>
      </c>
      <c r="I1905" t="s">
        <v>52</v>
      </c>
      <c r="J1905" t="s">
        <v>5731</v>
      </c>
      <c r="L1905" t="s">
        <v>1429</v>
      </c>
    </row>
    <row r="1906" spans="1:12" x14ac:dyDescent="0.25">
      <c r="A1906" t="s">
        <v>5919</v>
      </c>
      <c r="B1906" t="s">
        <v>5920</v>
      </c>
      <c r="C1906" t="s">
        <v>5921</v>
      </c>
      <c r="F1906" t="s">
        <v>1359</v>
      </c>
      <c r="G1906" t="s">
        <v>5194</v>
      </c>
      <c r="H1906" t="s">
        <v>51</v>
      </c>
      <c r="I1906" t="s">
        <v>52</v>
      </c>
      <c r="J1906" t="s">
        <v>5731</v>
      </c>
      <c r="L1906" t="s">
        <v>1429</v>
      </c>
    </row>
    <row r="1907" spans="1:12" x14ac:dyDescent="0.25">
      <c r="A1907" t="s">
        <v>5922</v>
      </c>
      <c r="B1907" t="s">
        <v>3884</v>
      </c>
      <c r="C1907" t="s">
        <v>5923</v>
      </c>
      <c r="F1907" t="s">
        <v>1771</v>
      </c>
      <c r="G1907" t="s">
        <v>5194</v>
      </c>
      <c r="H1907" t="s">
        <v>51</v>
      </c>
      <c r="I1907" t="s">
        <v>52</v>
      </c>
      <c r="J1907" t="s">
        <v>5731</v>
      </c>
      <c r="L1907" t="s">
        <v>1429</v>
      </c>
    </row>
    <row r="1908" spans="1:12" x14ac:dyDescent="0.25">
      <c r="A1908" t="s">
        <v>5924</v>
      </c>
      <c r="B1908" t="s">
        <v>5925</v>
      </c>
      <c r="C1908" t="s">
        <v>5926</v>
      </c>
      <c r="F1908" t="s">
        <v>1929</v>
      </c>
      <c r="G1908" t="s">
        <v>5194</v>
      </c>
      <c r="H1908" t="s">
        <v>51</v>
      </c>
      <c r="I1908" t="s">
        <v>52</v>
      </c>
      <c r="J1908" t="s">
        <v>5731</v>
      </c>
      <c r="L1908" t="s">
        <v>1429</v>
      </c>
    </row>
    <row r="1909" spans="1:12" x14ac:dyDescent="0.25">
      <c r="A1909" t="s">
        <v>5927</v>
      </c>
      <c r="B1909" t="s">
        <v>5928</v>
      </c>
      <c r="C1909" t="s">
        <v>5929</v>
      </c>
      <c r="F1909" t="s">
        <v>1775</v>
      </c>
      <c r="G1909" t="s">
        <v>5194</v>
      </c>
      <c r="H1909" t="s">
        <v>51</v>
      </c>
      <c r="I1909" t="s">
        <v>52</v>
      </c>
      <c r="J1909" t="s">
        <v>5731</v>
      </c>
      <c r="L1909" t="s">
        <v>1429</v>
      </c>
    </row>
    <row r="1910" spans="1:12" x14ac:dyDescent="0.25">
      <c r="A1910" t="s">
        <v>5930</v>
      </c>
      <c r="B1910" t="s">
        <v>5931</v>
      </c>
      <c r="C1910" t="s">
        <v>5932</v>
      </c>
      <c r="F1910" t="s">
        <v>1140</v>
      </c>
      <c r="G1910" t="s">
        <v>50</v>
      </c>
      <c r="H1910" t="s">
        <v>51</v>
      </c>
      <c r="I1910" t="s">
        <v>5488</v>
      </c>
      <c r="J1910" t="s">
        <v>5933</v>
      </c>
      <c r="L1910" t="s">
        <v>1291</v>
      </c>
    </row>
    <row r="1911" spans="1:12" x14ac:dyDescent="0.25">
      <c r="A1911" t="s">
        <v>5934</v>
      </c>
      <c r="B1911" t="s">
        <v>5935</v>
      </c>
      <c r="C1911" t="s">
        <v>5936</v>
      </c>
      <c r="F1911" t="s">
        <v>475</v>
      </c>
      <c r="G1911" t="s">
        <v>50</v>
      </c>
      <c r="H1911" t="s">
        <v>51</v>
      </c>
      <c r="I1911" t="s">
        <v>5488</v>
      </c>
      <c r="J1911" t="s">
        <v>5933</v>
      </c>
      <c r="L1911" t="s">
        <v>1291</v>
      </c>
    </row>
    <row r="1912" spans="1:12" x14ac:dyDescent="0.25">
      <c r="A1912" t="s">
        <v>5937</v>
      </c>
      <c r="B1912" t="s">
        <v>5938</v>
      </c>
      <c r="C1912" t="s">
        <v>5939</v>
      </c>
      <c r="F1912" t="s">
        <v>2418</v>
      </c>
      <c r="G1912" t="s">
        <v>50</v>
      </c>
      <c r="H1912" t="s">
        <v>51</v>
      </c>
      <c r="I1912" t="s">
        <v>5488</v>
      </c>
      <c r="J1912" t="s">
        <v>5933</v>
      </c>
      <c r="L1912" t="s">
        <v>1291</v>
      </c>
    </row>
    <row r="1913" spans="1:12" x14ac:dyDescent="0.25">
      <c r="A1913" t="s">
        <v>5940</v>
      </c>
      <c r="B1913" t="s">
        <v>5941</v>
      </c>
      <c r="C1913" t="s">
        <v>5942</v>
      </c>
      <c r="F1913" t="s">
        <v>1014</v>
      </c>
      <c r="G1913" t="s">
        <v>50</v>
      </c>
      <c r="H1913" t="s">
        <v>51</v>
      </c>
      <c r="I1913" t="s">
        <v>5488</v>
      </c>
      <c r="J1913" t="s">
        <v>5933</v>
      </c>
      <c r="L1913" t="s">
        <v>1291</v>
      </c>
    </row>
    <row r="1914" spans="1:12" x14ac:dyDescent="0.25">
      <c r="A1914" t="s">
        <v>5943</v>
      </c>
      <c r="B1914" t="s">
        <v>5944</v>
      </c>
      <c r="C1914" t="s">
        <v>5945</v>
      </c>
      <c r="F1914" t="s">
        <v>5946</v>
      </c>
      <c r="G1914" t="s">
        <v>50</v>
      </c>
      <c r="H1914" t="s">
        <v>51</v>
      </c>
      <c r="I1914" t="s">
        <v>136</v>
      </c>
      <c r="J1914" t="s">
        <v>5947</v>
      </c>
      <c r="L1914" t="s">
        <v>1429</v>
      </c>
    </row>
    <row r="1915" spans="1:12" x14ac:dyDescent="0.25">
      <c r="A1915" t="s">
        <v>5948</v>
      </c>
      <c r="B1915" t="s">
        <v>5949</v>
      </c>
      <c r="C1915" t="s">
        <v>5950</v>
      </c>
      <c r="F1915" t="s">
        <v>5951</v>
      </c>
      <c r="G1915" t="s">
        <v>50</v>
      </c>
      <c r="H1915" t="s">
        <v>51</v>
      </c>
      <c r="I1915" t="s">
        <v>136</v>
      </c>
      <c r="J1915" t="s">
        <v>5947</v>
      </c>
      <c r="L1915" t="s">
        <v>1429</v>
      </c>
    </row>
    <row r="1916" spans="1:12" x14ac:dyDescent="0.25">
      <c r="A1916" t="s">
        <v>5952</v>
      </c>
      <c r="B1916" t="s">
        <v>5953</v>
      </c>
      <c r="C1916" t="s">
        <v>5954</v>
      </c>
      <c r="F1916" t="s">
        <v>156</v>
      </c>
      <c r="G1916" t="s">
        <v>50</v>
      </c>
      <c r="H1916" t="s">
        <v>51</v>
      </c>
      <c r="I1916" t="s">
        <v>136</v>
      </c>
      <c r="J1916" t="s">
        <v>5947</v>
      </c>
      <c r="L1916" t="s">
        <v>1429</v>
      </c>
    </row>
    <row r="1917" spans="1:12" x14ac:dyDescent="0.25">
      <c r="A1917" t="s">
        <v>5955</v>
      </c>
      <c r="B1917" t="s">
        <v>5956</v>
      </c>
      <c r="C1917" t="s">
        <v>5957</v>
      </c>
      <c r="F1917" t="s">
        <v>636</v>
      </c>
      <c r="G1917" t="s">
        <v>50</v>
      </c>
      <c r="H1917" t="s">
        <v>51</v>
      </c>
      <c r="I1917" t="s">
        <v>136</v>
      </c>
      <c r="J1917" t="s">
        <v>5947</v>
      </c>
      <c r="L1917" t="s">
        <v>1429</v>
      </c>
    </row>
    <row r="1918" spans="1:12" x14ac:dyDescent="0.25">
      <c r="A1918" t="s">
        <v>5958</v>
      </c>
      <c r="B1918" t="s">
        <v>5959</v>
      </c>
      <c r="C1918" t="s">
        <v>5960</v>
      </c>
      <c r="F1918" t="s">
        <v>485</v>
      </c>
      <c r="G1918" t="s">
        <v>50</v>
      </c>
      <c r="H1918" t="s">
        <v>51</v>
      </c>
      <c r="I1918" t="s">
        <v>136</v>
      </c>
      <c r="J1918" t="s">
        <v>5947</v>
      </c>
      <c r="L1918" t="s">
        <v>1429</v>
      </c>
    </row>
    <row r="1919" spans="1:12" x14ac:dyDescent="0.25">
      <c r="A1919" t="s">
        <v>5961</v>
      </c>
      <c r="B1919" t="s">
        <v>5962</v>
      </c>
      <c r="C1919" t="s">
        <v>5963</v>
      </c>
      <c r="F1919" t="s">
        <v>3306</v>
      </c>
      <c r="G1919" t="s">
        <v>50</v>
      </c>
      <c r="H1919" t="s">
        <v>51</v>
      </c>
      <c r="I1919" t="s">
        <v>136</v>
      </c>
      <c r="J1919" t="s">
        <v>5947</v>
      </c>
      <c r="L1919" t="s">
        <v>1429</v>
      </c>
    </row>
    <row r="1920" spans="1:12" x14ac:dyDescent="0.25">
      <c r="A1920" t="s">
        <v>5964</v>
      </c>
      <c r="B1920" t="s">
        <v>5965</v>
      </c>
      <c r="C1920" t="s">
        <v>5966</v>
      </c>
      <c r="F1920" t="s">
        <v>5967</v>
      </c>
      <c r="G1920" t="s">
        <v>50</v>
      </c>
      <c r="H1920" t="s">
        <v>51</v>
      </c>
      <c r="I1920" t="s">
        <v>136</v>
      </c>
      <c r="J1920" t="s">
        <v>5947</v>
      </c>
      <c r="L1920" t="s">
        <v>1429</v>
      </c>
    </row>
    <row r="1921" spans="1:12" x14ac:dyDescent="0.25">
      <c r="A1921" t="s">
        <v>5968</v>
      </c>
      <c r="B1921" t="s">
        <v>5969</v>
      </c>
      <c r="C1921" t="s">
        <v>5970</v>
      </c>
      <c r="F1921" t="s">
        <v>135</v>
      </c>
      <c r="G1921" t="s">
        <v>50</v>
      </c>
      <c r="H1921" t="s">
        <v>51</v>
      </c>
      <c r="I1921" t="s">
        <v>136</v>
      </c>
      <c r="J1921" t="s">
        <v>5947</v>
      </c>
      <c r="L1921" t="s">
        <v>1429</v>
      </c>
    </row>
    <row r="1922" spans="1:12" x14ac:dyDescent="0.25">
      <c r="A1922" t="s">
        <v>5971</v>
      </c>
      <c r="B1922" t="s">
        <v>5972</v>
      </c>
      <c r="C1922" t="s">
        <v>5973</v>
      </c>
      <c r="F1922" t="s">
        <v>842</v>
      </c>
      <c r="G1922" t="s">
        <v>50</v>
      </c>
      <c r="H1922" t="s">
        <v>51</v>
      </c>
      <c r="I1922" t="s">
        <v>136</v>
      </c>
      <c r="J1922" t="s">
        <v>5947</v>
      </c>
      <c r="L1922" t="s">
        <v>1429</v>
      </c>
    </row>
    <row r="1923" spans="1:12" x14ac:dyDescent="0.25">
      <c r="A1923" t="s">
        <v>5974</v>
      </c>
      <c r="B1923" t="s">
        <v>553</v>
      </c>
      <c r="C1923" t="s">
        <v>5975</v>
      </c>
      <c r="F1923" t="s">
        <v>5976</v>
      </c>
      <c r="G1923" t="s">
        <v>50</v>
      </c>
      <c r="H1923" t="s">
        <v>51</v>
      </c>
      <c r="I1923" t="s">
        <v>136</v>
      </c>
      <c r="J1923" t="s">
        <v>5947</v>
      </c>
      <c r="L1923" t="s">
        <v>1429</v>
      </c>
    </row>
    <row r="1924" spans="1:12" x14ac:dyDescent="0.25">
      <c r="A1924" t="s">
        <v>5977</v>
      </c>
      <c r="B1924" t="s">
        <v>5978</v>
      </c>
      <c r="C1924" t="s">
        <v>5979</v>
      </c>
      <c r="F1924" t="s">
        <v>1367</v>
      </c>
      <c r="G1924" t="s">
        <v>50</v>
      </c>
      <c r="H1924" t="s">
        <v>51</v>
      </c>
      <c r="I1924" t="s">
        <v>136</v>
      </c>
      <c r="J1924" t="s">
        <v>5947</v>
      </c>
      <c r="L1924" t="s">
        <v>1429</v>
      </c>
    </row>
    <row r="1925" spans="1:12" x14ac:dyDescent="0.25">
      <c r="A1925" t="s">
        <v>5980</v>
      </c>
      <c r="B1925" t="s">
        <v>5981</v>
      </c>
      <c r="C1925" t="s">
        <v>5982</v>
      </c>
      <c r="F1925" t="s">
        <v>5117</v>
      </c>
      <c r="G1925" t="s">
        <v>50</v>
      </c>
      <c r="H1925" t="s">
        <v>51</v>
      </c>
      <c r="I1925" t="s">
        <v>136</v>
      </c>
      <c r="J1925" t="s">
        <v>5947</v>
      </c>
      <c r="L1925" t="s">
        <v>1429</v>
      </c>
    </row>
    <row r="1926" spans="1:12" x14ac:dyDescent="0.25">
      <c r="A1926" t="s">
        <v>5983</v>
      </c>
      <c r="B1926" t="s">
        <v>1138</v>
      </c>
      <c r="C1926" t="s">
        <v>5984</v>
      </c>
      <c r="F1926" t="s">
        <v>5985</v>
      </c>
      <c r="G1926" t="s">
        <v>50</v>
      </c>
      <c r="H1926" t="s">
        <v>51</v>
      </c>
      <c r="I1926" t="s">
        <v>136</v>
      </c>
      <c r="J1926" t="s">
        <v>5947</v>
      </c>
      <c r="L1926" t="s">
        <v>1429</v>
      </c>
    </row>
    <row r="1927" spans="1:12" x14ac:dyDescent="0.25">
      <c r="A1927" t="s">
        <v>5986</v>
      </c>
      <c r="B1927" t="s">
        <v>5987</v>
      </c>
      <c r="C1927" t="s">
        <v>5988</v>
      </c>
      <c r="F1927" t="s">
        <v>310</v>
      </c>
      <c r="G1927" t="s">
        <v>50</v>
      </c>
      <c r="H1927" t="s">
        <v>51</v>
      </c>
      <c r="I1927" t="s">
        <v>136</v>
      </c>
      <c r="J1927" t="s">
        <v>5947</v>
      </c>
      <c r="L1927" t="s">
        <v>1429</v>
      </c>
    </row>
    <row r="1928" spans="1:12" x14ac:dyDescent="0.25">
      <c r="A1928" t="s">
        <v>5989</v>
      </c>
      <c r="B1928" t="s">
        <v>5990</v>
      </c>
      <c r="C1928" t="s">
        <v>5991</v>
      </c>
      <c r="F1928" t="s">
        <v>1168</v>
      </c>
      <c r="G1928" t="s">
        <v>50</v>
      </c>
      <c r="H1928" t="s">
        <v>51</v>
      </c>
      <c r="I1928" t="s">
        <v>136</v>
      </c>
      <c r="J1928" t="s">
        <v>5947</v>
      </c>
      <c r="L1928" t="s">
        <v>1429</v>
      </c>
    </row>
    <row r="1929" spans="1:12" x14ac:dyDescent="0.25">
      <c r="A1929" t="s">
        <v>5992</v>
      </c>
      <c r="B1929" t="s">
        <v>622</v>
      </c>
      <c r="C1929" t="s">
        <v>5993</v>
      </c>
      <c r="F1929" t="s">
        <v>1113</v>
      </c>
      <c r="G1929" t="s">
        <v>50</v>
      </c>
      <c r="H1929" t="s">
        <v>51</v>
      </c>
      <c r="I1929" t="s">
        <v>136</v>
      </c>
      <c r="J1929" t="s">
        <v>5947</v>
      </c>
      <c r="L1929" t="s">
        <v>1429</v>
      </c>
    </row>
    <row r="1930" spans="1:12" x14ac:dyDescent="0.25">
      <c r="A1930" t="s">
        <v>5994</v>
      </c>
      <c r="B1930" t="s">
        <v>5995</v>
      </c>
      <c r="C1930" t="s">
        <v>5996</v>
      </c>
      <c r="F1930" t="s">
        <v>5997</v>
      </c>
      <c r="G1930" t="s">
        <v>50</v>
      </c>
      <c r="H1930" t="s">
        <v>51</v>
      </c>
      <c r="I1930" t="s">
        <v>136</v>
      </c>
      <c r="J1930" t="s">
        <v>5947</v>
      </c>
      <c r="L1930" t="s">
        <v>1429</v>
      </c>
    </row>
    <row r="1931" spans="1:12" x14ac:dyDescent="0.25">
      <c r="A1931" t="s">
        <v>5998</v>
      </c>
      <c r="B1931" t="s">
        <v>5999</v>
      </c>
      <c r="C1931" t="s">
        <v>6000</v>
      </c>
      <c r="F1931" t="s">
        <v>135</v>
      </c>
      <c r="G1931" t="s">
        <v>50</v>
      </c>
      <c r="H1931" t="s">
        <v>51</v>
      </c>
      <c r="I1931" t="s">
        <v>136</v>
      </c>
      <c r="J1931" t="s">
        <v>5947</v>
      </c>
      <c r="L1931" t="s">
        <v>1429</v>
      </c>
    </row>
    <row r="1932" spans="1:12" x14ac:dyDescent="0.25">
      <c r="A1932" t="s">
        <v>6001</v>
      </c>
      <c r="B1932" t="s">
        <v>6002</v>
      </c>
      <c r="F1932" t="s">
        <v>981</v>
      </c>
      <c r="G1932" t="s">
        <v>50</v>
      </c>
      <c r="H1932" t="s">
        <v>51</v>
      </c>
      <c r="I1932" t="s">
        <v>3493</v>
      </c>
      <c r="J1932" t="s">
        <v>6003</v>
      </c>
      <c r="L1932" t="s">
        <v>1429</v>
      </c>
    </row>
    <row r="1933" spans="1:12" x14ac:dyDescent="0.25">
      <c r="A1933" t="s">
        <v>6004</v>
      </c>
      <c r="B1933" t="s">
        <v>6005</v>
      </c>
      <c r="C1933" t="s">
        <v>6006</v>
      </c>
      <c r="F1933" t="s">
        <v>82</v>
      </c>
      <c r="G1933" t="s">
        <v>50</v>
      </c>
      <c r="H1933" t="s">
        <v>51</v>
      </c>
      <c r="I1933" t="s">
        <v>136</v>
      </c>
      <c r="J1933" t="s">
        <v>5947</v>
      </c>
      <c r="L1933" t="s">
        <v>1429</v>
      </c>
    </row>
    <row r="1934" spans="1:12" x14ac:dyDescent="0.25">
      <c r="A1934" t="s">
        <v>6007</v>
      </c>
      <c r="B1934" t="s">
        <v>6008</v>
      </c>
      <c r="C1934" t="s">
        <v>6009</v>
      </c>
      <c r="F1934" t="s">
        <v>981</v>
      </c>
      <c r="G1934" t="s">
        <v>50</v>
      </c>
      <c r="H1934" t="s">
        <v>51</v>
      </c>
      <c r="I1934" t="s">
        <v>136</v>
      </c>
      <c r="J1934" t="s">
        <v>5947</v>
      </c>
      <c r="L1934" t="s">
        <v>1429</v>
      </c>
    </row>
    <row r="1935" spans="1:12" x14ac:dyDescent="0.25">
      <c r="A1935" t="s">
        <v>6010</v>
      </c>
      <c r="B1935" t="s">
        <v>6011</v>
      </c>
      <c r="C1935" t="s">
        <v>6012</v>
      </c>
      <c r="F1935" t="s">
        <v>6013</v>
      </c>
      <c r="G1935" t="s">
        <v>50</v>
      </c>
      <c r="H1935" t="s">
        <v>51</v>
      </c>
      <c r="I1935" t="s">
        <v>136</v>
      </c>
      <c r="J1935" t="s">
        <v>5947</v>
      </c>
      <c r="L1935" t="s">
        <v>1429</v>
      </c>
    </row>
    <row r="1936" spans="1:12" x14ac:dyDescent="0.25">
      <c r="A1936" t="s">
        <v>6014</v>
      </c>
      <c r="B1936" t="s">
        <v>6015</v>
      </c>
      <c r="C1936" t="s">
        <v>6016</v>
      </c>
      <c r="F1936" t="s">
        <v>2775</v>
      </c>
      <c r="G1936" t="s">
        <v>50</v>
      </c>
      <c r="H1936" t="s">
        <v>51</v>
      </c>
      <c r="I1936" t="s">
        <v>136</v>
      </c>
      <c r="J1936" t="s">
        <v>5947</v>
      </c>
      <c r="L1936" t="s">
        <v>1429</v>
      </c>
    </row>
    <row r="1937" spans="1:12" x14ac:dyDescent="0.25">
      <c r="A1937" t="s">
        <v>6017</v>
      </c>
      <c r="B1937" t="s">
        <v>6018</v>
      </c>
      <c r="C1937" t="s">
        <v>6019</v>
      </c>
      <c r="F1937" t="s">
        <v>6020</v>
      </c>
      <c r="G1937" t="s">
        <v>50</v>
      </c>
      <c r="H1937" t="s">
        <v>51</v>
      </c>
      <c r="I1937" t="s">
        <v>136</v>
      </c>
      <c r="J1937" t="s">
        <v>5947</v>
      </c>
      <c r="L1937" t="s">
        <v>1429</v>
      </c>
    </row>
    <row r="1938" spans="1:12" x14ac:dyDescent="0.25">
      <c r="A1938" t="s">
        <v>6021</v>
      </c>
      <c r="B1938" t="s">
        <v>6022</v>
      </c>
      <c r="C1938" t="s">
        <v>6023</v>
      </c>
      <c r="F1938" t="s">
        <v>6024</v>
      </c>
      <c r="G1938" t="s">
        <v>50</v>
      </c>
      <c r="H1938" t="s">
        <v>51</v>
      </c>
      <c r="I1938" t="s">
        <v>136</v>
      </c>
      <c r="J1938" t="s">
        <v>5947</v>
      </c>
      <c r="L1938" t="s">
        <v>1429</v>
      </c>
    </row>
    <row r="1939" spans="1:12" x14ac:dyDescent="0.25">
      <c r="A1939" t="s">
        <v>6025</v>
      </c>
      <c r="B1939" t="s">
        <v>6026</v>
      </c>
      <c r="C1939" t="s">
        <v>6027</v>
      </c>
      <c r="F1939" t="s">
        <v>5410</v>
      </c>
      <c r="G1939" t="s">
        <v>50</v>
      </c>
      <c r="H1939" t="s">
        <v>51</v>
      </c>
      <c r="I1939" t="s">
        <v>136</v>
      </c>
      <c r="J1939" t="s">
        <v>5947</v>
      </c>
      <c r="L1939" t="s">
        <v>1429</v>
      </c>
    </row>
    <row r="1940" spans="1:12" x14ac:dyDescent="0.25">
      <c r="A1940" t="s">
        <v>6028</v>
      </c>
      <c r="B1940" t="s">
        <v>294</v>
      </c>
      <c r="C1940" t="s">
        <v>6029</v>
      </c>
      <c r="F1940" t="s">
        <v>222</v>
      </c>
      <c r="G1940" t="s">
        <v>50</v>
      </c>
      <c r="H1940" t="s">
        <v>51</v>
      </c>
      <c r="I1940" t="s">
        <v>136</v>
      </c>
      <c r="J1940" t="s">
        <v>5947</v>
      </c>
      <c r="L1940" t="s">
        <v>1429</v>
      </c>
    </row>
    <row r="1941" spans="1:12" x14ac:dyDescent="0.25">
      <c r="A1941" t="s">
        <v>6030</v>
      </c>
      <c r="B1941" t="s">
        <v>6031</v>
      </c>
      <c r="C1941" t="s">
        <v>6032</v>
      </c>
      <c r="F1941" t="s">
        <v>6033</v>
      </c>
      <c r="G1941" t="s">
        <v>50</v>
      </c>
      <c r="H1941" t="s">
        <v>51</v>
      </c>
      <c r="I1941" t="s">
        <v>136</v>
      </c>
      <c r="J1941" t="s">
        <v>5947</v>
      </c>
      <c r="L1941" t="s">
        <v>1429</v>
      </c>
    </row>
    <row r="1942" spans="1:12" x14ac:dyDescent="0.25">
      <c r="A1942" t="s">
        <v>6034</v>
      </c>
      <c r="B1942" t="s">
        <v>6035</v>
      </c>
      <c r="C1942" t="s">
        <v>6036</v>
      </c>
      <c r="F1942" t="s">
        <v>346</v>
      </c>
      <c r="G1942" t="s">
        <v>50</v>
      </c>
      <c r="H1942" t="s">
        <v>51</v>
      </c>
      <c r="I1942" t="s">
        <v>136</v>
      </c>
      <c r="J1942" t="s">
        <v>5947</v>
      </c>
      <c r="L1942" t="s">
        <v>1429</v>
      </c>
    </row>
    <row r="1943" spans="1:12" x14ac:dyDescent="0.25">
      <c r="A1943" t="s">
        <v>6037</v>
      </c>
      <c r="B1943" t="s">
        <v>6038</v>
      </c>
      <c r="C1943" t="s">
        <v>6039</v>
      </c>
      <c r="F1943" t="s">
        <v>6033</v>
      </c>
      <c r="G1943" t="s">
        <v>50</v>
      </c>
      <c r="H1943" t="s">
        <v>51</v>
      </c>
      <c r="I1943" t="s">
        <v>136</v>
      </c>
      <c r="J1943" t="s">
        <v>5947</v>
      </c>
      <c r="L1943" t="s">
        <v>1429</v>
      </c>
    </row>
    <row r="1944" spans="1:12" x14ac:dyDescent="0.25">
      <c r="A1944" t="s">
        <v>6040</v>
      </c>
      <c r="B1944" t="s">
        <v>1229</v>
      </c>
      <c r="C1944" t="s">
        <v>6041</v>
      </c>
      <c r="F1944" t="s">
        <v>5410</v>
      </c>
      <c r="G1944" t="s">
        <v>50</v>
      </c>
      <c r="H1944" t="s">
        <v>51</v>
      </c>
      <c r="I1944" t="s">
        <v>136</v>
      </c>
      <c r="J1944" t="s">
        <v>5947</v>
      </c>
      <c r="L1944" t="s">
        <v>1429</v>
      </c>
    </row>
    <row r="1945" spans="1:12" x14ac:dyDescent="0.25">
      <c r="A1945" t="s">
        <v>6042</v>
      </c>
      <c r="B1945" t="s">
        <v>6043</v>
      </c>
      <c r="C1945" t="s">
        <v>6044</v>
      </c>
      <c r="F1945" t="s">
        <v>903</v>
      </c>
      <c r="G1945" t="s">
        <v>50</v>
      </c>
      <c r="H1945" t="s">
        <v>51</v>
      </c>
      <c r="I1945" t="s">
        <v>136</v>
      </c>
      <c r="J1945" t="s">
        <v>5947</v>
      </c>
      <c r="L1945" t="s">
        <v>1429</v>
      </c>
    </row>
    <row r="1946" spans="1:12" x14ac:dyDescent="0.25">
      <c r="A1946" t="s">
        <v>6045</v>
      </c>
      <c r="B1946" t="s">
        <v>6046</v>
      </c>
      <c r="C1946" t="s">
        <v>6047</v>
      </c>
      <c r="F1946" t="s">
        <v>849</v>
      </c>
      <c r="G1946" t="s">
        <v>50</v>
      </c>
      <c r="H1946" t="s">
        <v>51</v>
      </c>
      <c r="I1946" t="s">
        <v>136</v>
      </c>
      <c r="J1946" t="s">
        <v>5947</v>
      </c>
      <c r="L1946" t="s">
        <v>1429</v>
      </c>
    </row>
    <row r="1947" spans="1:12" x14ac:dyDescent="0.25">
      <c r="A1947" t="s">
        <v>6048</v>
      </c>
      <c r="B1947" t="s">
        <v>6049</v>
      </c>
      <c r="C1947" t="s">
        <v>6050</v>
      </c>
      <c r="F1947" t="s">
        <v>6051</v>
      </c>
      <c r="G1947" t="s">
        <v>50</v>
      </c>
      <c r="H1947" t="s">
        <v>51</v>
      </c>
      <c r="I1947" t="s">
        <v>136</v>
      </c>
      <c r="J1947" t="s">
        <v>5947</v>
      </c>
      <c r="L1947" t="s">
        <v>1429</v>
      </c>
    </row>
    <row r="1948" spans="1:12" x14ac:dyDescent="0.25">
      <c r="A1948" t="s">
        <v>6052</v>
      </c>
      <c r="B1948" t="s">
        <v>6053</v>
      </c>
      <c r="C1948" t="s">
        <v>6054</v>
      </c>
      <c r="F1948" t="s">
        <v>889</v>
      </c>
      <c r="G1948" t="s">
        <v>50</v>
      </c>
      <c r="H1948" t="s">
        <v>51</v>
      </c>
      <c r="I1948" t="s">
        <v>136</v>
      </c>
      <c r="J1948" t="s">
        <v>5947</v>
      </c>
      <c r="L1948" t="s">
        <v>1429</v>
      </c>
    </row>
    <row r="1949" spans="1:12" x14ac:dyDescent="0.25">
      <c r="A1949" t="s">
        <v>6055</v>
      </c>
      <c r="B1949" t="s">
        <v>615</v>
      </c>
      <c r="C1949" t="s">
        <v>6056</v>
      </c>
      <c r="F1949" t="s">
        <v>215</v>
      </c>
      <c r="G1949" t="s">
        <v>50</v>
      </c>
      <c r="H1949" t="s">
        <v>51</v>
      </c>
      <c r="I1949" t="s">
        <v>136</v>
      </c>
      <c r="J1949" t="s">
        <v>5947</v>
      </c>
      <c r="L1949" t="s">
        <v>1429</v>
      </c>
    </row>
    <row r="1950" spans="1:12" x14ac:dyDescent="0.25">
      <c r="A1950" t="s">
        <v>6057</v>
      </c>
      <c r="B1950" t="s">
        <v>6058</v>
      </c>
      <c r="C1950" t="s">
        <v>6059</v>
      </c>
      <c r="F1950" t="s">
        <v>6060</v>
      </c>
      <c r="G1950" t="s">
        <v>50</v>
      </c>
      <c r="H1950" t="s">
        <v>51</v>
      </c>
      <c r="I1950" t="s">
        <v>136</v>
      </c>
      <c r="J1950" t="s">
        <v>5947</v>
      </c>
      <c r="L1950" t="s">
        <v>1429</v>
      </c>
    </row>
    <row r="1951" spans="1:12" x14ac:dyDescent="0.25">
      <c r="A1951" t="s">
        <v>6061</v>
      </c>
      <c r="B1951" t="s">
        <v>6062</v>
      </c>
      <c r="C1951" t="s">
        <v>6063</v>
      </c>
      <c r="F1951" t="s">
        <v>6064</v>
      </c>
      <c r="G1951" t="s">
        <v>50</v>
      </c>
      <c r="H1951" t="s">
        <v>51</v>
      </c>
      <c r="I1951" t="s">
        <v>136</v>
      </c>
      <c r="J1951" t="s">
        <v>5947</v>
      </c>
      <c r="L1951" t="s">
        <v>1429</v>
      </c>
    </row>
    <row r="1952" spans="1:12" x14ac:dyDescent="0.25">
      <c r="A1952" t="s">
        <v>6065</v>
      </c>
      <c r="B1952" t="s">
        <v>6066</v>
      </c>
      <c r="C1952" t="s">
        <v>6067</v>
      </c>
      <c r="F1952" t="s">
        <v>135</v>
      </c>
      <c r="G1952" t="s">
        <v>50</v>
      </c>
      <c r="H1952" t="s">
        <v>51</v>
      </c>
      <c r="I1952" t="s">
        <v>136</v>
      </c>
      <c r="J1952" t="s">
        <v>5947</v>
      </c>
      <c r="L1952" t="s">
        <v>1429</v>
      </c>
    </row>
    <row r="1953" spans="1:12" x14ac:dyDescent="0.25">
      <c r="A1953" t="s">
        <v>6068</v>
      </c>
      <c r="B1953" t="s">
        <v>377</v>
      </c>
      <c r="C1953" t="s">
        <v>6069</v>
      </c>
      <c r="F1953" t="s">
        <v>135</v>
      </c>
      <c r="G1953" t="s">
        <v>50</v>
      </c>
      <c r="H1953" t="s">
        <v>51</v>
      </c>
      <c r="I1953" t="s">
        <v>136</v>
      </c>
      <c r="J1953" t="s">
        <v>5947</v>
      </c>
      <c r="L1953" t="s">
        <v>1429</v>
      </c>
    </row>
    <row r="1954" spans="1:12" x14ac:dyDescent="0.25">
      <c r="A1954" t="s">
        <v>6070</v>
      </c>
      <c r="B1954" t="s">
        <v>271</v>
      </c>
      <c r="C1954" t="s">
        <v>6071</v>
      </c>
      <c r="F1954" t="s">
        <v>5324</v>
      </c>
      <c r="G1954" t="s">
        <v>50</v>
      </c>
      <c r="H1954" t="s">
        <v>51</v>
      </c>
      <c r="I1954" t="s">
        <v>136</v>
      </c>
      <c r="J1954" t="s">
        <v>5947</v>
      </c>
      <c r="L1954" t="s">
        <v>1429</v>
      </c>
    </row>
    <row r="1955" spans="1:12" x14ac:dyDescent="0.25">
      <c r="A1955" t="s">
        <v>6072</v>
      </c>
      <c r="B1955" t="s">
        <v>6073</v>
      </c>
      <c r="C1955" t="s">
        <v>6074</v>
      </c>
      <c r="F1955" t="s">
        <v>6075</v>
      </c>
      <c r="G1955" t="s">
        <v>50</v>
      </c>
      <c r="H1955" t="s">
        <v>51</v>
      </c>
      <c r="I1955" t="s">
        <v>136</v>
      </c>
      <c r="J1955" t="s">
        <v>5947</v>
      </c>
      <c r="L1955" t="s">
        <v>1429</v>
      </c>
    </row>
    <row r="1956" spans="1:12" x14ac:dyDescent="0.25">
      <c r="A1956" t="s">
        <v>6076</v>
      </c>
      <c r="B1956" t="s">
        <v>6077</v>
      </c>
      <c r="C1956" t="s">
        <v>6078</v>
      </c>
      <c r="F1956" t="s">
        <v>1105</v>
      </c>
      <c r="G1956" t="s">
        <v>50</v>
      </c>
      <c r="H1956" t="s">
        <v>51</v>
      </c>
      <c r="I1956" t="s">
        <v>136</v>
      </c>
      <c r="J1956" t="s">
        <v>5947</v>
      </c>
      <c r="L1956" t="s">
        <v>1429</v>
      </c>
    </row>
    <row r="1957" spans="1:12" x14ac:dyDescent="0.25">
      <c r="A1957" t="s">
        <v>6079</v>
      </c>
      <c r="B1957" t="s">
        <v>6080</v>
      </c>
      <c r="C1957" t="s">
        <v>6081</v>
      </c>
      <c r="F1957" t="s">
        <v>199</v>
      </c>
      <c r="G1957" t="s">
        <v>50</v>
      </c>
      <c r="H1957" t="s">
        <v>51</v>
      </c>
      <c r="I1957" t="s">
        <v>136</v>
      </c>
      <c r="J1957" t="s">
        <v>5947</v>
      </c>
      <c r="L1957" t="s">
        <v>1429</v>
      </c>
    </row>
    <row r="1958" spans="1:12" x14ac:dyDescent="0.25">
      <c r="A1958" t="s">
        <v>6082</v>
      </c>
      <c r="B1958" t="s">
        <v>6083</v>
      </c>
      <c r="C1958" t="s">
        <v>6084</v>
      </c>
      <c r="F1958" t="s">
        <v>5070</v>
      </c>
      <c r="G1958" t="s">
        <v>50</v>
      </c>
      <c r="H1958" t="s">
        <v>51</v>
      </c>
      <c r="I1958" t="s">
        <v>136</v>
      </c>
      <c r="J1958" t="s">
        <v>5947</v>
      </c>
      <c r="L1958" t="s">
        <v>1429</v>
      </c>
    </row>
    <row r="1959" spans="1:12" x14ac:dyDescent="0.25">
      <c r="A1959" t="s">
        <v>6085</v>
      </c>
      <c r="B1959" t="s">
        <v>6086</v>
      </c>
      <c r="C1959" t="s">
        <v>6087</v>
      </c>
      <c r="F1959" t="s">
        <v>636</v>
      </c>
      <c r="G1959" t="s">
        <v>50</v>
      </c>
      <c r="H1959" t="s">
        <v>51</v>
      </c>
      <c r="I1959" t="s">
        <v>136</v>
      </c>
      <c r="J1959" t="s">
        <v>5947</v>
      </c>
      <c r="L1959" t="s">
        <v>1429</v>
      </c>
    </row>
    <row r="1960" spans="1:12" x14ac:dyDescent="0.25">
      <c r="A1960" t="s">
        <v>6088</v>
      </c>
      <c r="B1960" t="s">
        <v>549</v>
      </c>
      <c r="C1960" t="s">
        <v>5326</v>
      </c>
      <c r="F1960" t="s">
        <v>6089</v>
      </c>
      <c r="G1960" t="s">
        <v>50</v>
      </c>
      <c r="H1960" t="s">
        <v>51</v>
      </c>
      <c r="I1960" t="s">
        <v>136</v>
      </c>
      <c r="J1960" t="s">
        <v>5947</v>
      </c>
      <c r="L1960" t="s">
        <v>1429</v>
      </c>
    </row>
    <row r="1961" spans="1:12" x14ac:dyDescent="0.25">
      <c r="A1961" t="s">
        <v>6090</v>
      </c>
      <c r="B1961" t="s">
        <v>6091</v>
      </c>
      <c r="C1961" t="s">
        <v>6092</v>
      </c>
      <c r="F1961" t="s">
        <v>6093</v>
      </c>
      <c r="G1961" t="s">
        <v>50</v>
      </c>
      <c r="H1961" t="s">
        <v>51</v>
      </c>
      <c r="I1961" t="s">
        <v>136</v>
      </c>
      <c r="J1961" t="s">
        <v>5947</v>
      </c>
      <c r="L1961" t="s">
        <v>1429</v>
      </c>
    </row>
    <row r="1962" spans="1:12" x14ac:dyDescent="0.25">
      <c r="A1962" t="s">
        <v>6094</v>
      </c>
      <c r="B1962" t="s">
        <v>6095</v>
      </c>
      <c r="C1962" t="s">
        <v>6096</v>
      </c>
      <c r="F1962" t="s">
        <v>6097</v>
      </c>
      <c r="G1962" t="s">
        <v>50</v>
      </c>
      <c r="H1962" t="s">
        <v>51</v>
      </c>
      <c r="I1962" t="s">
        <v>136</v>
      </c>
      <c r="J1962" t="s">
        <v>5947</v>
      </c>
      <c r="L1962" t="s">
        <v>1429</v>
      </c>
    </row>
    <row r="1963" spans="1:12" x14ac:dyDescent="0.25">
      <c r="A1963" t="s">
        <v>6098</v>
      </c>
      <c r="B1963" t="s">
        <v>6099</v>
      </c>
      <c r="C1963" t="s">
        <v>6100</v>
      </c>
      <c r="F1963" t="s">
        <v>859</v>
      </c>
      <c r="G1963" t="s">
        <v>50</v>
      </c>
      <c r="H1963" t="s">
        <v>51</v>
      </c>
      <c r="I1963" t="s">
        <v>136</v>
      </c>
      <c r="J1963" t="s">
        <v>5947</v>
      </c>
      <c r="L1963" t="s">
        <v>1429</v>
      </c>
    </row>
    <row r="1964" spans="1:12" x14ac:dyDescent="0.25">
      <c r="A1964" t="s">
        <v>6101</v>
      </c>
      <c r="B1964" t="s">
        <v>6102</v>
      </c>
      <c r="C1964" t="s">
        <v>6103</v>
      </c>
      <c r="F1964" t="s">
        <v>6104</v>
      </c>
      <c r="G1964" t="s">
        <v>50</v>
      </c>
      <c r="H1964" t="s">
        <v>51</v>
      </c>
      <c r="I1964" t="s">
        <v>136</v>
      </c>
      <c r="J1964" t="s">
        <v>5947</v>
      </c>
      <c r="L1964" t="s">
        <v>1429</v>
      </c>
    </row>
    <row r="1965" spans="1:12" x14ac:dyDescent="0.25">
      <c r="A1965" t="s">
        <v>6105</v>
      </c>
      <c r="B1965" t="s">
        <v>6106</v>
      </c>
      <c r="C1965" t="s">
        <v>6107</v>
      </c>
      <c r="F1965" t="s">
        <v>4983</v>
      </c>
      <c r="G1965" t="s">
        <v>50</v>
      </c>
      <c r="H1965" t="s">
        <v>51</v>
      </c>
      <c r="I1965" t="s">
        <v>136</v>
      </c>
      <c r="J1965" t="s">
        <v>5947</v>
      </c>
      <c r="L1965" t="s">
        <v>1429</v>
      </c>
    </row>
    <row r="1966" spans="1:12" x14ac:dyDescent="0.25">
      <c r="A1966" t="s">
        <v>6108</v>
      </c>
      <c r="B1966" t="s">
        <v>6109</v>
      </c>
      <c r="C1966" t="s">
        <v>6110</v>
      </c>
      <c r="F1966" t="s">
        <v>6111</v>
      </c>
      <c r="G1966" t="s">
        <v>50</v>
      </c>
      <c r="H1966" t="s">
        <v>51</v>
      </c>
      <c r="I1966" t="s">
        <v>136</v>
      </c>
      <c r="J1966" t="s">
        <v>5947</v>
      </c>
      <c r="L1966" t="s">
        <v>1429</v>
      </c>
    </row>
    <row r="1967" spans="1:12" x14ac:dyDescent="0.25">
      <c r="A1967" t="s">
        <v>6112</v>
      </c>
      <c r="B1967" t="s">
        <v>6113</v>
      </c>
      <c r="C1967" t="s">
        <v>6114</v>
      </c>
      <c r="F1967" t="s">
        <v>6115</v>
      </c>
      <c r="G1967" t="s">
        <v>50</v>
      </c>
      <c r="H1967" t="s">
        <v>51</v>
      </c>
      <c r="I1967" t="s">
        <v>136</v>
      </c>
      <c r="J1967" t="s">
        <v>5947</v>
      </c>
      <c r="L1967" t="s">
        <v>1429</v>
      </c>
    </row>
    <row r="1968" spans="1:12" x14ac:dyDescent="0.25">
      <c r="A1968" t="s">
        <v>6116</v>
      </c>
      <c r="B1968" t="s">
        <v>6117</v>
      </c>
      <c r="C1968" t="s">
        <v>6118</v>
      </c>
      <c r="F1968" t="s">
        <v>338</v>
      </c>
      <c r="G1968" t="s">
        <v>50</v>
      </c>
      <c r="H1968" t="s">
        <v>51</v>
      </c>
      <c r="I1968" t="s">
        <v>136</v>
      </c>
      <c r="J1968" t="s">
        <v>5947</v>
      </c>
      <c r="L1968" t="s">
        <v>1429</v>
      </c>
    </row>
    <row r="1969" spans="1:12" x14ac:dyDescent="0.25">
      <c r="A1969" t="s">
        <v>6119</v>
      </c>
      <c r="B1969" t="s">
        <v>6120</v>
      </c>
      <c r="C1969" t="s">
        <v>6121</v>
      </c>
      <c r="F1969" t="s">
        <v>707</v>
      </c>
      <c r="G1969" t="s">
        <v>50</v>
      </c>
      <c r="H1969" t="s">
        <v>51</v>
      </c>
      <c r="I1969" t="s">
        <v>136</v>
      </c>
      <c r="J1969" t="s">
        <v>5947</v>
      </c>
      <c r="L1969" t="s">
        <v>1429</v>
      </c>
    </row>
    <row r="1970" spans="1:12" x14ac:dyDescent="0.25">
      <c r="A1970" t="s">
        <v>6122</v>
      </c>
      <c r="B1970" t="s">
        <v>6123</v>
      </c>
      <c r="C1970" t="s">
        <v>6124</v>
      </c>
      <c r="F1970" t="s">
        <v>222</v>
      </c>
      <c r="G1970" t="s">
        <v>50</v>
      </c>
      <c r="H1970" t="s">
        <v>51</v>
      </c>
      <c r="I1970" t="s">
        <v>136</v>
      </c>
      <c r="J1970" t="s">
        <v>5947</v>
      </c>
      <c r="L1970" t="s">
        <v>1429</v>
      </c>
    </row>
    <row r="1971" spans="1:12" x14ac:dyDescent="0.25">
      <c r="A1971" t="s">
        <v>6125</v>
      </c>
      <c r="B1971" t="s">
        <v>6126</v>
      </c>
      <c r="C1971" t="s">
        <v>6127</v>
      </c>
      <c r="F1971" t="s">
        <v>6128</v>
      </c>
      <c r="G1971" t="s">
        <v>50</v>
      </c>
      <c r="H1971" t="s">
        <v>51</v>
      </c>
      <c r="I1971" t="s">
        <v>136</v>
      </c>
      <c r="J1971" t="s">
        <v>5947</v>
      </c>
      <c r="L1971" t="s">
        <v>1429</v>
      </c>
    </row>
    <row r="1972" spans="1:12" x14ac:dyDescent="0.25">
      <c r="A1972" t="s">
        <v>6129</v>
      </c>
      <c r="B1972" t="s">
        <v>6130</v>
      </c>
      <c r="C1972" t="s">
        <v>6131</v>
      </c>
      <c r="F1972" t="s">
        <v>882</v>
      </c>
      <c r="G1972" t="s">
        <v>50</v>
      </c>
      <c r="H1972" t="s">
        <v>51</v>
      </c>
      <c r="I1972" t="s">
        <v>136</v>
      </c>
      <c r="J1972" t="s">
        <v>5947</v>
      </c>
      <c r="L1972" t="s">
        <v>1429</v>
      </c>
    </row>
    <row r="1973" spans="1:12" x14ac:dyDescent="0.25">
      <c r="A1973" t="s">
        <v>6132</v>
      </c>
      <c r="B1973" t="s">
        <v>6133</v>
      </c>
      <c r="C1973" t="s">
        <v>6134</v>
      </c>
      <c r="F1973" t="s">
        <v>346</v>
      </c>
      <c r="G1973" t="s">
        <v>50</v>
      </c>
      <c r="H1973" t="s">
        <v>51</v>
      </c>
      <c r="I1973" t="s">
        <v>136</v>
      </c>
      <c r="J1973" t="s">
        <v>5947</v>
      </c>
      <c r="L1973" t="s">
        <v>1429</v>
      </c>
    </row>
    <row r="1974" spans="1:12" x14ac:dyDescent="0.25">
      <c r="A1974" t="s">
        <v>6135</v>
      </c>
      <c r="B1974" t="s">
        <v>6136</v>
      </c>
      <c r="C1974" t="s">
        <v>6137</v>
      </c>
      <c r="F1974" t="s">
        <v>617</v>
      </c>
      <c r="G1974" t="s">
        <v>50</v>
      </c>
      <c r="H1974" t="s">
        <v>51</v>
      </c>
      <c r="I1974" t="s">
        <v>136</v>
      </c>
      <c r="J1974" t="s">
        <v>5947</v>
      </c>
      <c r="L1974" t="s">
        <v>1429</v>
      </c>
    </row>
    <row r="1975" spans="1:12" x14ac:dyDescent="0.25">
      <c r="A1975" t="s">
        <v>6138</v>
      </c>
      <c r="B1975" t="s">
        <v>6139</v>
      </c>
      <c r="C1975" t="s">
        <v>6140</v>
      </c>
      <c r="F1975" t="s">
        <v>49</v>
      </c>
      <c r="G1975" t="s">
        <v>50</v>
      </c>
      <c r="H1975" t="s">
        <v>51</v>
      </c>
      <c r="I1975" t="s">
        <v>136</v>
      </c>
      <c r="J1975" t="s">
        <v>5947</v>
      </c>
      <c r="L1975" t="s">
        <v>1429</v>
      </c>
    </row>
    <row r="1976" spans="1:12" x14ac:dyDescent="0.25">
      <c r="A1976" t="s">
        <v>6141</v>
      </c>
      <c r="B1976" t="s">
        <v>6142</v>
      </c>
      <c r="C1976" t="s">
        <v>6143</v>
      </c>
      <c r="F1976" t="s">
        <v>207</v>
      </c>
      <c r="G1976" t="s">
        <v>50</v>
      </c>
      <c r="H1976" t="s">
        <v>51</v>
      </c>
      <c r="I1976" t="s">
        <v>136</v>
      </c>
      <c r="J1976" t="s">
        <v>5947</v>
      </c>
      <c r="L1976" t="s">
        <v>1429</v>
      </c>
    </row>
    <row r="1977" spans="1:12" x14ac:dyDescent="0.25">
      <c r="A1977" t="s">
        <v>6144</v>
      </c>
      <c r="B1977" t="s">
        <v>3312</v>
      </c>
      <c r="C1977" t="s">
        <v>6145</v>
      </c>
      <c r="F1977" t="s">
        <v>5059</v>
      </c>
      <c r="G1977" t="s">
        <v>50</v>
      </c>
      <c r="H1977" t="s">
        <v>51</v>
      </c>
      <c r="I1977" t="s">
        <v>136</v>
      </c>
      <c r="J1977" t="s">
        <v>5947</v>
      </c>
      <c r="L1977" t="s">
        <v>1429</v>
      </c>
    </row>
    <row r="1978" spans="1:12" x14ac:dyDescent="0.25">
      <c r="A1978" t="s">
        <v>6146</v>
      </c>
      <c r="B1978" t="s">
        <v>6147</v>
      </c>
      <c r="C1978" t="s">
        <v>6148</v>
      </c>
      <c r="F1978" t="s">
        <v>6149</v>
      </c>
      <c r="G1978" t="s">
        <v>50</v>
      </c>
      <c r="H1978" t="s">
        <v>51</v>
      </c>
      <c r="I1978" t="s">
        <v>136</v>
      </c>
      <c r="J1978" t="s">
        <v>5947</v>
      </c>
      <c r="L1978" t="s">
        <v>1429</v>
      </c>
    </row>
    <row r="1979" spans="1:12" x14ac:dyDescent="0.25">
      <c r="A1979" t="s">
        <v>6150</v>
      </c>
      <c r="B1979" t="s">
        <v>6151</v>
      </c>
      <c r="C1979" t="s">
        <v>6152</v>
      </c>
      <c r="F1979" t="s">
        <v>582</v>
      </c>
      <c r="G1979" t="s">
        <v>50</v>
      </c>
      <c r="H1979" t="s">
        <v>51</v>
      </c>
      <c r="I1979" t="s">
        <v>136</v>
      </c>
      <c r="J1979" t="s">
        <v>5947</v>
      </c>
      <c r="L1979" t="s">
        <v>1429</v>
      </c>
    </row>
    <row r="1980" spans="1:12" x14ac:dyDescent="0.25">
      <c r="A1980" t="s">
        <v>6153</v>
      </c>
      <c r="B1980" t="s">
        <v>6154</v>
      </c>
      <c r="C1980" t="s">
        <v>6155</v>
      </c>
      <c r="F1980" t="s">
        <v>6156</v>
      </c>
      <c r="G1980" t="s">
        <v>50</v>
      </c>
      <c r="H1980" t="s">
        <v>51</v>
      </c>
      <c r="I1980" t="s">
        <v>136</v>
      </c>
      <c r="J1980" t="s">
        <v>5947</v>
      </c>
      <c r="L1980" t="s">
        <v>1429</v>
      </c>
    </row>
    <row r="1981" spans="1:12" x14ac:dyDescent="0.25">
      <c r="A1981" t="s">
        <v>6157</v>
      </c>
      <c r="B1981" t="s">
        <v>316</v>
      </c>
      <c r="C1981" t="s">
        <v>6158</v>
      </c>
      <c r="F1981" t="s">
        <v>6128</v>
      </c>
      <c r="G1981" t="s">
        <v>50</v>
      </c>
      <c r="H1981" t="s">
        <v>51</v>
      </c>
      <c r="I1981" t="s">
        <v>136</v>
      </c>
      <c r="J1981" t="s">
        <v>5947</v>
      </c>
      <c r="L1981" t="s">
        <v>1429</v>
      </c>
    </row>
    <row r="1982" spans="1:12" x14ac:dyDescent="0.25">
      <c r="A1982" t="s">
        <v>6159</v>
      </c>
      <c r="B1982" t="s">
        <v>611</v>
      </c>
      <c r="C1982" t="s">
        <v>6160</v>
      </c>
      <c r="F1982" t="s">
        <v>1200</v>
      </c>
      <c r="G1982" t="s">
        <v>50</v>
      </c>
      <c r="H1982" t="s">
        <v>51</v>
      </c>
      <c r="I1982" t="s">
        <v>136</v>
      </c>
      <c r="J1982" t="s">
        <v>5947</v>
      </c>
      <c r="L1982" t="s">
        <v>1429</v>
      </c>
    </row>
    <row r="1983" spans="1:12" x14ac:dyDescent="0.25">
      <c r="A1983" t="s">
        <v>6161</v>
      </c>
      <c r="B1983" t="s">
        <v>320</v>
      </c>
      <c r="C1983" t="s">
        <v>6162</v>
      </c>
      <c r="F1983" t="s">
        <v>1131</v>
      </c>
      <c r="G1983" t="s">
        <v>50</v>
      </c>
      <c r="H1983" t="s">
        <v>51</v>
      </c>
      <c r="I1983" t="s">
        <v>136</v>
      </c>
      <c r="J1983" t="s">
        <v>5947</v>
      </c>
      <c r="L1983" t="s">
        <v>1429</v>
      </c>
    </row>
    <row r="1984" spans="1:12" x14ac:dyDescent="0.25">
      <c r="A1984" t="s">
        <v>6163</v>
      </c>
      <c r="B1984" t="s">
        <v>1097</v>
      </c>
      <c r="C1984" t="s">
        <v>6164</v>
      </c>
      <c r="F1984" t="s">
        <v>6165</v>
      </c>
      <c r="G1984" t="s">
        <v>50</v>
      </c>
      <c r="H1984" t="s">
        <v>51</v>
      </c>
      <c r="I1984" t="s">
        <v>136</v>
      </c>
      <c r="J1984" t="s">
        <v>5947</v>
      </c>
      <c r="L1984" t="s">
        <v>1429</v>
      </c>
    </row>
    <row r="1985" spans="1:12" x14ac:dyDescent="0.25">
      <c r="A1985" t="s">
        <v>6166</v>
      </c>
      <c r="B1985" t="s">
        <v>6167</v>
      </c>
      <c r="C1985" t="s">
        <v>6168</v>
      </c>
      <c r="F1985" t="s">
        <v>1314</v>
      </c>
      <c r="G1985" t="s">
        <v>50</v>
      </c>
      <c r="H1985" t="s">
        <v>51</v>
      </c>
      <c r="I1985" t="s">
        <v>136</v>
      </c>
      <c r="J1985" t="s">
        <v>5947</v>
      </c>
      <c r="L1985" t="s">
        <v>1429</v>
      </c>
    </row>
    <row r="1986" spans="1:12" x14ac:dyDescent="0.25">
      <c r="A1986" t="s">
        <v>6169</v>
      </c>
      <c r="B1986" t="s">
        <v>773</v>
      </c>
      <c r="C1986" t="s">
        <v>6170</v>
      </c>
      <c r="F1986" t="s">
        <v>310</v>
      </c>
      <c r="G1986" t="s">
        <v>50</v>
      </c>
      <c r="H1986" t="s">
        <v>51</v>
      </c>
      <c r="I1986" t="s">
        <v>136</v>
      </c>
      <c r="J1986" t="s">
        <v>5947</v>
      </c>
      <c r="L1986" t="s">
        <v>1429</v>
      </c>
    </row>
    <row r="1987" spans="1:12" x14ac:dyDescent="0.25">
      <c r="A1987" t="s">
        <v>6171</v>
      </c>
      <c r="B1987" t="s">
        <v>6172</v>
      </c>
      <c r="C1987" t="s">
        <v>6173</v>
      </c>
      <c r="F1987" t="s">
        <v>1314</v>
      </c>
      <c r="G1987" t="s">
        <v>50</v>
      </c>
      <c r="H1987" t="s">
        <v>51</v>
      </c>
      <c r="I1987" t="s">
        <v>136</v>
      </c>
      <c r="J1987" t="s">
        <v>5947</v>
      </c>
      <c r="L1987" t="s">
        <v>1429</v>
      </c>
    </row>
    <row r="1988" spans="1:12" x14ac:dyDescent="0.25">
      <c r="A1988" t="s">
        <v>6174</v>
      </c>
      <c r="B1988" t="s">
        <v>6175</v>
      </c>
      <c r="C1988" t="s">
        <v>6176</v>
      </c>
      <c r="F1988" t="s">
        <v>449</v>
      </c>
      <c r="G1988" t="s">
        <v>50</v>
      </c>
      <c r="H1988" t="s">
        <v>51</v>
      </c>
      <c r="I1988" t="s">
        <v>136</v>
      </c>
      <c r="J1988" t="s">
        <v>5947</v>
      </c>
      <c r="L1988" t="s">
        <v>1429</v>
      </c>
    </row>
    <row r="1989" spans="1:12" x14ac:dyDescent="0.25">
      <c r="A1989" t="s">
        <v>6177</v>
      </c>
      <c r="B1989" t="s">
        <v>6178</v>
      </c>
      <c r="C1989" t="s">
        <v>6179</v>
      </c>
      <c r="F1989" t="s">
        <v>6180</v>
      </c>
      <c r="G1989" t="s">
        <v>50</v>
      </c>
      <c r="H1989" t="s">
        <v>51</v>
      </c>
      <c r="I1989" t="s">
        <v>136</v>
      </c>
      <c r="J1989" t="s">
        <v>5947</v>
      </c>
      <c r="L1989" t="s">
        <v>1429</v>
      </c>
    </row>
    <row r="1990" spans="1:12" x14ac:dyDescent="0.25">
      <c r="A1990" t="s">
        <v>6181</v>
      </c>
      <c r="B1990" t="s">
        <v>6182</v>
      </c>
      <c r="F1990" t="s">
        <v>5145</v>
      </c>
      <c r="G1990" t="s">
        <v>50</v>
      </c>
      <c r="H1990" t="s">
        <v>51</v>
      </c>
      <c r="I1990" t="s">
        <v>136</v>
      </c>
      <c r="J1990" t="s">
        <v>5947</v>
      </c>
      <c r="L1990" t="s">
        <v>1429</v>
      </c>
    </row>
    <row r="1991" spans="1:12" x14ac:dyDescent="0.25">
      <c r="A1991" t="s">
        <v>6183</v>
      </c>
      <c r="B1991" t="s">
        <v>6184</v>
      </c>
      <c r="C1991" t="s">
        <v>6185</v>
      </c>
      <c r="F1991" t="s">
        <v>1054</v>
      </c>
      <c r="G1991" t="s">
        <v>50</v>
      </c>
      <c r="H1991" t="s">
        <v>51</v>
      </c>
      <c r="I1991" t="s">
        <v>136</v>
      </c>
      <c r="J1991" t="s">
        <v>5947</v>
      </c>
      <c r="L1991" t="s">
        <v>1429</v>
      </c>
    </row>
    <row r="1992" spans="1:12" x14ac:dyDescent="0.25">
      <c r="A1992" t="s">
        <v>6186</v>
      </c>
      <c r="B1992" t="s">
        <v>776</v>
      </c>
      <c r="C1992" t="s">
        <v>6187</v>
      </c>
      <c r="F1992" t="s">
        <v>135</v>
      </c>
      <c r="G1992" t="s">
        <v>50</v>
      </c>
      <c r="H1992" t="s">
        <v>51</v>
      </c>
      <c r="I1992" t="s">
        <v>136</v>
      </c>
      <c r="J1992" t="s">
        <v>5947</v>
      </c>
      <c r="L1992" t="s">
        <v>1429</v>
      </c>
    </row>
    <row r="1993" spans="1:12" x14ac:dyDescent="0.25">
      <c r="A1993" t="s">
        <v>6188</v>
      </c>
      <c r="B1993" t="s">
        <v>459</v>
      </c>
      <c r="C1993" t="s">
        <v>6189</v>
      </c>
      <c r="F1993" t="s">
        <v>379</v>
      </c>
      <c r="G1993" t="s">
        <v>50</v>
      </c>
      <c r="H1993" t="s">
        <v>51</v>
      </c>
      <c r="I1993" t="s">
        <v>136</v>
      </c>
      <c r="J1993" t="s">
        <v>5947</v>
      </c>
      <c r="L1993" t="s">
        <v>1429</v>
      </c>
    </row>
    <row r="1994" spans="1:12" x14ac:dyDescent="0.25">
      <c r="A1994" t="s">
        <v>6190</v>
      </c>
      <c r="B1994" t="s">
        <v>6191</v>
      </c>
      <c r="C1994" t="s">
        <v>6192</v>
      </c>
      <c r="F1994" t="s">
        <v>74</v>
      </c>
      <c r="G1994" t="s">
        <v>50</v>
      </c>
      <c r="H1994" t="s">
        <v>51</v>
      </c>
      <c r="I1994" t="s">
        <v>136</v>
      </c>
      <c r="J1994" t="s">
        <v>5947</v>
      </c>
      <c r="L1994" t="s">
        <v>1429</v>
      </c>
    </row>
    <row r="1995" spans="1:12" x14ac:dyDescent="0.25">
      <c r="A1995" t="s">
        <v>6193</v>
      </c>
      <c r="B1995" t="s">
        <v>615</v>
      </c>
      <c r="C1995" t="s">
        <v>6056</v>
      </c>
      <c r="F1995" t="s">
        <v>215</v>
      </c>
      <c r="G1995" t="s">
        <v>50</v>
      </c>
      <c r="H1995" t="s">
        <v>51</v>
      </c>
      <c r="I1995" t="s">
        <v>136</v>
      </c>
      <c r="J1995" t="s">
        <v>5947</v>
      </c>
      <c r="L1995" t="s">
        <v>1429</v>
      </c>
    </row>
    <row r="1996" spans="1:12" x14ac:dyDescent="0.25">
      <c r="A1996" t="s">
        <v>6194</v>
      </c>
      <c r="B1996" t="s">
        <v>6167</v>
      </c>
      <c r="C1996" t="s">
        <v>6168</v>
      </c>
      <c r="F1996" t="s">
        <v>1314</v>
      </c>
      <c r="G1996" t="s">
        <v>50</v>
      </c>
      <c r="H1996" t="s">
        <v>51</v>
      </c>
      <c r="I1996" t="s">
        <v>136</v>
      </c>
      <c r="J1996" t="s">
        <v>5947</v>
      </c>
      <c r="L1996" t="s">
        <v>1429</v>
      </c>
    </row>
    <row r="1997" spans="1:12" x14ac:dyDescent="0.25">
      <c r="A1997" t="s">
        <v>6195</v>
      </c>
      <c r="B1997" t="s">
        <v>3454</v>
      </c>
      <c r="C1997" t="s">
        <v>6196</v>
      </c>
      <c r="F1997" t="s">
        <v>4925</v>
      </c>
      <c r="G1997" t="s">
        <v>50</v>
      </c>
      <c r="H1997" t="s">
        <v>51</v>
      </c>
      <c r="I1997" t="s">
        <v>136</v>
      </c>
      <c r="J1997" t="s">
        <v>5947</v>
      </c>
      <c r="L1997" t="s">
        <v>1429</v>
      </c>
    </row>
    <row r="1998" spans="1:12" x14ac:dyDescent="0.25">
      <c r="A1998" t="s">
        <v>6197</v>
      </c>
      <c r="B1998" t="s">
        <v>6198</v>
      </c>
      <c r="C1998" t="s">
        <v>6199</v>
      </c>
      <c r="F1998" t="s">
        <v>5110</v>
      </c>
      <c r="G1998" t="s">
        <v>50</v>
      </c>
      <c r="H1998" t="s">
        <v>51</v>
      </c>
      <c r="I1998" t="s">
        <v>136</v>
      </c>
      <c r="J1998" t="s">
        <v>5947</v>
      </c>
      <c r="L1998" t="s">
        <v>1429</v>
      </c>
    </row>
    <row r="1999" spans="1:12" x14ac:dyDescent="0.25">
      <c r="A1999" t="s">
        <v>6200</v>
      </c>
      <c r="B1999" t="s">
        <v>6201</v>
      </c>
      <c r="C1999" t="s">
        <v>6202</v>
      </c>
      <c r="F1999" t="s">
        <v>889</v>
      </c>
      <c r="G1999" t="s">
        <v>50</v>
      </c>
      <c r="H1999" t="s">
        <v>51</v>
      </c>
      <c r="I1999" t="s">
        <v>136</v>
      </c>
      <c r="J1999" t="s">
        <v>5947</v>
      </c>
      <c r="L1999" t="s">
        <v>1429</v>
      </c>
    </row>
    <row r="2000" spans="1:12" x14ac:dyDescent="0.25">
      <c r="A2000" t="s">
        <v>6203</v>
      </c>
      <c r="B2000" t="s">
        <v>6204</v>
      </c>
      <c r="C2000" t="s">
        <v>6205</v>
      </c>
      <c r="F2000" t="s">
        <v>203</v>
      </c>
      <c r="G2000" t="s">
        <v>50</v>
      </c>
      <c r="H2000" t="s">
        <v>51</v>
      </c>
      <c r="I2000" t="s">
        <v>136</v>
      </c>
      <c r="J2000" t="s">
        <v>5947</v>
      </c>
      <c r="L2000" t="s">
        <v>1429</v>
      </c>
    </row>
    <row r="2001" spans="1:12" x14ac:dyDescent="0.25">
      <c r="A2001" t="s">
        <v>6206</v>
      </c>
      <c r="B2001" t="s">
        <v>6207</v>
      </c>
      <c r="C2001" t="s">
        <v>6208</v>
      </c>
      <c r="F2001" t="s">
        <v>222</v>
      </c>
      <c r="G2001" t="s">
        <v>50</v>
      </c>
      <c r="H2001" t="s">
        <v>51</v>
      </c>
      <c r="I2001" t="s">
        <v>136</v>
      </c>
      <c r="J2001" t="s">
        <v>5947</v>
      </c>
      <c r="L2001" t="s">
        <v>1429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workbookViewId="0"/>
  </sheetViews>
  <sheetFormatPr defaultRowHeight="15" x14ac:dyDescent="0.25"/>
  <cols>
    <col min="1" max="1" width="14" customWidth="1"/>
    <col min="2" max="2" width="18" customWidth="1"/>
  </cols>
  <sheetData>
    <row r="1" spans="1:2" x14ac:dyDescent="0.25">
      <c r="A1" s="9" t="s">
        <v>6209</v>
      </c>
    </row>
    <row r="2" spans="1:2" x14ac:dyDescent="0.25">
      <c r="A2" s="7" t="s">
        <v>6210</v>
      </c>
    </row>
    <row r="3" spans="1:2" x14ac:dyDescent="0.25">
      <c r="A3" s="8" t="s">
        <v>6211</v>
      </c>
      <c r="B3" s="8" t="s">
        <v>6212</v>
      </c>
    </row>
    <row r="4" spans="1:2" x14ac:dyDescent="0.25">
      <c r="A4" t="s">
        <v>1836</v>
      </c>
      <c r="B4" s="10">
        <v>0.5780346820809249</v>
      </c>
    </row>
    <row r="5" spans="1:2" x14ac:dyDescent="0.25">
      <c r="A5" t="s">
        <v>5647</v>
      </c>
      <c r="B5" s="10">
        <v>3.389830508474576E-4</v>
      </c>
    </row>
    <row r="6" spans="1:2" x14ac:dyDescent="0.25">
      <c r="A6" t="s">
        <v>5451</v>
      </c>
      <c r="B6" s="10">
        <v>0.1818181818181818</v>
      </c>
    </row>
    <row r="7" spans="1:2" x14ac:dyDescent="0.25">
      <c r="A7" t="s">
        <v>938</v>
      </c>
      <c r="B7" s="10">
        <v>1.063829787234043E-3</v>
      </c>
    </row>
    <row r="8" spans="1:2" x14ac:dyDescent="0.25">
      <c r="A8" t="s">
        <v>5194</v>
      </c>
      <c r="B8" s="10">
        <v>4.4444444444444453E-2</v>
      </c>
    </row>
    <row r="9" spans="1:2" x14ac:dyDescent="0.25">
      <c r="A9" t="s">
        <v>50</v>
      </c>
      <c r="B9" s="10">
        <v>1.0869565217391299</v>
      </c>
    </row>
    <row r="10" spans="1:2" x14ac:dyDescent="0.25">
      <c r="A10" t="s">
        <v>949</v>
      </c>
      <c r="B10" s="10">
        <v>1.265822784810126</v>
      </c>
    </row>
    <row r="11" spans="1:2" x14ac:dyDescent="0.25">
      <c r="A11" t="s">
        <v>5633</v>
      </c>
      <c r="B11" s="10">
        <v>2.8169014084507039E-3</v>
      </c>
    </row>
    <row r="12" spans="1:2" x14ac:dyDescent="0.25">
      <c r="A12" t="s">
        <v>2435</v>
      </c>
      <c r="B12" s="10">
        <v>0.27027027027027017</v>
      </c>
    </row>
    <row r="13" spans="1:2" x14ac:dyDescent="0.25">
      <c r="A13" t="s">
        <v>1460</v>
      </c>
      <c r="B13" s="10">
        <v>1.1904761904761901E-2</v>
      </c>
    </row>
    <row r="14" spans="1:2" x14ac:dyDescent="0.25">
      <c r="A14" t="s">
        <v>1467</v>
      </c>
      <c r="B14" s="10">
        <v>2.0833333333333329E-3</v>
      </c>
    </row>
    <row r="15" spans="1:2" x14ac:dyDescent="0.25">
      <c r="A15" t="s">
        <v>2419</v>
      </c>
      <c r="B15" s="10">
        <v>0.1020408163265306</v>
      </c>
    </row>
    <row r="16" spans="1:2" x14ac:dyDescent="0.25">
      <c r="A16" t="s">
        <v>1681</v>
      </c>
      <c r="B16" s="10">
        <v>0.10101010101010099</v>
      </c>
    </row>
    <row r="17" spans="1:2" x14ac:dyDescent="0.25">
      <c r="A17" t="s">
        <v>1663</v>
      </c>
      <c r="B17" s="10">
        <v>0.26315789473684209</v>
      </c>
    </row>
    <row r="18" spans="1:2" x14ac:dyDescent="0.25">
      <c r="A18" t="s">
        <v>1585</v>
      </c>
      <c r="B18" s="10">
        <v>9.2592592592592587E-3</v>
      </c>
    </row>
    <row r="19" spans="1:2" x14ac:dyDescent="0.25">
      <c r="A19" t="s">
        <v>2530</v>
      </c>
      <c r="B19" s="10">
        <v>1.041666666666667E-2</v>
      </c>
    </row>
    <row r="20" spans="1:2" x14ac:dyDescent="0.25">
      <c r="A20" t="s">
        <v>123</v>
      </c>
      <c r="B20" s="10">
        <v>0.10526315789473679</v>
      </c>
    </row>
    <row r="21" spans="1:2" x14ac:dyDescent="0.25">
      <c r="A21" t="s">
        <v>1426</v>
      </c>
      <c r="B21" s="10">
        <v>0.7407407407407407</v>
      </c>
    </row>
    <row r="22" spans="1:2" x14ac:dyDescent="0.25">
      <c r="A22" t="s">
        <v>5579</v>
      </c>
      <c r="B22" s="10">
        <v>2.9411764705882349E-2</v>
      </c>
    </row>
    <row r="23" spans="1:2" x14ac:dyDescent="0.25">
      <c r="A23" t="s">
        <v>1722</v>
      </c>
      <c r="B23" s="10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2001"/>
  <sheetViews>
    <sheetView workbookViewId="0">
      <pane ySplit="1" topLeftCell="A1850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34" customWidth="1"/>
    <col min="4" max="4" width="28" customWidth="1"/>
    <col min="5" max="5" width="12" customWidth="1"/>
    <col min="6" max="6" width="10" customWidth="1"/>
    <col min="7" max="7" width="30" customWidth="1"/>
    <col min="8" max="8" width="22" customWidth="1"/>
    <col min="9" max="9" width="13" customWidth="1"/>
    <col min="10" max="10" width="11" customWidth="1"/>
    <col min="11" max="12" width="12" customWidth="1"/>
    <col min="13" max="13" width="14" customWidth="1"/>
  </cols>
  <sheetData>
    <row r="1" spans="1:13" ht="30" customHeight="1" x14ac:dyDescent="0.25">
      <c r="A1" s="8" t="s">
        <v>34</v>
      </c>
      <c r="B1" s="8" t="s">
        <v>35</v>
      </c>
      <c r="C1" s="8" t="s">
        <v>36</v>
      </c>
      <c r="D1" s="8" t="s">
        <v>38</v>
      </c>
      <c r="E1" s="8" t="s">
        <v>6213</v>
      </c>
      <c r="F1" s="8" t="s">
        <v>40</v>
      </c>
      <c r="G1" s="8" t="s">
        <v>6214</v>
      </c>
      <c r="H1" s="8" t="s">
        <v>6215</v>
      </c>
      <c r="I1" s="8" t="s">
        <v>45</v>
      </c>
      <c r="J1" s="8" t="s">
        <v>6216</v>
      </c>
      <c r="K1" s="8" t="s">
        <v>6217</v>
      </c>
      <c r="L1" s="8" t="s">
        <v>6218</v>
      </c>
      <c r="M1" s="8" t="s">
        <v>6219</v>
      </c>
    </row>
    <row r="2" spans="1:13" x14ac:dyDescent="0.25">
      <c r="A2">
        <v>339639</v>
      </c>
      <c r="C2" t="s">
        <v>47</v>
      </c>
      <c r="D2" t="s">
        <v>48</v>
      </c>
      <c r="E2">
        <v>2.08</v>
      </c>
      <c r="F2" t="s">
        <v>50</v>
      </c>
      <c r="G2" t="s">
        <v>53</v>
      </c>
      <c r="H2" t="s">
        <v>52</v>
      </c>
      <c r="I2" s="11">
        <v>46298</v>
      </c>
      <c r="J2" s="12">
        <v>46296</v>
      </c>
      <c r="K2" s="13">
        <f>INDEX(Assumptions!$B$4:$B$23,MATCH(F2,Assumptions!$A$4:$A$23,0))</f>
        <v>1.0869565217391299</v>
      </c>
      <c r="L2" s="14">
        <f t="shared" ref="L2:L65" si="0">E2*K2</f>
        <v>2.2608695652173902</v>
      </c>
      <c r="M2" t="str">
        <f t="shared" ref="M2:M65" si="1">IF(C2="Unnamed product","Yes","No")</f>
        <v>No</v>
      </c>
    </row>
    <row r="3" spans="1:13" x14ac:dyDescent="0.25">
      <c r="A3">
        <v>339638</v>
      </c>
      <c r="B3" t="s">
        <v>56</v>
      </c>
      <c r="C3" t="s">
        <v>57</v>
      </c>
      <c r="D3" t="s">
        <v>6220</v>
      </c>
      <c r="E3">
        <v>1.29</v>
      </c>
      <c r="F3" t="s">
        <v>50</v>
      </c>
      <c r="G3" t="s">
        <v>53</v>
      </c>
      <c r="H3" t="s">
        <v>52</v>
      </c>
      <c r="I3" s="11">
        <v>46298</v>
      </c>
      <c r="J3" s="12">
        <v>46296</v>
      </c>
      <c r="K3" s="13">
        <f>INDEX(Assumptions!$B$4:$B$23,MATCH(F3,Assumptions!$A$4:$A$23,0))</f>
        <v>1.0869565217391299</v>
      </c>
      <c r="L3" s="14">
        <f t="shared" si="0"/>
        <v>1.4021739130434776</v>
      </c>
      <c r="M3" t="str">
        <f t="shared" si="1"/>
        <v>No</v>
      </c>
    </row>
    <row r="4" spans="1:13" x14ac:dyDescent="0.25">
      <c r="A4">
        <v>339637</v>
      </c>
      <c r="C4" t="s">
        <v>60</v>
      </c>
      <c r="D4" t="s">
        <v>61</v>
      </c>
      <c r="E4">
        <v>1.8</v>
      </c>
      <c r="F4" t="s">
        <v>50</v>
      </c>
      <c r="G4" t="s">
        <v>53</v>
      </c>
      <c r="H4" t="s">
        <v>52</v>
      </c>
      <c r="I4" s="11">
        <v>46298</v>
      </c>
      <c r="J4" s="12">
        <v>46296</v>
      </c>
      <c r="K4" s="13">
        <f>INDEX(Assumptions!$B$4:$B$23,MATCH(F4,Assumptions!$A$4:$A$23,0))</f>
        <v>1.0869565217391299</v>
      </c>
      <c r="L4" s="14">
        <f t="shared" si="0"/>
        <v>1.9565217391304339</v>
      </c>
      <c r="M4" t="str">
        <f t="shared" si="1"/>
        <v>No</v>
      </c>
    </row>
    <row r="5" spans="1:13" x14ac:dyDescent="0.25">
      <c r="A5">
        <v>339636</v>
      </c>
      <c r="B5" t="s">
        <v>64</v>
      </c>
      <c r="C5" t="s">
        <v>65</v>
      </c>
      <c r="D5" t="s">
        <v>6220</v>
      </c>
      <c r="E5">
        <v>0.49</v>
      </c>
      <c r="F5" t="s">
        <v>50</v>
      </c>
      <c r="G5" t="s">
        <v>53</v>
      </c>
      <c r="H5" t="s">
        <v>52</v>
      </c>
      <c r="I5" s="11">
        <v>46298</v>
      </c>
      <c r="J5" s="12">
        <v>46296</v>
      </c>
      <c r="K5" s="13">
        <f>INDEX(Assumptions!$B$4:$B$23,MATCH(F5,Assumptions!$A$4:$A$23,0))</f>
        <v>1.0869565217391299</v>
      </c>
      <c r="L5" s="14">
        <f t="shared" si="0"/>
        <v>0.53260869565217361</v>
      </c>
      <c r="M5" t="str">
        <f t="shared" si="1"/>
        <v>No</v>
      </c>
    </row>
    <row r="6" spans="1:13" x14ac:dyDescent="0.25">
      <c r="A6">
        <v>339635</v>
      </c>
      <c r="B6" t="s">
        <v>68</v>
      </c>
      <c r="C6" t="s">
        <v>57</v>
      </c>
      <c r="D6" t="s">
        <v>6220</v>
      </c>
      <c r="E6">
        <v>1.29</v>
      </c>
      <c r="F6" t="s">
        <v>50</v>
      </c>
      <c r="G6" t="s">
        <v>53</v>
      </c>
      <c r="H6" t="s">
        <v>52</v>
      </c>
      <c r="I6" s="11">
        <v>46298</v>
      </c>
      <c r="J6" s="12">
        <v>46296</v>
      </c>
      <c r="K6" s="13">
        <f>INDEX(Assumptions!$B$4:$B$23,MATCH(F6,Assumptions!$A$4:$A$23,0))</f>
        <v>1.0869565217391299</v>
      </c>
      <c r="L6" s="14">
        <f t="shared" si="0"/>
        <v>1.4021739130434776</v>
      </c>
      <c r="M6" t="str">
        <f t="shared" si="1"/>
        <v>No</v>
      </c>
    </row>
    <row r="7" spans="1:13" x14ac:dyDescent="0.25">
      <c r="A7">
        <v>339634</v>
      </c>
      <c r="B7" t="s">
        <v>70</v>
      </c>
      <c r="C7" t="s">
        <v>6221</v>
      </c>
      <c r="D7" t="s">
        <v>6220</v>
      </c>
      <c r="E7">
        <v>0.49</v>
      </c>
      <c r="F7" t="s">
        <v>50</v>
      </c>
      <c r="G7" t="s">
        <v>53</v>
      </c>
      <c r="H7" t="s">
        <v>52</v>
      </c>
      <c r="I7" s="11">
        <v>46298</v>
      </c>
      <c r="J7" s="12">
        <v>46296</v>
      </c>
      <c r="K7" s="13">
        <f>INDEX(Assumptions!$B$4:$B$23,MATCH(F7,Assumptions!$A$4:$A$23,0))</f>
        <v>1.0869565217391299</v>
      </c>
      <c r="L7" s="14">
        <f t="shared" si="0"/>
        <v>0.53260869565217361</v>
      </c>
      <c r="M7" t="str">
        <f t="shared" si="1"/>
        <v>Yes</v>
      </c>
    </row>
    <row r="8" spans="1:13" x14ac:dyDescent="0.25">
      <c r="A8">
        <v>339633</v>
      </c>
      <c r="B8" t="s">
        <v>72</v>
      </c>
      <c r="C8" t="s">
        <v>73</v>
      </c>
      <c r="D8" t="s">
        <v>6220</v>
      </c>
      <c r="E8">
        <v>1.85</v>
      </c>
      <c r="F8" t="s">
        <v>50</v>
      </c>
      <c r="G8" t="s">
        <v>53</v>
      </c>
      <c r="H8" t="s">
        <v>52</v>
      </c>
      <c r="I8" s="11">
        <v>46298</v>
      </c>
      <c r="J8" s="12">
        <v>46296</v>
      </c>
      <c r="K8" s="13">
        <f>INDEX(Assumptions!$B$4:$B$23,MATCH(F8,Assumptions!$A$4:$A$23,0))</f>
        <v>1.0869565217391299</v>
      </c>
      <c r="L8" s="14">
        <f t="shared" si="0"/>
        <v>2.0108695652173907</v>
      </c>
      <c r="M8" t="str">
        <f t="shared" si="1"/>
        <v>No</v>
      </c>
    </row>
    <row r="9" spans="1:13" x14ac:dyDescent="0.25">
      <c r="A9">
        <v>339632</v>
      </c>
      <c r="B9" t="s">
        <v>76</v>
      </c>
      <c r="C9" t="s">
        <v>77</v>
      </c>
      <c r="D9" t="s">
        <v>6220</v>
      </c>
      <c r="E9">
        <v>1.69</v>
      </c>
      <c r="F9" t="s">
        <v>50</v>
      </c>
      <c r="G9" t="s">
        <v>53</v>
      </c>
      <c r="H9" t="s">
        <v>52</v>
      </c>
      <c r="I9" s="11">
        <v>46298</v>
      </c>
      <c r="J9" s="12">
        <v>46296</v>
      </c>
      <c r="K9" s="13">
        <f>INDEX(Assumptions!$B$4:$B$23,MATCH(F9,Assumptions!$A$4:$A$23,0))</f>
        <v>1.0869565217391299</v>
      </c>
      <c r="L9" s="14">
        <f t="shared" si="0"/>
        <v>1.8369565217391295</v>
      </c>
      <c r="M9" t="str">
        <f t="shared" si="1"/>
        <v>No</v>
      </c>
    </row>
    <row r="10" spans="1:13" x14ac:dyDescent="0.25">
      <c r="A10">
        <v>339630</v>
      </c>
      <c r="B10" t="s">
        <v>80</v>
      </c>
      <c r="C10" t="s">
        <v>81</v>
      </c>
      <c r="D10" t="s">
        <v>6220</v>
      </c>
      <c r="E10">
        <v>0.89</v>
      </c>
      <c r="F10" t="s">
        <v>50</v>
      </c>
      <c r="G10" t="s">
        <v>53</v>
      </c>
      <c r="H10" t="s">
        <v>52</v>
      </c>
      <c r="I10" s="11">
        <v>46298</v>
      </c>
      <c r="J10" s="12">
        <v>46296</v>
      </c>
      <c r="K10" s="13">
        <f>INDEX(Assumptions!$B$4:$B$23,MATCH(F10,Assumptions!$A$4:$A$23,0))</f>
        <v>1.0869565217391299</v>
      </c>
      <c r="L10" s="14">
        <f t="shared" si="0"/>
        <v>0.96739130434782561</v>
      </c>
      <c r="M10" t="str">
        <f t="shared" si="1"/>
        <v>No</v>
      </c>
    </row>
    <row r="11" spans="1:13" x14ac:dyDescent="0.25">
      <c r="A11">
        <v>339631</v>
      </c>
      <c r="B11" t="s">
        <v>84</v>
      </c>
      <c r="C11" t="s">
        <v>85</v>
      </c>
      <c r="D11" t="s">
        <v>6220</v>
      </c>
      <c r="E11">
        <v>1.25</v>
      </c>
      <c r="F11" t="s">
        <v>50</v>
      </c>
      <c r="G11" t="s">
        <v>53</v>
      </c>
      <c r="H11" t="s">
        <v>52</v>
      </c>
      <c r="I11" s="11">
        <v>46298</v>
      </c>
      <c r="J11" s="12">
        <v>46296</v>
      </c>
      <c r="K11" s="13">
        <f>INDEX(Assumptions!$B$4:$B$23,MATCH(F11,Assumptions!$A$4:$A$23,0))</f>
        <v>1.0869565217391299</v>
      </c>
      <c r="L11" s="14">
        <f t="shared" si="0"/>
        <v>1.3586956521739124</v>
      </c>
      <c r="M11" t="str">
        <f t="shared" si="1"/>
        <v>No</v>
      </c>
    </row>
    <row r="12" spans="1:13" x14ac:dyDescent="0.25">
      <c r="A12">
        <v>339629</v>
      </c>
      <c r="C12" t="s">
        <v>88</v>
      </c>
      <c r="D12" t="s">
        <v>89</v>
      </c>
      <c r="E12">
        <v>1.59</v>
      </c>
      <c r="F12" t="s">
        <v>50</v>
      </c>
      <c r="G12" t="s">
        <v>53</v>
      </c>
      <c r="H12" t="s">
        <v>52</v>
      </c>
      <c r="I12" s="11">
        <v>46298</v>
      </c>
      <c r="J12" s="12">
        <v>46296</v>
      </c>
      <c r="K12" s="13">
        <f>INDEX(Assumptions!$B$4:$B$23,MATCH(F12,Assumptions!$A$4:$A$23,0))</f>
        <v>1.0869565217391299</v>
      </c>
      <c r="L12" s="14">
        <f t="shared" si="0"/>
        <v>1.7282608695652166</v>
      </c>
      <c r="M12" t="str">
        <f t="shared" si="1"/>
        <v>No</v>
      </c>
    </row>
    <row r="13" spans="1:13" x14ac:dyDescent="0.25">
      <c r="A13">
        <v>339628</v>
      </c>
      <c r="B13" t="s">
        <v>92</v>
      </c>
      <c r="C13" t="s">
        <v>93</v>
      </c>
      <c r="D13" t="s">
        <v>6220</v>
      </c>
      <c r="E13">
        <v>0.52</v>
      </c>
      <c r="F13" t="s">
        <v>50</v>
      </c>
      <c r="G13" t="s">
        <v>53</v>
      </c>
      <c r="H13" t="s">
        <v>52</v>
      </c>
      <c r="I13" s="11">
        <v>46298</v>
      </c>
      <c r="J13" s="12">
        <v>46296</v>
      </c>
      <c r="K13" s="13">
        <f>INDEX(Assumptions!$B$4:$B$23,MATCH(F13,Assumptions!$A$4:$A$23,0))</f>
        <v>1.0869565217391299</v>
      </c>
      <c r="L13" s="14">
        <f t="shared" si="0"/>
        <v>0.56521739130434756</v>
      </c>
      <c r="M13" t="str">
        <f t="shared" si="1"/>
        <v>No</v>
      </c>
    </row>
    <row r="14" spans="1:13" x14ac:dyDescent="0.25">
      <c r="A14">
        <v>339627</v>
      </c>
      <c r="B14" t="s">
        <v>96</v>
      </c>
      <c r="C14" t="s">
        <v>93</v>
      </c>
      <c r="D14" t="s">
        <v>6220</v>
      </c>
      <c r="E14">
        <v>0.52</v>
      </c>
      <c r="F14" t="s">
        <v>50</v>
      </c>
      <c r="G14" t="s">
        <v>53</v>
      </c>
      <c r="H14" t="s">
        <v>52</v>
      </c>
      <c r="I14" s="11">
        <v>46298</v>
      </c>
      <c r="J14" s="12">
        <v>46296</v>
      </c>
      <c r="K14" s="13">
        <f>INDEX(Assumptions!$B$4:$B$23,MATCH(F14,Assumptions!$A$4:$A$23,0))</f>
        <v>1.0869565217391299</v>
      </c>
      <c r="L14" s="14">
        <f t="shared" si="0"/>
        <v>0.56521739130434756</v>
      </c>
      <c r="M14" t="str">
        <f t="shared" si="1"/>
        <v>No</v>
      </c>
    </row>
    <row r="15" spans="1:13" x14ac:dyDescent="0.25">
      <c r="A15">
        <v>339626</v>
      </c>
      <c r="B15" t="s">
        <v>98</v>
      </c>
      <c r="C15" t="s">
        <v>99</v>
      </c>
      <c r="D15" t="s">
        <v>6220</v>
      </c>
      <c r="E15">
        <v>1.79</v>
      </c>
      <c r="F15" t="s">
        <v>50</v>
      </c>
      <c r="G15" t="s">
        <v>53</v>
      </c>
      <c r="H15" t="s">
        <v>52</v>
      </c>
      <c r="I15" s="11">
        <v>46298</v>
      </c>
      <c r="J15" s="12">
        <v>46296</v>
      </c>
      <c r="K15" s="13">
        <f>INDEX(Assumptions!$B$4:$B$23,MATCH(F15,Assumptions!$A$4:$A$23,0))</f>
        <v>1.0869565217391299</v>
      </c>
      <c r="L15" s="14">
        <f t="shared" si="0"/>
        <v>1.9456521739130426</v>
      </c>
      <c r="M15" t="str">
        <f t="shared" si="1"/>
        <v>No</v>
      </c>
    </row>
    <row r="16" spans="1:13" x14ac:dyDescent="0.25">
      <c r="A16">
        <v>339625</v>
      </c>
      <c r="B16" t="s">
        <v>102</v>
      </c>
      <c r="C16" t="s">
        <v>103</v>
      </c>
      <c r="D16" t="s">
        <v>6220</v>
      </c>
      <c r="E16">
        <v>1.59</v>
      </c>
      <c r="F16" t="s">
        <v>50</v>
      </c>
      <c r="G16" t="s">
        <v>53</v>
      </c>
      <c r="H16" t="s">
        <v>52</v>
      </c>
      <c r="I16" s="11">
        <v>46298</v>
      </c>
      <c r="J16" s="12">
        <v>46296</v>
      </c>
      <c r="K16" s="13">
        <f>INDEX(Assumptions!$B$4:$B$23,MATCH(F16,Assumptions!$A$4:$A$23,0))</f>
        <v>1.0869565217391299</v>
      </c>
      <c r="L16" s="14">
        <f t="shared" si="0"/>
        <v>1.7282608695652166</v>
      </c>
      <c r="M16" t="str">
        <f t="shared" si="1"/>
        <v>No</v>
      </c>
    </row>
    <row r="17" spans="1:13" x14ac:dyDescent="0.25">
      <c r="A17">
        <v>339624</v>
      </c>
      <c r="B17" t="s">
        <v>105</v>
      </c>
      <c r="C17" t="s">
        <v>106</v>
      </c>
      <c r="D17" t="s">
        <v>6220</v>
      </c>
      <c r="E17">
        <v>1.45</v>
      </c>
      <c r="F17" t="s">
        <v>50</v>
      </c>
      <c r="G17" t="s">
        <v>53</v>
      </c>
      <c r="H17" t="s">
        <v>52</v>
      </c>
      <c r="I17" s="11">
        <v>46298</v>
      </c>
      <c r="J17" s="12">
        <v>46296</v>
      </c>
      <c r="K17" s="13">
        <f>INDEX(Assumptions!$B$4:$B$23,MATCH(F17,Assumptions!$A$4:$A$23,0))</f>
        <v>1.0869565217391299</v>
      </c>
      <c r="L17" s="14">
        <f t="shared" si="0"/>
        <v>1.5760869565217384</v>
      </c>
      <c r="M17" t="str">
        <f t="shared" si="1"/>
        <v>No</v>
      </c>
    </row>
    <row r="18" spans="1:13" x14ac:dyDescent="0.25">
      <c r="A18">
        <v>339623</v>
      </c>
      <c r="C18" t="s">
        <v>109</v>
      </c>
      <c r="D18" t="s">
        <v>110</v>
      </c>
      <c r="E18">
        <v>0.39</v>
      </c>
      <c r="F18" t="s">
        <v>50</v>
      </c>
      <c r="G18" t="s">
        <v>53</v>
      </c>
      <c r="H18" t="s">
        <v>52</v>
      </c>
      <c r="I18" s="11">
        <v>46298</v>
      </c>
      <c r="J18" s="12">
        <v>46296</v>
      </c>
      <c r="K18" s="13">
        <f>INDEX(Assumptions!$B$4:$B$23,MATCH(F18,Assumptions!$A$4:$A$23,0))</f>
        <v>1.0869565217391299</v>
      </c>
      <c r="L18" s="14">
        <f t="shared" si="0"/>
        <v>0.4239130434782607</v>
      </c>
      <c r="M18" t="str">
        <f t="shared" si="1"/>
        <v>No</v>
      </c>
    </row>
    <row r="19" spans="1:13" x14ac:dyDescent="0.25">
      <c r="A19">
        <v>339621</v>
      </c>
      <c r="B19" t="s">
        <v>113</v>
      </c>
      <c r="C19" t="s">
        <v>114</v>
      </c>
      <c r="D19" t="s">
        <v>6220</v>
      </c>
      <c r="E19">
        <v>1.99</v>
      </c>
      <c r="F19" t="s">
        <v>50</v>
      </c>
      <c r="G19" t="s">
        <v>53</v>
      </c>
      <c r="H19" t="s">
        <v>52</v>
      </c>
      <c r="I19" s="11">
        <v>46298</v>
      </c>
      <c r="J19" s="12">
        <v>46296</v>
      </c>
      <c r="K19" s="13">
        <f>INDEX(Assumptions!$B$4:$B$23,MATCH(F19,Assumptions!$A$4:$A$23,0))</f>
        <v>1.0869565217391299</v>
      </c>
      <c r="L19" s="14">
        <f t="shared" si="0"/>
        <v>2.1630434782608687</v>
      </c>
      <c r="M19" t="str">
        <f t="shared" si="1"/>
        <v>No</v>
      </c>
    </row>
    <row r="20" spans="1:13" x14ac:dyDescent="0.25">
      <c r="A20">
        <v>339622</v>
      </c>
      <c r="C20" t="s">
        <v>117</v>
      </c>
      <c r="D20" t="s">
        <v>118</v>
      </c>
      <c r="E20">
        <v>0.23</v>
      </c>
      <c r="F20" t="s">
        <v>50</v>
      </c>
      <c r="G20" t="s">
        <v>53</v>
      </c>
      <c r="H20" t="s">
        <v>52</v>
      </c>
      <c r="I20" s="11">
        <v>46298</v>
      </c>
      <c r="J20" s="12">
        <v>46296</v>
      </c>
      <c r="K20" s="13">
        <f>INDEX(Assumptions!$B$4:$B$23,MATCH(F20,Assumptions!$A$4:$A$23,0))</f>
        <v>1.0869565217391299</v>
      </c>
      <c r="L20" s="14">
        <f t="shared" si="0"/>
        <v>0.24999999999999989</v>
      </c>
      <c r="M20" t="str">
        <f t="shared" si="1"/>
        <v>No</v>
      </c>
    </row>
    <row r="21" spans="1:13" x14ac:dyDescent="0.25">
      <c r="A21">
        <v>339620</v>
      </c>
      <c r="B21" t="s">
        <v>121</v>
      </c>
      <c r="C21" t="s">
        <v>6221</v>
      </c>
      <c r="D21" t="s">
        <v>6220</v>
      </c>
      <c r="E21">
        <v>28.29</v>
      </c>
      <c r="F21" t="s">
        <v>123</v>
      </c>
      <c r="G21" t="s">
        <v>125</v>
      </c>
      <c r="H21" t="s">
        <v>124</v>
      </c>
      <c r="I21" s="11">
        <v>46271</v>
      </c>
      <c r="J21" s="12">
        <v>46266</v>
      </c>
      <c r="K21" s="13">
        <f>INDEX(Assumptions!$B$4:$B$23,MATCH(F21,Assumptions!$A$4:$A$23,0))</f>
        <v>0.10526315789473679</v>
      </c>
      <c r="L21" s="14">
        <f t="shared" si="0"/>
        <v>2.9778947368421038</v>
      </c>
      <c r="M21" t="str">
        <f t="shared" si="1"/>
        <v>Yes</v>
      </c>
    </row>
    <row r="22" spans="1:13" x14ac:dyDescent="0.25">
      <c r="A22">
        <v>339619</v>
      </c>
      <c r="B22" t="s">
        <v>128</v>
      </c>
      <c r="C22" t="s">
        <v>6221</v>
      </c>
      <c r="D22" t="s">
        <v>6220</v>
      </c>
      <c r="E22">
        <v>28.29</v>
      </c>
      <c r="F22" t="s">
        <v>123</v>
      </c>
      <c r="G22" t="s">
        <v>125</v>
      </c>
      <c r="H22" t="s">
        <v>124</v>
      </c>
      <c r="I22" s="11">
        <v>46271</v>
      </c>
      <c r="J22" s="12">
        <v>46266</v>
      </c>
      <c r="K22" s="13">
        <f>INDEX(Assumptions!$B$4:$B$23,MATCH(F22,Assumptions!$A$4:$A$23,0))</f>
        <v>0.10526315789473679</v>
      </c>
      <c r="L22" s="14">
        <f t="shared" si="0"/>
        <v>2.9778947368421038</v>
      </c>
      <c r="M22" t="str">
        <f t="shared" si="1"/>
        <v>Yes</v>
      </c>
    </row>
    <row r="23" spans="1:13" x14ac:dyDescent="0.25">
      <c r="A23">
        <v>339618</v>
      </c>
      <c r="B23" t="s">
        <v>130</v>
      </c>
      <c r="C23" t="s">
        <v>6221</v>
      </c>
      <c r="D23" t="s">
        <v>6220</v>
      </c>
      <c r="E23">
        <v>22.9</v>
      </c>
      <c r="F23" t="s">
        <v>123</v>
      </c>
      <c r="G23" t="s">
        <v>125</v>
      </c>
      <c r="H23" t="s">
        <v>124</v>
      </c>
      <c r="I23" s="11">
        <v>46271</v>
      </c>
      <c r="J23" s="12">
        <v>46266</v>
      </c>
      <c r="K23" s="13">
        <f>INDEX(Assumptions!$B$4:$B$23,MATCH(F23,Assumptions!$A$4:$A$23,0))</f>
        <v>0.10526315789473679</v>
      </c>
      <c r="L23" s="14">
        <f t="shared" si="0"/>
        <v>2.4105263157894723</v>
      </c>
      <c r="M23" t="str">
        <f t="shared" si="1"/>
        <v>Yes</v>
      </c>
    </row>
    <row r="24" spans="1:13" x14ac:dyDescent="0.25">
      <c r="A24">
        <v>339617</v>
      </c>
      <c r="B24" t="s">
        <v>133</v>
      </c>
      <c r="C24" t="s">
        <v>134</v>
      </c>
      <c r="D24" t="s">
        <v>6220</v>
      </c>
      <c r="E24">
        <v>1.71</v>
      </c>
      <c r="F24" t="s">
        <v>50</v>
      </c>
      <c r="G24" t="s">
        <v>137</v>
      </c>
      <c r="H24" t="s">
        <v>136</v>
      </c>
      <c r="I24" s="11">
        <v>46298</v>
      </c>
      <c r="J24" s="12">
        <v>46296</v>
      </c>
      <c r="K24" s="13">
        <f>INDEX(Assumptions!$B$4:$B$23,MATCH(F24,Assumptions!$A$4:$A$23,0))</f>
        <v>1.0869565217391299</v>
      </c>
      <c r="L24" s="14">
        <f t="shared" si="0"/>
        <v>1.8586956521739122</v>
      </c>
      <c r="M24" t="str">
        <f t="shared" si="1"/>
        <v>No</v>
      </c>
    </row>
    <row r="25" spans="1:13" x14ac:dyDescent="0.25">
      <c r="A25">
        <v>339616</v>
      </c>
      <c r="B25" t="s">
        <v>139</v>
      </c>
      <c r="C25" t="s">
        <v>140</v>
      </c>
      <c r="D25" t="s">
        <v>6220</v>
      </c>
      <c r="E25">
        <v>1.69</v>
      </c>
      <c r="F25" t="s">
        <v>50</v>
      </c>
      <c r="G25" t="s">
        <v>137</v>
      </c>
      <c r="H25" t="s">
        <v>136</v>
      </c>
      <c r="I25" s="11">
        <v>46298</v>
      </c>
      <c r="J25" s="12">
        <v>46296</v>
      </c>
      <c r="K25" s="13">
        <f>INDEX(Assumptions!$B$4:$B$23,MATCH(F25,Assumptions!$A$4:$A$23,0))</f>
        <v>1.0869565217391299</v>
      </c>
      <c r="L25" s="14">
        <f t="shared" si="0"/>
        <v>1.8369565217391295</v>
      </c>
      <c r="M25" t="str">
        <f t="shared" si="1"/>
        <v>No</v>
      </c>
    </row>
    <row r="26" spans="1:13" x14ac:dyDescent="0.25">
      <c r="A26">
        <v>339615</v>
      </c>
      <c r="B26" t="s">
        <v>142</v>
      </c>
      <c r="C26" t="s">
        <v>143</v>
      </c>
      <c r="D26" t="s">
        <v>6220</v>
      </c>
      <c r="E26">
        <v>1.73</v>
      </c>
      <c r="F26" t="s">
        <v>50</v>
      </c>
      <c r="G26" t="s">
        <v>137</v>
      </c>
      <c r="H26" t="s">
        <v>136</v>
      </c>
      <c r="I26" s="11">
        <v>46298</v>
      </c>
      <c r="J26" s="12">
        <v>46296</v>
      </c>
      <c r="K26" s="13">
        <f>INDEX(Assumptions!$B$4:$B$23,MATCH(F26,Assumptions!$A$4:$A$23,0))</f>
        <v>1.0869565217391299</v>
      </c>
      <c r="L26" s="14">
        <f t="shared" si="0"/>
        <v>1.8804347826086947</v>
      </c>
      <c r="M26" t="str">
        <f t="shared" si="1"/>
        <v>No</v>
      </c>
    </row>
    <row r="27" spans="1:13" x14ac:dyDescent="0.25">
      <c r="A27">
        <v>339614</v>
      </c>
      <c r="B27" t="s">
        <v>146</v>
      </c>
      <c r="C27" t="s">
        <v>147</v>
      </c>
      <c r="D27" t="s">
        <v>6220</v>
      </c>
      <c r="E27">
        <v>10.19</v>
      </c>
      <c r="F27" t="s">
        <v>50</v>
      </c>
      <c r="G27" t="s">
        <v>137</v>
      </c>
      <c r="H27" t="s">
        <v>136</v>
      </c>
      <c r="I27" s="11">
        <v>46298</v>
      </c>
      <c r="J27" s="12">
        <v>46296</v>
      </c>
      <c r="K27" s="13">
        <f>INDEX(Assumptions!$B$4:$B$23,MATCH(F27,Assumptions!$A$4:$A$23,0))</f>
        <v>1.0869565217391299</v>
      </c>
      <c r="L27" s="14">
        <f t="shared" si="0"/>
        <v>11.076086956521733</v>
      </c>
      <c r="M27" t="str">
        <f t="shared" si="1"/>
        <v>No</v>
      </c>
    </row>
    <row r="28" spans="1:13" x14ac:dyDescent="0.25">
      <c r="A28">
        <v>339613</v>
      </c>
      <c r="B28" t="s">
        <v>150</v>
      </c>
      <c r="C28" t="s">
        <v>151</v>
      </c>
      <c r="D28" t="s">
        <v>6220</v>
      </c>
      <c r="E28">
        <v>4.99</v>
      </c>
      <c r="F28" t="s">
        <v>50</v>
      </c>
      <c r="G28" t="s">
        <v>137</v>
      </c>
      <c r="H28" t="s">
        <v>136</v>
      </c>
      <c r="I28" s="11">
        <v>46298</v>
      </c>
      <c r="J28" s="12">
        <v>46296</v>
      </c>
      <c r="K28" s="13">
        <f>INDEX(Assumptions!$B$4:$B$23,MATCH(F28,Assumptions!$A$4:$A$23,0))</f>
        <v>1.0869565217391299</v>
      </c>
      <c r="L28" s="14">
        <f t="shared" si="0"/>
        <v>5.423913043478259</v>
      </c>
      <c r="M28" t="str">
        <f t="shared" si="1"/>
        <v>No</v>
      </c>
    </row>
    <row r="29" spans="1:13" x14ac:dyDescent="0.25">
      <c r="A29">
        <v>339612</v>
      </c>
      <c r="B29" t="s">
        <v>154</v>
      </c>
      <c r="C29" t="s">
        <v>155</v>
      </c>
      <c r="D29" t="s">
        <v>6220</v>
      </c>
      <c r="E29">
        <v>2.4300000000000002</v>
      </c>
      <c r="F29" t="s">
        <v>50</v>
      </c>
      <c r="G29" t="s">
        <v>137</v>
      </c>
      <c r="H29" t="s">
        <v>136</v>
      </c>
      <c r="I29" s="11">
        <v>46298</v>
      </c>
      <c r="J29" s="12">
        <v>46296</v>
      </c>
      <c r="K29" s="13">
        <f>INDEX(Assumptions!$B$4:$B$23,MATCH(F29,Assumptions!$A$4:$A$23,0))</f>
        <v>1.0869565217391299</v>
      </c>
      <c r="L29" s="14">
        <f t="shared" si="0"/>
        <v>2.641304347826086</v>
      </c>
      <c r="M29" t="str">
        <f t="shared" si="1"/>
        <v>No</v>
      </c>
    </row>
    <row r="30" spans="1:13" x14ac:dyDescent="0.25">
      <c r="A30">
        <v>339611</v>
      </c>
      <c r="B30" t="s">
        <v>158</v>
      </c>
      <c r="C30" t="s">
        <v>159</v>
      </c>
      <c r="D30" t="s">
        <v>6220</v>
      </c>
      <c r="E30">
        <v>1.55</v>
      </c>
      <c r="F30" t="s">
        <v>50</v>
      </c>
      <c r="G30" t="s">
        <v>137</v>
      </c>
      <c r="H30" t="s">
        <v>136</v>
      </c>
      <c r="I30" s="11">
        <v>46298</v>
      </c>
      <c r="J30" s="12">
        <v>46296</v>
      </c>
      <c r="K30" s="13">
        <f>INDEX(Assumptions!$B$4:$B$23,MATCH(F30,Assumptions!$A$4:$A$23,0))</f>
        <v>1.0869565217391299</v>
      </c>
      <c r="L30" s="14">
        <f t="shared" si="0"/>
        <v>1.6847826086956514</v>
      </c>
      <c r="M30" t="str">
        <f t="shared" si="1"/>
        <v>No</v>
      </c>
    </row>
    <row r="31" spans="1:13" x14ac:dyDescent="0.25">
      <c r="A31">
        <v>339610</v>
      </c>
      <c r="B31" t="s">
        <v>162</v>
      </c>
      <c r="C31" t="s">
        <v>163</v>
      </c>
      <c r="D31" t="s">
        <v>6220</v>
      </c>
      <c r="E31">
        <v>2.91</v>
      </c>
      <c r="F31" t="s">
        <v>50</v>
      </c>
      <c r="G31" t="s">
        <v>137</v>
      </c>
      <c r="H31" t="s">
        <v>136</v>
      </c>
      <c r="I31" s="11">
        <v>46298</v>
      </c>
      <c r="J31" s="12">
        <v>46296</v>
      </c>
      <c r="K31" s="13">
        <f>INDEX(Assumptions!$B$4:$B$23,MATCH(F31,Assumptions!$A$4:$A$23,0))</f>
        <v>1.0869565217391299</v>
      </c>
      <c r="L31" s="14">
        <f t="shared" si="0"/>
        <v>3.1630434782608683</v>
      </c>
      <c r="M31" t="str">
        <f t="shared" si="1"/>
        <v>No</v>
      </c>
    </row>
    <row r="32" spans="1:13" x14ac:dyDescent="0.25">
      <c r="A32">
        <v>339609</v>
      </c>
      <c r="B32" t="s">
        <v>166</v>
      </c>
      <c r="C32" t="s">
        <v>167</v>
      </c>
      <c r="D32" t="s">
        <v>6220</v>
      </c>
      <c r="E32">
        <v>5.39</v>
      </c>
      <c r="F32" t="s">
        <v>50</v>
      </c>
      <c r="G32" t="s">
        <v>137</v>
      </c>
      <c r="H32" t="s">
        <v>136</v>
      </c>
      <c r="I32" s="11">
        <v>46298</v>
      </c>
      <c r="J32" s="12">
        <v>46296</v>
      </c>
      <c r="K32" s="13">
        <f>INDEX(Assumptions!$B$4:$B$23,MATCH(F32,Assumptions!$A$4:$A$23,0))</f>
        <v>1.0869565217391299</v>
      </c>
      <c r="L32" s="14">
        <f t="shared" si="0"/>
        <v>5.8586956521739104</v>
      </c>
      <c r="M32" t="str">
        <f t="shared" si="1"/>
        <v>No</v>
      </c>
    </row>
    <row r="33" spans="1:13" x14ac:dyDescent="0.25">
      <c r="A33">
        <v>339608</v>
      </c>
      <c r="B33" t="s">
        <v>170</v>
      </c>
      <c r="C33" t="s">
        <v>171</v>
      </c>
      <c r="D33" t="s">
        <v>6220</v>
      </c>
      <c r="E33">
        <v>2.38</v>
      </c>
      <c r="F33" t="s">
        <v>50</v>
      </c>
      <c r="G33" t="s">
        <v>137</v>
      </c>
      <c r="H33" t="s">
        <v>136</v>
      </c>
      <c r="I33" s="11">
        <v>46298</v>
      </c>
      <c r="J33" s="12">
        <v>46296</v>
      </c>
      <c r="K33" s="13">
        <f>INDEX(Assumptions!$B$4:$B$23,MATCH(F33,Assumptions!$A$4:$A$23,0))</f>
        <v>1.0869565217391299</v>
      </c>
      <c r="L33" s="14">
        <f t="shared" si="0"/>
        <v>2.586956521739129</v>
      </c>
      <c r="M33" t="str">
        <f t="shared" si="1"/>
        <v>No</v>
      </c>
    </row>
    <row r="34" spans="1:13" x14ac:dyDescent="0.25">
      <c r="A34">
        <v>339607</v>
      </c>
      <c r="B34" t="s">
        <v>174</v>
      </c>
      <c r="C34" t="s">
        <v>175</v>
      </c>
      <c r="D34" t="s">
        <v>6220</v>
      </c>
      <c r="E34">
        <v>3.71</v>
      </c>
      <c r="F34" t="s">
        <v>50</v>
      </c>
      <c r="G34" t="s">
        <v>137</v>
      </c>
      <c r="H34" t="s">
        <v>136</v>
      </c>
      <c r="I34" s="11">
        <v>46298</v>
      </c>
      <c r="J34" s="12">
        <v>46296</v>
      </c>
      <c r="K34" s="13">
        <f>INDEX(Assumptions!$B$4:$B$23,MATCH(F34,Assumptions!$A$4:$A$23,0))</f>
        <v>1.0869565217391299</v>
      </c>
      <c r="L34" s="14">
        <f t="shared" si="0"/>
        <v>4.0326086956521721</v>
      </c>
      <c r="M34" t="str">
        <f t="shared" si="1"/>
        <v>No</v>
      </c>
    </row>
    <row r="35" spans="1:13" x14ac:dyDescent="0.25">
      <c r="A35">
        <v>339606</v>
      </c>
      <c r="B35" t="s">
        <v>178</v>
      </c>
      <c r="C35" t="s">
        <v>179</v>
      </c>
      <c r="D35" t="s">
        <v>6220</v>
      </c>
      <c r="E35">
        <v>2.2400000000000002</v>
      </c>
      <c r="F35" t="s">
        <v>50</v>
      </c>
      <c r="G35" t="s">
        <v>137</v>
      </c>
      <c r="H35" t="s">
        <v>136</v>
      </c>
      <c r="I35" s="11">
        <v>46298</v>
      </c>
      <c r="J35" s="12">
        <v>46296</v>
      </c>
      <c r="K35" s="13">
        <f>INDEX(Assumptions!$B$4:$B$23,MATCH(F35,Assumptions!$A$4:$A$23,0))</f>
        <v>1.0869565217391299</v>
      </c>
      <c r="L35" s="14">
        <f t="shared" si="0"/>
        <v>2.4347826086956514</v>
      </c>
      <c r="M35" t="str">
        <f t="shared" si="1"/>
        <v>No</v>
      </c>
    </row>
    <row r="36" spans="1:13" x14ac:dyDescent="0.25">
      <c r="A36">
        <v>339605</v>
      </c>
      <c r="B36" t="s">
        <v>182</v>
      </c>
      <c r="C36" t="s">
        <v>183</v>
      </c>
      <c r="D36" t="s">
        <v>6220</v>
      </c>
      <c r="E36">
        <v>2.13</v>
      </c>
      <c r="F36" t="s">
        <v>50</v>
      </c>
      <c r="G36" t="s">
        <v>137</v>
      </c>
      <c r="H36" t="s">
        <v>136</v>
      </c>
      <c r="I36" s="11">
        <v>46298</v>
      </c>
      <c r="J36" s="12">
        <v>46296</v>
      </c>
      <c r="K36" s="13">
        <f>INDEX(Assumptions!$B$4:$B$23,MATCH(F36,Assumptions!$A$4:$A$23,0))</f>
        <v>1.0869565217391299</v>
      </c>
      <c r="L36" s="14">
        <f t="shared" si="0"/>
        <v>2.3152173913043468</v>
      </c>
      <c r="M36" t="str">
        <f t="shared" si="1"/>
        <v>No</v>
      </c>
    </row>
    <row r="37" spans="1:13" x14ac:dyDescent="0.25">
      <c r="A37">
        <v>339604</v>
      </c>
      <c r="B37" t="s">
        <v>186</v>
      </c>
      <c r="C37" t="s">
        <v>187</v>
      </c>
      <c r="D37" t="s">
        <v>6220</v>
      </c>
      <c r="E37">
        <v>6.99</v>
      </c>
      <c r="F37" t="s">
        <v>50</v>
      </c>
      <c r="G37" t="s">
        <v>137</v>
      </c>
      <c r="H37" t="s">
        <v>136</v>
      </c>
      <c r="I37" s="11">
        <v>46298</v>
      </c>
      <c r="J37" s="12">
        <v>46296</v>
      </c>
      <c r="K37" s="13">
        <f>INDEX(Assumptions!$B$4:$B$23,MATCH(F37,Assumptions!$A$4:$A$23,0))</f>
        <v>1.0869565217391299</v>
      </c>
      <c r="L37" s="14">
        <f t="shared" si="0"/>
        <v>7.5978260869565188</v>
      </c>
      <c r="M37" t="str">
        <f t="shared" si="1"/>
        <v>No</v>
      </c>
    </row>
    <row r="38" spans="1:13" x14ac:dyDescent="0.25">
      <c r="A38">
        <v>339603</v>
      </c>
      <c r="B38" t="s">
        <v>190</v>
      </c>
      <c r="C38" t="s">
        <v>191</v>
      </c>
      <c r="D38" t="s">
        <v>6220</v>
      </c>
      <c r="E38">
        <v>3.04</v>
      </c>
      <c r="F38" t="s">
        <v>50</v>
      </c>
      <c r="G38" t="s">
        <v>137</v>
      </c>
      <c r="H38" t="s">
        <v>136</v>
      </c>
      <c r="I38" s="11">
        <v>46298</v>
      </c>
      <c r="J38" s="12">
        <v>46296</v>
      </c>
      <c r="K38" s="13">
        <f>INDEX(Assumptions!$B$4:$B$23,MATCH(F38,Assumptions!$A$4:$A$23,0))</f>
        <v>1.0869565217391299</v>
      </c>
      <c r="L38" s="14">
        <f t="shared" si="0"/>
        <v>3.3043478260869552</v>
      </c>
      <c r="M38" t="str">
        <f t="shared" si="1"/>
        <v>No</v>
      </c>
    </row>
    <row r="39" spans="1:13" x14ac:dyDescent="0.25">
      <c r="A39">
        <v>339602</v>
      </c>
      <c r="B39" t="s">
        <v>194</v>
      </c>
      <c r="C39" t="s">
        <v>195</v>
      </c>
      <c r="D39" t="s">
        <v>6220</v>
      </c>
      <c r="E39">
        <v>1.55</v>
      </c>
      <c r="F39" t="s">
        <v>50</v>
      </c>
      <c r="G39" t="s">
        <v>137</v>
      </c>
      <c r="H39" t="s">
        <v>136</v>
      </c>
      <c r="I39" s="11">
        <v>46298</v>
      </c>
      <c r="J39" s="12">
        <v>46296</v>
      </c>
      <c r="K39" s="13">
        <f>INDEX(Assumptions!$B$4:$B$23,MATCH(F39,Assumptions!$A$4:$A$23,0))</f>
        <v>1.0869565217391299</v>
      </c>
      <c r="L39" s="14">
        <f t="shared" si="0"/>
        <v>1.6847826086956514</v>
      </c>
      <c r="M39" t="str">
        <f t="shared" si="1"/>
        <v>No</v>
      </c>
    </row>
    <row r="40" spans="1:13" x14ac:dyDescent="0.25">
      <c r="A40">
        <v>339601</v>
      </c>
      <c r="B40" t="s">
        <v>197</v>
      </c>
      <c r="C40" t="s">
        <v>198</v>
      </c>
      <c r="D40" t="s">
        <v>6220</v>
      </c>
      <c r="E40">
        <v>3.63</v>
      </c>
      <c r="F40" t="s">
        <v>50</v>
      </c>
      <c r="G40" t="s">
        <v>137</v>
      </c>
      <c r="H40" t="s">
        <v>136</v>
      </c>
      <c r="I40" s="11">
        <v>46298</v>
      </c>
      <c r="J40" s="12">
        <v>46296</v>
      </c>
      <c r="K40" s="13">
        <f>INDEX(Assumptions!$B$4:$B$23,MATCH(F40,Assumptions!$A$4:$A$23,0))</f>
        <v>1.0869565217391299</v>
      </c>
      <c r="L40" s="14">
        <f t="shared" si="0"/>
        <v>3.9456521739130417</v>
      </c>
      <c r="M40" t="str">
        <f t="shared" si="1"/>
        <v>No</v>
      </c>
    </row>
    <row r="41" spans="1:13" x14ac:dyDescent="0.25">
      <c r="A41">
        <v>339600</v>
      </c>
      <c r="B41" t="s">
        <v>201</v>
      </c>
      <c r="C41" t="s">
        <v>202</v>
      </c>
      <c r="D41" t="s">
        <v>6220</v>
      </c>
      <c r="E41">
        <v>2.44</v>
      </c>
      <c r="F41" t="s">
        <v>50</v>
      </c>
      <c r="G41" t="s">
        <v>137</v>
      </c>
      <c r="H41" t="s">
        <v>136</v>
      </c>
      <c r="I41" s="11">
        <v>46298</v>
      </c>
      <c r="J41" s="12">
        <v>46296</v>
      </c>
      <c r="K41" s="13">
        <f>INDEX(Assumptions!$B$4:$B$23,MATCH(F41,Assumptions!$A$4:$A$23,0))</f>
        <v>1.0869565217391299</v>
      </c>
      <c r="L41" s="14">
        <f t="shared" si="0"/>
        <v>2.6521739130434772</v>
      </c>
      <c r="M41" t="str">
        <f t="shared" si="1"/>
        <v>No</v>
      </c>
    </row>
    <row r="42" spans="1:13" x14ac:dyDescent="0.25">
      <c r="A42">
        <v>339599</v>
      </c>
      <c r="B42" t="s">
        <v>205</v>
      </c>
      <c r="C42" t="s">
        <v>206</v>
      </c>
      <c r="D42" t="s">
        <v>6220</v>
      </c>
      <c r="E42">
        <v>2.1</v>
      </c>
      <c r="F42" t="s">
        <v>50</v>
      </c>
      <c r="G42" t="s">
        <v>137</v>
      </c>
      <c r="H42" t="s">
        <v>136</v>
      </c>
      <c r="I42" s="11">
        <v>46298</v>
      </c>
      <c r="J42" s="12">
        <v>46296</v>
      </c>
      <c r="K42" s="13">
        <f>INDEX(Assumptions!$B$4:$B$23,MATCH(F42,Assumptions!$A$4:$A$23,0))</f>
        <v>1.0869565217391299</v>
      </c>
      <c r="L42" s="14">
        <f t="shared" si="0"/>
        <v>2.2826086956521729</v>
      </c>
      <c r="M42" t="str">
        <f t="shared" si="1"/>
        <v>No</v>
      </c>
    </row>
    <row r="43" spans="1:13" x14ac:dyDescent="0.25">
      <c r="A43">
        <v>339598</v>
      </c>
      <c r="B43" t="s">
        <v>209</v>
      </c>
      <c r="C43" t="s">
        <v>210</v>
      </c>
      <c r="D43" t="s">
        <v>6220</v>
      </c>
      <c r="E43">
        <v>1.57</v>
      </c>
      <c r="F43" t="s">
        <v>50</v>
      </c>
      <c r="G43" t="s">
        <v>137</v>
      </c>
      <c r="H43" t="s">
        <v>136</v>
      </c>
      <c r="I43" s="11">
        <v>46298</v>
      </c>
      <c r="J43" s="12">
        <v>46296</v>
      </c>
      <c r="K43" s="13">
        <f>INDEX(Assumptions!$B$4:$B$23,MATCH(F43,Assumptions!$A$4:$A$23,0))</f>
        <v>1.0869565217391299</v>
      </c>
      <c r="L43" s="14">
        <f t="shared" si="0"/>
        <v>1.7065217391304341</v>
      </c>
      <c r="M43" t="str">
        <f t="shared" si="1"/>
        <v>No</v>
      </c>
    </row>
    <row r="44" spans="1:13" x14ac:dyDescent="0.25">
      <c r="A44">
        <v>339597</v>
      </c>
      <c r="B44" t="s">
        <v>213</v>
      </c>
      <c r="C44" t="s">
        <v>214</v>
      </c>
      <c r="D44" t="s">
        <v>6220</v>
      </c>
      <c r="E44">
        <v>3.8</v>
      </c>
      <c r="F44" t="s">
        <v>50</v>
      </c>
      <c r="G44" t="s">
        <v>137</v>
      </c>
      <c r="H44" t="s">
        <v>136</v>
      </c>
      <c r="I44" s="11">
        <v>46298</v>
      </c>
      <c r="J44" s="12">
        <v>46296</v>
      </c>
      <c r="K44" s="13">
        <f>INDEX(Assumptions!$B$4:$B$23,MATCH(F44,Assumptions!$A$4:$A$23,0))</f>
        <v>1.0869565217391299</v>
      </c>
      <c r="L44" s="14">
        <f t="shared" si="0"/>
        <v>4.1304347826086936</v>
      </c>
      <c r="M44" t="str">
        <f t="shared" si="1"/>
        <v>No</v>
      </c>
    </row>
    <row r="45" spans="1:13" x14ac:dyDescent="0.25">
      <c r="A45">
        <v>339596</v>
      </c>
      <c r="B45" t="s">
        <v>217</v>
      </c>
      <c r="C45" t="s">
        <v>218</v>
      </c>
      <c r="D45" t="s">
        <v>6220</v>
      </c>
      <c r="E45">
        <v>1.99</v>
      </c>
      <c r="F45" t="s">
        <v>50</v>
      </c>
      <c r="G45" t="s">
        <v>137</v>
      </c>
      <c r="H45" t="s">
        <v>136</v>
      </c>
      <c r="I45" s="11">
        <v>46298</v>
      </c>
      <c r="J45" s="12">
        <v>46296</v>
      </c>
      <c r="K45" s="13">
        <f>INDEX(Assumptions!$B$4:$B$23,MATCH(F45,Assumptions!$A$4:$A$23,0))</f>
        <v>1.0869565217391299</v>
      </c>
      <c r="L45" s="14">
        <f t="shared" si="0"/>
        <v>2.1630434782608687</v>
      </c>
      <c r="M45" t="str">
        <f t="shared" si="1"/>
        <v>No</v>
      </c>
    </row>
    <row r="46" spans="1:13" x14ac:dyDescent="0.25">
      <c r="A46">
        <v>339595</v>
      </c>
      <c r="B46" t="s">
        <v>220</v>
      </c>
      <c r="C46" t="s">
        <v>221</v>
      </c>
      <c r="D46" t="s">
        <v>6220</v>
      </c>
      <c r="E46">
        <v>2.12</v>
      </c>
      <c r="F46" t="s">
        <v>50</v>
      </c>
      <c r="G46" t="s">
        <v>137</v>
      </c>
      <c r="H46" t="s">
        <v>136</v>
      </c>
      <c r="I46" s="11">
        <v>46298</v>
      </c>
      <c r="J46" s="12">
        <v>46296</v>
      </c>
      <c r="K46" s="13">
        <f>INDEX(Assumptions!$B$4:$B$23,MATCH(F46,Assumptions!$A$4:$A$23,0))</f>
        <v>1.0869565217391299</v>
      </c>
      <c r="L46" s="14">
        <f t="shared" si="0"/>
        <v>2.3043478260869557</v>
      </c>
      <c r="M46" t="str">
        <f t="shared" si="1"/>
        <v>No</v>
      </c>
    </row>
    <row r="47" spans="1:13" x14ac:dyDescent="0.25">
      <c r="A47">
        <v>339594</v>
      </c>
      <c r="B47" t="s">
        <v>224</v>
      </c>
      <c r="C47" t="s">
        <v>225</v>
      </c>
      <c r="D47" t="s">
        <v>6220</v>
      </c>
      <c r="E47">
        <v>5.68</v>
      </c>
      <c r="F47" t="s">
        <v>50</v>
      </c>
      <c r="G47" t="s">
        <v>137</v>
      </c>
      <c r="H47" t="s">
        <v>136</v>
      </c>
      <c r="I47" s="11">
        <v>46298</v>
      </c>
      <c r="J47" s="12">
        <v>46296</v>
      </c>
      <c r="K47" s="13">
        <f>INDEX(Assumptions!$B$4:$B$23,MATCH(F47,Assumptions!$A$4:$A$23,0))</f>
        <v>1.0869565217391299</v>
      </c>
      <c r="L47" s="14">
        <f t="shared" si="0"/>
        <v>6.1739130434782581</v>
      </c>
      <c r="M47" t="str">
        <f t="shared" si="1"/>
        <v>No</v>
      </c>
    </row>
    <row r="48" spans="1:13" x14ac:dyDescent="0.25">
      <c r="A48">
        <v>339593</v>
      </c>
      <c r="B48" t="s">
        <v>228</v>
      </c>
      <c r="C48" t="s">
        <v>229</v>
      </c>
      <c r="D48" t="s">
        <v>6220</v>
      </c>
      <c r="E48">
        <v>3.34</v>
      </c>
      <c r="F48" t="s">
        <v>50</v>
      </c>
      <c r="G48" t="s">
        <v>137</v>
      </c>
      <c r="H48" t="s">
        <v>136</v>
      </c>
      <c r="I48" s="11">
        <v>46298</v>
      </c>
      <c r="J48" s="12">
        <v>46296</v>
      </c>
      <c r="K48" s="13">
        <f>INDEX(Assumptions!$B$4:$B$23,MATCH(F48,Assumptions!$A$4:$A$23,0))</f>
        <v>1.0869565217391299</v>
      </c>
      <c r="L48" s="14">
        <f t="shared" si="0"/>
        <v>3.630434782608694</v>
      </c>
      <c r="M48" t="str">
        <f t="shared" si="1"/>
        <v>No</v>
      </c>
    </row>
    <row r="49" spans="1:13" x14ac:dyDescent="0.25">
      <c r="A49">
        <v>339592</v>
      </c>
      <c r="B49" t="s">
        <v>232</v>
      </c>
      <c r="C49" t="s">
        <v>233</v>
      </c>
      <c r="D49" t="s">
        <v>6220</v>
      </c>
      <c r="E49">
        <v>7.4</v>
      </c>
      <c r="F49" t="s">
        <v>50</v>
      </c>
      <c r="G49" t="s">
        <v>137</v>
      </c>
      <c r="H49" t="s">
        <v>136</v>
      </c>
      <c r="I49" s="11">
        <v>46298</v>
      </c>
      <c r="J49" s="12">
        <v>46296</v>
      </c>
      <c r="K49" s="13">
        <f>INDEX(Assumptions!$B$4:$B$23,MATCH(F49,Assumptions!$A$4:$A$23,0))</f>
        <v>1.0869565217391299</v>
      </c>
      <c r="L49" s="14">
        <f t="shared" si="0"/>
        <v>8.0434782608695627</v>
      </c>
      <c r="M49" t="str">
        <f t="shared" si="1"/>
        <v>No</v>
      </c>
    </row>
    <row r="50" spans="1:13" x14ac:dyDescent="0.25">
      <c r="A50">
        <v>339591</v>
      </c>
      <c r="B50" t="s">
        <v>236</v>
      </c>
      <c r="C50" t="s">
        <v>237</v>
      </c>
      <c r="D50" t="s">
        <v>6220</v>
      </c>
      <c r="E50">
        <v>1.62</v>
      </c>
      <c r="F50" t="s">
        <v>50</v>
      </c>
      <c r="G50" t="s">
        <v>137</v>
      </c>
      <c r="H50" t="s">
        <v>136</v>
      </c>
      <c r="I50" s="11">
        <v>46298</v>
      </c>
      <c r="J50" s="12">
        <v>46296</v>
      </c>
      <c r="K50" s="13">
        <f>INDEX(Assumptions!$B$4:$B$23,MATCH(F50,Assumptions!$A$4:$A$23,0))</f>
        <v>1.0869565217391299</v>
      </c>
      <c r="L50" s="14">
        <f t="shared" si="0"/>
        <v>1.7608695652173907</v>
      </c>
      <c r="M50" t="str">
        <f t="shared" si="1"/>
        <v>No</v>
      </c>
    </row>
    <row r="51" spans="1:13" x14ac:dyDescent="0.25">
      <c r="A51">
        <v>339590</v>
      </c>
      <c r="B51" t="s">
        <v>240</v>
      </c>
      <c r="C51" t="s">
        <v>241</v>
      </c>
      <c r="D51" t="s">
        <v>6220</v>
      </c>
      <c r="E51">
        <v>1.6</v>
      </c>
      <c r="F51" t="s">
        <v>50</v>
      </c>
      <c r="G51" t="s">
        <v>137</v>
      </c>
      <c r="H51" t="s">
        <v>136</v>
      </c>
      <c r="I51" s="11">
        <v>46298</v>
      </c>
      <c r="J51" s="12">
        <v>46296</v>
      </c>
      <c r="K51" s="13">
        <f>INDEX(Assumptions!$B$4:$B$23,MATCH(F51,Assumptions!$A$4:$A$23,0))</f>
        <v>1.0869565217391299</v>
      </c>
      <c r="L51" s="14">
        <f t="shared" si="0"/>
        <v>1.739130434782608</v>
      </c>
      <c r="M51" t="str">
        <f t="shared" si="1"/>
        <v>No</v>
      </c>
    </row>
    <row r="52" spans="1:13" x14ac:dyDescent="0.25">
      <c r="A52">
        <v>339589</v>
      </c>
      <c r="B52" t="s">
        <v>244</v>
      </c>
      <c r="C52" t="s">
        <v>245</v>
      </c>
      <c r="D52" t="s">
        <v>6220</v>
      </c>
      <c r="E52">
        <v>3.19</v>
      </c>
      <c r="F52" t="s">
        <v>50</v>
      </c>
      <c r="G52" t="s">
        <v>137</v>
      </c>
      <c r="H52" t="s">
        <v>136</v>
      </c>
      <c r="I52" s="11">
        <v>46298</v>
      </c>
      <c r="J52" s="12">
        <v>46296</v>
      </c>
      <c r="K52" s="13">
        <f>INDEX(Assumptions!$B$4:$B$23,MATCH(F52,Assumptions!$A$4:$A$23,0))</f>
        <v>1.0869565217391299</v>
      </c>
      <c r="L52" s="14">
        <f t="shared" si="0"/>
        <v>3.4673913043478244</v>
      </c>
      <c r="M52" t="str">
        <f t="shared" si="1"/>
        <v>No</v>
      </c>
    </row>
    <row r="53" spans="1:13" x14ac:dyDescent="0.25">
      <c r="A53">
        <v>339588</v>
      </c>
      <c r="B53" t="s">
        <v>248</v>
      </c>
      <c r="C53" t="s">
        <v>249</v>
      </c>
      <c r="D53" t="s">
        <v>6220</v>
      </c>
      <c r="E53">
        <v>1.85</v>
      </c>
      <c r="F53" t="s">
        <v>50</v>
      </c>
      <c r="G53" t="s">
        <v>137</v>
      </c>
      <c r="H53" t="s">
        <v>136</v>
      </c>
      <c r="I53" s="11">
        <v>46298</v>
      </c>
      <c r="J53" s="12">
        <v>46296</v>
      </c>
      <c r="K53" s="13">
        <f>INDEX(Assumptions!$B$4:$B$23,MATCH(F53,Assumptions!$A$4:$A$23,0))</f>
        <v>1.0869565217391299</v>
      </c>
      <c r="L53" s="14">
        <f t="shared" si="0"/>
        <v>2.0108695652173907</v>
      </c>
      <c r="M53" t="str">
        <f t="shared" si="1"/>
        <v>No</v>
      </c>
    </row>
    <row r="54" spans="1:13" x14ac:dyDescent="0.25">
      <c r="A54">
        <v>339587</v>
      </c>
      <c r="B54" t="s">
        <v>251</v>
      </c>
      <c r="C54" t="s">
        <v>252</v>
      </c>
      <c r="D54" t="s">
        <v>6220</v>
      </c>
      <c r="E54">
        <v>2.15</v>
      </c>
      <c r="F54" t="s">
        <v>50</v>
      </c>
      <c r="G54" t="s">
        <v>137</v>
      </c>
      <c r="H54" t="s">
        <v>136</v>
      </c>
      <c r="I54" s="11">
        <v>46298</v>
      </c>
      <c r="J54" s="12">
        <v>46296</v>
      </c>
      <c r="K54" s="13">
        <f>INDEX(Assumptions!$B$4:$B$23,MATCH(F54,Assumptions!$A$4:$A$23,0))</f>
        <v>1.0869565217391299</v>
      </c>
      <c r="L54" s="14">
        <f t="shared" si="0"/>
        <v>2.336956521739129</v>
      </c>
      <c r="M54" t="str">
        <f t="shared" si="1"/>
        <v>No</v>
      </c>
    </row>
    <row r="55" spans="1:13" x14ac:dyDescent="0.25">
      <c r="A55">
        <v>339586</v>
      </c>
      <c r="B55" t="s">
        <v>255</v>
      </c>
      <c r="C55" t="s">
        <v>256</v>
      </c>
      <c r="D55" t="s">
        <v>6220</v>
      </c>
      <c r="E55">
        <v>1.03</v>
      </c>
      <c r="F55" t="s">
        <v>50</v>
      </c>
      <c r="G55" t="s">
        <v>137</v>
      </c>
      <c r="H55" t="s">
        <v>136</v>
      </c>
      <c r="I55" s="11">
        <v>46298</v>
      </c>
      <c r="J55" s="12">
        <v>46296</v>
      </c>
      <c r="K55" s="13">
        <f>INDEX(Assumptions!$B$4:$B$23,MATCH(F55,Assumptions!$A$4:$A$23,0))</f>
        <v>1.0869565217391299</v>
      </c>
      <c r="L55" s="14">
        <f t="shared" si="0"/>
        <v>1.1195652173913038</v>
      </c>
      <c r="M55" t="str">
        <f t="shared" si="1"/>
        <v>No</v>
      </c>
    </row>
    <row r="56" spans="1:13" x14ac:dyDescent="0.25">
      <c r="A56">
        <v>339585</v>
      </c>
      <c r="B56" t="s">
        <v>259</v>
      </c>
      <c r="C56" t="s">
        <v>260</v>
      </c>
      <c r="D56" t="s">
        <v>6220</v>
      </c>
      <c r="E56">
        <v>3.69</v>
      </c>
      <c r="F56" t="s">
        <v>50</v>
      </c>
      <c r="G56" t="s">
        <v>137</v>
      </c>
      <c r="H56" t="s">
        <v>136</v>
      </c>
      <c r="I56" s="11">
        <v>46298</v>
      </c>
      <c r="J56" s="12">
        <v>46296</v>
      </c>
      <c r="K56" s="13">
        <f>INDEX(Assumptions!$B$4:$B$23,MATCH(F56,Assumptions!$A$4:$A$23,0))</f>
        <v>1.0869565217391299</v>
      </c>
      <c r="L56" s="14">
        <f t="shared" si="0"/>
        <v>4.0108695652173898</v>
      </c>
      <c r="M56" t="str">
        <f t="shared" si="1"/>
        <v>No</v>
      </c>
    </row>
    <row r="57" spans="1:13" x14ac:dyDescent="0.25">
      <c r="A57">
        <v>339584</v>
      </c>
      <c r="B57" t="s">
        <v>263</v>
      </c>
      <c r="C57" t="s">
        <v>264</v>
      </c>
      <c r="D57" t="s">
        <v>6220</v>
      </c>
      <c r="E57">
        <v>3.15</v>
      </c>
      <c r="F57" t="s">
        <v>50</v>
      </c>
      <c r="G57" t="s">
        <v>137</v>
      </c>
      <c r="H57" t="s">
        <v>136</v>
      </c>
      <c r="I57" s="11">
        <v>46298</v>
      </c>
      <c r="J57" s="12">
        <v>46296</v>
      </c>
      <c r="K57" s="13">
        <f>INDEX(Assumptions!$B$4:$B$23,MATCH(F57,Assumptions!$A$4:$A$23,0))</f>
        <v>1.0869565217391299</v>
      </c>
      <c r="L57" s="14">
        <f t="shared" si="0"/>
        <v>3.423913043478259</v>
      </c>
      <c r="M57" t="str">
        <f t="shared" si="1"/>
        <v>No</v>
      </c>
    </row>
    <row r="58" spans="1:13" x14ac:dyDescent="0.25">
      <c r="A58">
        <v>339583</v>
      </c>
      <c r="B58" t="s">
        <v>267</v>
      </c>
      <c r="C58" t="s">
        <v>268</v>
      </c>
      <c r="D58" t="s">
        <v>6220</v>
      </c>
      <c r="E58">
        <v>1.68</v>
      </c>
      <c r="F58" t="s">
        <v>50</v>
      </c>
      <c r="G58" t="s">
        <v>137</v>
      </c>
      <c r="H58" t="s">
        <v>136</v>
      </c>
      <c r="I58" s="11">
        <v>46298</v>
      </c>
      <c r="J58" s="12">
        <v>46296</v>
      </c>
      <c r="K58" s="13">
        <f>INDEX(Assumptions!$B$4:$B$23,MATCH(F58,Assumptions!$A$4:$A$23,0))</f>
        <v>1.0869565217391299</v>
      </c>
      <c r="L58" s="14">
        <f t="shared" si="0"/>
        <v>1.8260869565217381</v>
      </c>
      <c r="M58" t="str">
        <f t="shared" si="1"/>
        <v>No</v>
      </c>
    </row>
    <row r="59" spans="1:13" x14ac:dyDescent="0.25">
      <c r="A59">
        <v>339582</v>
      </c>
      <c r="B59" t="s">
        <v>271</v>
      </c>
      <c r="C59" t="s">
        <v>272</v>
      </c>
      <c r="D59" t="s">
        <v>6220</v>
      </c>
      <c r="E59">
        <v>1.92</v>
      </c>
      <c r="F59" t="s">
        <v>50</v>
      </c>
      <c r="G59" t="s">
        <v>137</v>
      </c>
      <c r="H59" t="s">
        <v>136</v>
      </c>
      <c r="I59" s="11">
        <v>46298</v>
      </c>
      <c r="J59" s="12">
        <v>46296</v>
      </c>
      <c r="K59" s="13">
        <f>INDEX(Assumptions!$B$4:$B$23,MATCH(F59,Assumptions!$A$4:$A$23,0))</f>
        <v>1.0869565217391299</v>
      </c>
      <c r="L59" s="14">
        <f t="shared" si="0"/>
        <v>2.0869565217391295</v>
      </c>
      <c r="M59" t="str">
        <f t="shared" si="1"/>
        <v>No</v>
      </c>
    </row>
    <row r="60" spans="1:13" x14ac:dyDescent="0.25">
      <c r="A60">
        <v>339581</v>
      </c>
      <c r="B60" t="s">
        <v>275</v>
      </c>
      <c r="C60" t="s">
        <v>276</v>
      </c>
      <c r="D60" t="s">
        <v>6220</v>
      </c>
      <c r="E60">
        <v>2.99</v>
      </c>
      <c r="F60" t="s">
        <v>50</v>
      </c>
      <c r="G60" t="s">
        <v>137</v>
      </c>
      <c r="H60" t="s">
        <v>136</v>
      </c>
      <c r="I60" s="11">
        <v>46298</v>
      </c>
      <c r="J60" s="12">
        <v>46296</v>
      </c>
      <c r="K60" s="13">
        <f>INDEX(Assumptions!$B$4:$B$23,MATCH(F60,Assumptions!$A$4:$A$23,0))</f>
        <v>1.0869565217391299</v>
      </c>
      <c r="L60" s="14">
        <f t="shared" si="0"/>
        <v>3.2499999999999987</v>
      </c>
      <c r="M60" t="str">
        <f t="shared" si="1"/>
        <v>No</v>
      </c>
    </row>
    <row r="61" spans="1:13" x14ac:dyDescent="0.25">
      <c r="A61">
        <v>339580</v>
      </c>
      <c r="B61" t="s">
        <v>279</v>
      </c>
      <c r="C61" t="s">
        <v>280</v>
      </c>
      <c r="D61" t="s">
        <v>6220</v>
      </c>
      <c r="E61">
        <v>1.44</v>
      </c>
      <c r="F61" t="s">
        <v>50</v>
      </c>
      <c r="G61" t="s">
        <v>137</v>
      </c>
      <c r="H61" t="s">
        <v>136</v>
      </c>
      <c r="I61" s="11">
        <v>46298</v>
      </c>
      <c r="J61" s="12">
        <v>46296</v>
      </c>
      <c r="K61" s="13">
        <f>INDEX(Assumptions!$B$4:$B$23,MATCH(F61,Assumptions!$A$4:$A$23,0))</f>
        <v>1.0869565217391299</v>
      </c>
      <c r="L61" s="14">
        <f t="shared" si="0"/>
        <v>1.565217391304347</v>
      </c>
      <c r="M61" t="str">
        <f t="shared" si="1"/>
        <v>No</v>
      </c>
    </row>
    <row r="62" spans="1:13" x14ac:dyDescent="0.25">
      <c r="A62">
        <v>339579</v>
      </c>
      <c r="B62" t="s">
        <v>283</v>
      </c>
      <c r="C62" t="s">
        <v>284</v>
      </c>
      <c r="D62" t="s">
        <v>6220</v>
      </c>
      <c r="E62">
        <v>1.96</v>
      </c>
      <c r="F62" t="s">
        <v>50</v>
      </c>
      <c r="G62" t="s">
        <v>137</v>
      </c>
      <c r="H62" t="s">
        <v>136</v>
      </c>
      <c r="I62" s="11">
        <v>46298</v>
      </c>
      <c r="J62" s="12">
        <v>46296</v>
      </c>
      <c r="K62" s="13">
        <f>INDEX(Assumptions!$B$4:$B$23,MATCH(F62,Assumptions!$A$4:$A$23,0))</f>
        <v>1.0869565217391299</v>
      </c>
      <c r="L62" s="14">
        <f t="shared" si="0"/>
        <v>2.1304347826086945</v>
      </c>
      <c r="M62" t="str">
        <f t="shared" si="1"/>
        <v>No</v>
      </c>
    </row>
    <row r="63" spans="1:13" x14ac:dyDescent="0.25">
      <c r="A63">
        <v>339578</v>
      </c>
      <c r="B63" t="s">
        <v>287</v>
      </c>
      <c r="C63" t="s">
        <v>288</v>
      </c>
      <c r="D63" t="s">
        <v>6220</v>
      </c>
      <c r="E63">
        <v>1.57</v>
      </c>
      <c r="F63" t="s">
        <v>50</v>
      </c>
      <c r="G63" t="s">
        <v>137</v>
      </c>
      <c r="H63" t="s">
        <v>136</v>
      </c>
      <c r="I63" s="11">
        <v>46298</v>
      </c>
      <c r="J63" s="12">
        <v>46296</v>
      </c>
      <c r="K63" s="13">
        <f>INDEX(Assumptions!$B$4:$B$23,MATCH(F63,Assumptions!$A$4:$A$23,0))</f>
        <v>1.0869565217391299</v>
      </c>
      <c r="L63" s="14">
        <f t="shared" si="0"/>
        <v>1.7065217391304341</v>
      </c>
      <c r="M63" t="str">
        <f t="shared" si="1"/>
        <v>No</v>
      </c>
    </row>
    <row r="64" spans="1:13" x14ac:dyDescent="0.25">
      <c r="A64">
        <v>339577</v>
      </c>
      <c r="B64" t="s">
        <v>290</v>
      </c>
      <c r="C64" t="s">
        <v>291</v>
      </c>
      <c r="D64" t="s">
        <v>6220</v>
      </c>
      <c r="E64">
        <v>2.19</v>
      </c>
      <c r="F64" t="s">
        <v>50</v>
      </c>
      <c r="G64" t="s">
        <v>137</v>
      </c>
      <c r="H64" t="s">
        <v>136</v>
      </c>
      <c r="I64" s="11">
        <v>46298</v>
      </c>
      <c r="J64" s="12">
        <v>46296</v>
      </c>
      <c r="K64" s="13">
        <f>INDEX(Assumptions!$B$4:$B$23,MATCH(F64,Assumptions!$A$4:$A$23,0))</f>
        <v>1.0869565217391299</v>
      </c>
      <c r="L64" s="14">
        <f t="shared" si="0"/>
        <v>2.3804347826086945</v>
      </c>
      <c r="M64" t="str">
        <f t="shared" si="1"/>
        <v>No</v>
      </c>
    </row>
    <row r="65" spans="1:13" x14ac:dyDescent="0.25">
      <c r="A65">
        <v>339576</v>
      </c>
      <c r="B65" t="s">
        <v>294</v>
      </c>
      <c r="C65" t="s">
        <v>295</v>
      </c>
      <c r="D65" t="s">
        <v>6220</v>
      </c>
      <c r="E65">
        <v>2.12</v>
      </c>
      <c r="F65" t="s">
        <v>50</v>
      </c>
      <c r="G65" t="s">
        <v>137</v>
      </c>
      <c r="H65" t="s">
        <v>136</v>
      </c>
      <c r="I65" s="11">
        <v>46298</v>
      </c>
      <c r="J65" s="12">
        <v>46296</v>
      </c>
      <c r="K65" s="13">
        <f>INDEX(Assumptions!$B$4:$B$23,MATCH(F65,Assumptions!$A$4:$A$23,0))</f>
        <v>1.0869565217391299</v>
      </c>
      <c r="L65" s="14">
        <f t="shared" si="0"/>
        <v>2.3043478260869557</v>
      </c>
      <c r="M65" t="str">
        <f t="shared" si="1"/>
        <v>No</v>
      </c>
    </row>
    <row r="66" spans="1:13" x14ac:dyDescent="0.25">
      <c r="A66">
        <v>339575</v>
      </c>
      <c r="B66" t="s">
        <v>297</v>
      </c>
      <c r="C66" t="s">
        <v>298</v>
      </c>
      <c r="D66" t="s">
        <v>6220</v>
      </c>
      <c r="E66">
        <v>1.63</v>
      </c>
      <c r="F66" t="s">
        <v>50</v>
      </c>
      <c r="G66" t="s">
        <v>137</v>
      </c>
      <c r="H66" t="s">
        <v>136</v>
      </c>
      <c r="I66" s="11">
        <v>46298</v>
      </c>
      <c r="J66" s="12">
        <v>46296</v>
      </c>
      <c r="K66" s="13">
        <f>INDEX(Assumptions!$B$4:$B$23,MATCH(F66,Assumptions!$A$4:$A$23,0))</f>
        <v>1.0869565217391299</v>
      </c>
      <c r="L66" s="14">
        <f t="shared" ref="L66:L129" si="2">E66*K66</f>
        <v>1.7717391304347816</v>
      </c>
      <c r="M66" t="str">
        <f t="shared" ref="M66:M129" si="3">IF(C66="Unnamed product","Yes","No")</f>
        <v>No</v>
      </c>
    </row>
    <row r="67" spans="1:13" x14ac:dyDescent="0.25">
      <c r="A67">
        <v>339574</v>
      </c>
      <c r="B67" t="s">
        <v>301</v>
      </c>
      <c r="C67" t="s">
        <v>302</v>
      </c>
      <c r="D67" t="s">
        <v>6220</v>
      </c>
      <c r="E67">
        <v>1.35</v>
      </c>
      <c r="F67" t="s">
        <v>50</v>
      </c>
      <c r="G67" t="s">
        <v>137</v>
      </c>
      <c r="H67" t="s">
        <v>136</v>
      </c>
      <c r="I67" s="11">
        <v>46298</v>
      </c>
      <c r="J67" s="12">
        <v>46296</v>
      </c>
      <c r="K67" s="13">
        <f>INDEX(Assumptions!$B$4:$B$23,MATCH(F67,Assumptions!$A$4:$A$23,0))</f>
        <v>1.0869565217391299</v>
      </c>
      <c r="L67" s="14">
        <f t="shared" si="2"/>
        <v>1.4673913043478255</v>
      </c>
      <c r="M67" t="str">
        <f t="shared" si="3"/>
        <v>No</v>
      </c>
    </row>
    <row r="68" spans="1:13" x14ac:dyDescent="0.25">
      <c r="A68">
        <v>339573</v>
      </c>
      <c r="B68" t="s">
        <v>305</v>
      </c>
      <c r="C68" t="s">
        <v>306</v>
      </c>
      <c r="D68" t="s">
        <v>6220</v>
      </c>
      <c r="E68">
        <v>1.8</v>
      </c>
      <c r="F68" t="s">
        <v>50</v>
      </c>
      <c r="G68" t="s">
        <v>137</v>
      </c>
      <c r="H68" t="s">
        <v>136</v>
      </c>
      <c r="I68" s="11">
        <v>46298</v>
      </c>
      <c r="J68" s="12">
        <v>46296</v>
      </c>
      <c r="K68" s="13">
        <f>INDEX(Assumptions!$B$4:$B$23,MATCH(F68,Assumptions!$A$4:$A$23,0))</f>
        <v>1.0869565217391299</v>
      </c>
      <c r="L68" s="14">
        <f t="shared" si="2"/>
        <v>1.9565217391304339</v>
      </c>
      <c r="M68" t="str">
        <f t="shared" si="3"/>
        <v>No</v>
      </c>
    </row>
    <row r="69" spans="1:13" x14ac:dyDescent="0.25">
      <c r="A69">
        <v>339572</v>
      </c>
      <c r="B69" t="s">
        <v>308</v>
      </c>
      <c r="C69" t="s">
        <v>309</v>
      </c>
      <c r="D69" t="s">
        <v>6220</v>
      </c>
      <c r="E69">
        <v>1.65</v>
      </c>
      <c r="F69" t="s">
        <v>50</v>
      </c>
      <c r="G69" t="s">
        <v>137</v>
      </c>
      <c r="H69" t="s">
        <v>136</v>
      </c>
      <c r="I69" s="11">
        <v>46298</v>
      </c>
      <c r="J69" s="12">
        <v>46296</v>
      </c>
      <c r="K69" s="13">
        <f>INDEX(Assumptions!$B$4:$B$23,MATCH(F69,Assumptions!$A$4:$A$23,0))</f>
        <v>1.0869565217391299</v>
      </c>
      <c r="L69" s="14">
        <f t="shared" si="2"/>
        <v>1.7934782608695643</v>
      </c>
      <c r="M69" t="str">
        <f t="shared" si="3"/>
        <v>No</v>
      </c>
    </row>
    <row r="70" spans="1:13" x14ac:dyDescent="0.25">
      <c r="A70">
        <v>339571</v>
      </c>
      <c r="B70" t="s">
        <v>312</v>
      </c>
      <c r="C70" t="s">
        <v>313</v>
      </c>
      <c r="D70" t="s">
        <v>6220</v>
      </c>
      <c r="E70">
        <v>2.59</v>
      </c>
      <c r="F70" t="s">
        <v>50</v>
      </c>
      <c r="G70" t="s">
        <v>137</v>
      </c>
      <c r="H70" t="s">
        <v>136</v>
      </c>
      <c r="I70" s="11">
        <v>46298</v>
      </c>
      <c r="J70" s="12">
        <v>46296</v>
      </c>
      <c r="K70" s="13">
        <f>INDEX(Assumptions!$B$4:$B$23,MATCH(F70,Assumptions!$A$4:$A$23,0))</f>
        <v>1.0869565217391299</v>
      </c>
      <c r="L70" s="14">
        <f t="shared" si="2"/>
        <v>2.8152173913043463</v>
      </c>
      <c r="M70" t="str">
        <f t="shared" si="3"/>
        <v>No</v>
      </c>
    </row>
    <row r="71" spans="1:13" x14ac:dyDescent="0.25">
      <c r="A71">
        <v>339570</v>
      </c>
      <c r="B71" t="s">
        <v>316</v>
      </c>
      <c r="C71" t="s">
        <v>317</v>
      </c>
      <c r="D71" t="s">
        <v>6220</v>
      </c>
      <c r="E71">
        <v>2.5499999999999998</v>
      </c>
      <c r="F71" t="s">
        <v>50</v>
      </c>
      <c r="G71" t="s">
        <v>137</v>
      </c>
      <c r="H71" t="s">
        <v>136</v>
      </c>
      <c r="I71" s="11">
        <v>46298</v>
      </c>
      <c r="J71" s="12">
        <v>46296</v>
      </c>
      <c r="K71" s="13">
        <f>INDEX(Assumptions!$B$4:$B$23,MATCH(F71,Assumptions!$A$4:$A$23,0))</f>
        <v>1.0869565217391299</v>
      </c>
      <c r="L71" s="14">
        <f t="shared" si="2"/>
        <v>2.7717391304347809</v>
      </c>
      <c r="M71" t="str">
        <f t="shared" si="3"/>
        <v>No</v>
      </c>
    </row>
    <row r="72" spans="1:13" x14ac:dyDescent="0.25">
      <c r="A72">
        <v>339569</v>
      </c>
      <c r="B72" t="s">
        <v>320</v>
      </c>
      <c r="C72" t="s">
        <v>321</v>
      </c>
      <c r="D72" t="s">
        <v>6220</v>
      </c>
      <c r="E72">
        <v>3.68</v>
      </c>
      <c r="F72" t="s">
        <v>50</v>
      </c>
      <c r="G72" t="s">
        <v>137</v>
      </c>
      <c r="H72" t="s">
        <v>136</v>
      </c>
      <c r="I72" s="11">
        <v>46298</v>
      </c>
      <c r="J72" s="12">
        <v>46296</v>
      </c>
      <c r="K72" s="13">
        <f>INDEX(Assumptions!$B$4:$B$23,MATCH(F72,Assumptions!$A$4:$A$23,0))</f>
        <v>1.0869565217391299</v>
      </c>
      <c r="L72" s="14">
        <f t="shared" si="2"/>
        <v>3.9999999999999982</v>
      </c>
      <c r="M72" t="str">
        <f t="shared" si="3"/>
        <v>No</v>
      </c>
    </row>
    <row r="73" spans="1:13" x14ac:dyDescent="0.25">
      <c r="A73">
        <v>339568</v>
      </c>
      <c r="B73" t="s">
        <v>324</v>
      </c>
      <c r="C73" t="s">
        <v>325</v>
      </c>
      <c r="D73" t="s">
        <v>6220</v>
      </c>
      <c r="E73">
        <v>4.1500000000000004</v>
      </c>
      <c r="F73" t="s">
        <v>50</v>
      </c>
      <c r="G73" t="s">
        <v>137</v>
      </c>
      <c r="H73" t="s">
        <v>136</v>
      </c>
      <c r="I73" s="11">
        <v>46298</v>
      </c>
      <c r="J73" s="12">
        <v>46296</v>
      </c>
      <c r="K73" s="13">
        <f>INDEX(Assumptions!$B$4:$B$23,MATCH(F73,Assumptions!$A$4:$A$23,0))</f>
        <v>1.0869565217391299</v>
      </c>
      <c r="L73" s="14">
        <f t="shared" si="2"/>
        <v>4.5108695652173898</v>
      </c>
      <c r="M73" t="str">
        <f t="shared" si="3"/>
        <v>No</v>
      </c>
    </row>
    <row r="74" spans="1:13" x14ac:dyDescent="0.25">
      <c r="A74">
        <v>339567</v>
      </c>
      <c r="B74" t="s">
        <v>328</v>
      </c>
      <c r="C74" t="s">
        <v>329</v>
      </c>
      <c r="D74" t="s">
        <v>6220</v>
      </c>
      <c r="E74">
        <v>6.74</v>
      </c>
      <c r="F74" t="s">
        <v>50</v>
      </c>
      <c r="G74" t="s">
        <v>137</v>
      </c>
      <c r="H74" t="s">
        <v>136</v>
      </c>
      <c r="I74" s="11">
        <v>46298</v>
      </c>
      <c r="J74" s="12">
        <v>46296</v>
      </c>
      <c r="K74" s="13">
        <f>INDEX(Assumptions!$B$4:$B$23,MATCH(F74,Assumptions!$A$4:$A$23,0))</f>
        <v>1.0869565217391299</v>
      </c>
      <c r="L74" s="14">
        <f t="shared" si="2"/>
        <v>7.3260869565217357</v>
      </c>
      <c r="M74" t="str">
        <f t="shared" si="3"/>
        <v>No</v>
      </c>
    </row>
    <row r="75" spans="1:13" x14ac:dyDescent="0.25">
      <c r="A75">
        <v>339566</v>
      </c>
      <c r="B75" t="s">
        <v>332</v>
      </c>
      <c r="C75" t="s">
        <v>333</v>
      </c>
      <c r="D75" t="s">
        <v>6220</v>
      </c>
      <c r="E75">
        <v>11.61</v>
      </c>
      <c r="F75" t="s">
        <v>50</v>
      </c>
      <c r="G75" t="s">
        <v>137</v>
      </c>
      <c r="H75" t="s">
        <v>136</v>
      </c>
      <c r="I75" s="11">
        <v>46298</v>
      </c>
      <c r="J75" s="12">
        <v>46296</v>
      </c>
      <c r="K75" s="13">
        <f>INDEX(Assumptions!$B$4:$B$23,MATCH(F75,Assumptions!$A$4:$A$23,0))</f>
        <v>1.0869565217391299</v>
      </c>
      <c r="L75" s="14">
        <f t="shared" si="2"/>
        <v>12.619565217391298</v>
      </c>
      <c r="M75" t="str">
        <f t="shared" si="3"/>
        <v>No</v>
      </c>
    </row>
    <row r="76" spans="1:13" x14ac:dyDescent="0.25">
      <c r="A76">
        <v>339565</v>
      </c>
      <c r="B76" t="s">
        <v>336</v>
      </c>
      <c r="C76" t="s">
        <v>337</v>
      </c>
      <c r="D76" t="s">
        <v>6220</v>
      </c>
      <c r="E76">
        <v>3.28</v>
      </c>
      <c r="F76" t="s">
        <v>50</v>
      </c>
      <c r="G76" t="s">
        <v>137</v>
      </c>
      <c r="H76" t="s">
        <v>136</v>
      </c>
      <c r="I76" s="11">
        <v>46298</v>
      </c>
      <c r="J76" s="12">
        <v>46296</v>
      </c>
      <c r="K76" s="13">
        <f>INDEX(Assumptions!$B$4:$B$23,MATCH(F76,Assumptions!$A$4:$A$23,0))</f>
        <v>1.0869565217391299</v>
      </c>
      <c r="L76" s="14">
        <f t="shared" si="2"/>
        <v>3.5652173913043459</v>
      </c>
      <c r="M76" t="str">
        <f t="shared" si="3"/>
        <v>No</v>
      </c>
    </row>
    <row r="77" spans="1:13" x14ac:dyDescent="0.25">
      <c r="A77">
        <v>339564</v>
      </c>
      <c r="B77" t="s">
        <v>340</v>
      </c>
      <c r="C77" t="s">
        <v>341</v>
      </c>
      <c r="D77" t="s">
        <v>6220</v>
      </c>
      <c r="E77">
        <v>5.35</v>
      </c>
      <c r="F77" t="s">
        <v>50</v>
      </c>
      <c r="G77" t="s">
        <v>137</v>
      </c>
      <c r="H77" t="s">
        <v>136</v>
      </c>
      <c r="I77" s="11">
        <v>46298</v>
      </c>
      <c r="J77" s="12">
        <v>46296</v>
      </c>
      <c r="K77" s="13">
        <f>INDEX(Assumptions!$B$4:$B$23,MATCH(F77,Assumptions!$A$4:$A$23,0))</f>
        <v>1.0869565217391299</v>
      </c>
      <c r="L77" s="14">
        <f t="shared" si="2"/>
        <v>5.815217391304345</v>
      </c>
      <c r="M77" t="str">
        <f t="shared" si="3"/>
        <v>No</v>
      </c>
    </row>
    <row r="78" spans="1:13" x14ac:dyDescent="0.25">
      <c r="A78">
        <v>339563</v>
      </c>
      <c r="B78" t="s">
        <v>344</v>
      </c>
      <c r="C78" t="s">
        <v>345</v>
      </c>
      <c r="D78" t="s">
        <v>6220</v>
      </c>
      <c r="E78">
        <v>2.0499999999999998</v>
      </c>
      <c r="F78" t="s">
        <v>50</v>
      </c>
      <c r="G78" t="s">
        <v>137</v>
      </c>
      <c r="H78" t="s">
        <v>136</v>
      </c>
      <c r="I78" s="11">
        <v>46298</v>
      </c>
      <c r="J78" s="12">
        <v>46296</v>
      </c>
      <c r="K78" s="13">
        <f>INDEX(Assumptions!$B$4:$B$23,MATCH(F78,Assumptions!$A$4:$A$23,0))</f>
        <v>1.0869565217391299</v>
      </c>
      <c r="L78" s="14">
        <f t="shared" si="2"/>
        <v>2.228260869565216</v>
      </c>
      <c r="M78" t="str">
        <f t="shared" si="3"/>
        <v>No</v>
      </c>
    </row>
    <row r="79" spans="1:13" x14ac:dyDescent="0.25">
      <c r="A79">
        <v>339562</v>
      </c>
      <c r="B79" t="s">
        <v>348</v>
      </c>
      <c r="C79" t="s">
        <v>349</v>
      </c>
      <c r="D79" t="s">
        <v>6220</v>
      </c>
      <c r="E79">
        <v>3.39</v>
      </c>
      <c r="F79" t="s">
        <v>50</v>
      </c>
      <c r="G79" t="s">
        <v>137</v>
      </c>
      <c r="H79" t="s">
        <v>136</v>
      </c>
      <c r="I79" s="11">
        <v>46298</v>
      </c>
      <c r="J79" s="12">
        <v>46296</v>
      </c>
      <c r="K79" s="13">
        <f>INDEX(Assumptions!$B$4:$B$23,MATCH(F79,Assumptions!$A$4:$A$23,0))</f>
        <v>1.0869565217391299</v>
      </c>
      <c r="L79" s="14">
        <f t="shared" si="2"/>
        <v>3.6847826086956506</v>
      </c>
      <c r="M79" t="str">
        <f t="shared" si="3"/>
        <v>No</v>
      </c>
    </row>
    <row r="80" spans="1:13" x14ac:dyDescent="0.25">
      <c r="A80">
        <v>339561</v>
      </c>
      <c r="B80" t="s">
        <v>352</v>
      </c>
      <c r="C80" t="s">
        <v>353</v>
      </c>
      <c r="D80" t="s">
        <v>6220</v>
      </c>
      <c r="E80">
        <v>2.56</v>
      </c>
      <c r="F80" t="s">
        <v>50</v>
      </c>
      <c r="G80" t="s">
        <v>137</v>
      </c>
      <c r="H80" t="s">
        <v>136</v>
      </c>
      <c r="I80" s="11">
        <v>46298</v>
      </c>
      <c r="J80" s="12">
        <v>46296</v>
      </c>
      <c r="K80" s="13">
        <f>INDEX(Assumptions!$B$4:$B$23,MATCH(F80,Assumptions!$A$4:$A$23,0))</f>
        <v>1.0869565217391299</v>
      </c>
      <c r="L80" s="14">
        <f t="shared" si="2"/>
        <v>2.7826086956521725</v>
      </c>
      <c r="M80" t="str">
        <f t="shared" si="3"/>
        <v>No</v>
      </c>
    </row>
    <row r="81" spans="1:13" x14ac:dyDescent="0.25">
      <c r="A81">
        <v>339560</v>
      </c>
      <c r="B81" t="s">
        <v>356</v>
      </c>
      <c r="C81" t="s">
        <v>357</v>
      </c>
      <c r="D81" t="s">
        <v>6220</v>
      </c>
      <c r="E81">
        <v>1.64</v>
      </c>
      <c r="F81" t="s">
        <v>50</v>
      </c>
      <c r="G81" t="s">
        <v>137</v>
      </c>
      <c r="H81" t="s">
        <v>136</v>
      </c>
      <c r="I81" s="11">
        <v>46298</v>
      </c>
      <c r="J81" s="12">
        <v>46296</v>
      </c>
      <c r="K81" s="13">
        <f>INDEX(Assumptions!$B$4:$B$23,MATCH(F81,Assumptions!$A$4:$A$23,0))</f>
        <v>1.0869565217391299</v>
      </c>
      <c r="L81" s="14">
        <f t="shared" si="2"/>
        <v>1.7826086956521729</v>
      </c>
      <c r="M81" t="str">
        <f t="shared" si="3"/>
        <v>No</v>
      </c>
    </row>
    <row r="82" spans="1:13" x14ac:dyDescent="0.25">
      <c r="A82">
        <v>339559</v>
      </c>
      <c r="B82" t="s">
        <v>360</v>
      </c>
      <c r="C82" t="s">
        <v>361</v>
      </c>
      <c r="D82" t="s">
        <v>6220</v>
      </c>
      <c r="E82">
        <v>1.99</v>
      </c>
      <c r="F82" t="s">
        <v>50</v>
      </c>
      <c r="G82" t="s">
        <v>137</v>
      </c>
      <c r="H82" t="s">
        <v>136</v>
      </c>
      <c r="I82" s="11">
        <v>46298</v>
      </c>
      <c r="J82" s="12">
        <v>46296</v>
      </c>
      <c r="K82" s="13">
        <f>INDEX(Assumptions!$B$4:$B$23,MATCH(F82,Assumptions!$A$4:$A$23,0))</f>
        <v>1.0869565217391299</v>
      </c>
      <c r="L82" s="14">
        <f t="shared" si="2"/>
        <v>2.1630434782608687</v>
      </c>
      <c r="M82" t="str">
        <f t="shared" si="3"/>
        <v>No</v>
      </c>
    </row>
    <row r="83" spans="1:13" x14ac:dyDescent="0.25">
      <c r="A83">
        <v>339558</v>
      </c>
      <c r="B83" t="s">
        <v>363</v>
      </c>
      <c r="C83" t="s">
        <v>364</v>
      </c>
      <c r="D83" t="s">
        <v>6220</v>
      </c>
      <c r="E83">
        <v>1.28</v>
      </c>
      <c r="F83" t="s">
        <v>50</v>
      </c>
      <c r="G83" t="s">
        <v>137</v>
      </c>
      <c r="H83" t="s">
        <v>136</v>
      </c>
      <c r="I83" s="11">
        <v>46298</v>
      </c>
      <c r="J83" s="12">
        <v>46296</v>
      </c>
      <c r="K83" s="13">
        <f>INDEX(Assumptions!$B$4:$B$23,MATCH(F83,Assumptions!$A$4:$A$23,0))</f>
        <v>1.0869565217391299</v>
      </c>
      <c r="L83" s="14">
        <f t="shared" si="2"/>
        <v>1.3913043478260863</v>
      </c>
      <c r="M83" t="str">
        <f t="shared" si="3"/>
        <v>No</v>
      </c>
    </row>
    <row r="84" spans="1:13" x14ac:dyDescent="0.25">
      <c r="A84">
        <v>339557</v>
      </c>
      <c r="B84" t="s">
        <v>367</v>
      </c>
      <c r="C84" t="s">
        <v>368</v>
      </c>
      <c r="D84" t="s">
        <v>6220</v>
      </c>
      <c r="E84">
        <v>1.62</v>
      </c>
      <c r="F84" t="s">
        <v>50</v>
      </c>
      <c r="G84" t="s">
        <v>137</v>
      </c>
      <c r="H84" t="s">
        <v>136</v>
      </c>
      <c r="I84" s="11">
        <v>46298</v>
      </c>
      <c r="J84" s="12">
        <v>46296</v>
      </c>
      <c r="K84" s="13">
        <f>INDEX(Assumptions!$B$4:$B$23,MATCH(F84,Assumptions!$A$4:$A$23,0))</f>
        <v>1.0869565217391299</v>
      </c>
      <c r="L84" s="14">
        <f t="shared" si="2"/>
        <v>1.7608695652173907</v>
      </c>
      <c r="M84" t="str">
        <f t="shared" si="3"/>
        <v>No</v>
      </c>
    </row>
    <row r="85" spans="1:13" x14ac:dyDescent="0.25">
      <c r="A85">
        <v>339556</v>
      </c>
      <c r="B85" t="s">
        <v>370</v>
      </c>
      <c r="C85" t="s">
        <v>371</v>
      </c>
      <c r="D85" t="s">
        <v>6220</v>
      </c>
      <c r="E85">
        <v>2.15</v>
      </c>
      <c r="F85" t="s">
        <v>50</v>
      </c>
      <c r="G85" t="s">
        <v>137</v>
      </c>
      <c r="H85" t="s">
        <v>136</v>
      </c>
      <c r="I85" s="11">
        <v>46298</v>
      </c>
      <c r="J85" s="12">
        <v>46296</v>
      </c>
      <c r="K85" s="13">
        <f>INDEX(Assumptions!$B$4:$B$23,MATCH(F85,Assumptions!$A$4:$A$23,0))</f>
        <v>1.0869565217391299</v>
      </c>
      <c r="L85" s="14">
        <f t="shared" si="2"/>
        <v>2.336956521739129</v>
      </c>
      <c r="M85" t="str">
        <f t="shared" si="3"/>
        <v>No</v>
      </c>
    </row>
    <row r="86" spans="1:13" x14ac:dyDescent="0.25">
      <c r="A86">
        <v>339555</v>
      </c>
      <c r="B86" t="s">
        <v>373</v>
      </c>
      <c r="C86" t="s">
        <v>374</v>
      </c>
      <c r="D86" t="s">
        <v>6220</v>
      </c>
      <c r="E86">
        <v>1.87</v>
      </c>
      <c r="F86" t="s">
        <v>50</v>
      </c>
      <c r="G86" t="s">
        <v>137</v>
      </c>
      <c r="H86" t="s">
        <v>136</v>
      </c>
      <c r="I86" s="11">
        <v>46298</v>
      </c>
      <c r="J86" s="12">
        <v>46296</v>
      </c>
      <c r="K86" s="13">
        <f>INDEX(Assumptions!$B$4:$B$23,MATCH(F86,Assumptions!$A$4:$A$23,0))</f>
        <v>1.0869565217391299</v>
      </c>
      <c r="L86" s="14">
        <f t="shared" si="2"/>
        <v>2.0326086956521729</v>
      </c>
      <c r="M86" t="str">
        <f t="shared" si="3"/>
        <v>No</v>
      </c>
    </row>
    <row r="87" spans="1:13" x14ac:dyDescent="0.25">
      <c r="A87">
        <v>339554</v>
      </c>
      <c r="B87" t="s">
        <v>377</v>
      </c>
      <c r="C87" t="s">
        <v>378</v>
      </c>
      <c r="D87" t="s">
        <v>6220</v>
      </c>
      <c r="E87">
        <v>1.77</v>
      </c>
      <c r="F87" t="s">
        <v>50</v>
      </c>
      <c r="G87" t="s">
        <v>137</v>
      </c>
      <c r="H87" t="s">
        <v>136</v>
      </c>
      <c r="I87" s="11">
        <v>46298</v>
      </c>
      <c r="J87" s="12">
        <v>46296</v>
      </c>
      <c r="K87" s="13">
        <f>INDEX(Assumptions!$B$4:$B$23,MATCH(F87,Assumptions!$A$4:$A$23,0))</f>
        <v>1.0869565217391299</v>
      </c>
      <c r="L87" s="14">
        <f t="shared" si="2"/>
        <v>1.9239130434782601</v>
      </c>
      <c r="M87" t="str">
        <f t="shared" si="3"/>
        <v>No</v>
      </c>
    </row>
    <row r="88" spans="1:13" x14ac:dyDescent="0.25">
      <c r="A88">
        <v>339553</v>
      </c>
      <c r="B88" t="s">
        <v>381</v>
      </c>
      <c r="C88" t="s">
        <v>382</v>
      </c>
      <c r="D88" t="s">
        <v>6220</v>
      </c>
      <c r="E88">
        <v>1.71</v>
      </c>
      <c r="F88" t="s">
        <v>50</v>
      </c>
      <c r="G88" t="s">
        <v>137</v>
      </c>
      <c r="H88" t="s">
        <v>136</v>
      </c>
      <c r="I88" s="11">
        <v>46298</v>
      </c>
      <c r="J88" s="12">
        <v>46296</v>
      </c>
      <c r="K88" s="13">
        <f>INDEX(Assumptions!$B$4:$B$23,MATCH(F88,Assumptions!$A$4:$A$23,0))</f>
        <v>1.0869565217391299</v>
      </c>
      <c r="L88" s="14">
        <f t="shared" si="2"/>
        <v>1.8586956521739122</v>
      </c>
      <c r="M88" t="str">
        <f t="shared" si="3"/>
        <v>No</v>
      </c>
    </row>
    <row r="89" spans="1:13" x14ac:dyDescent="0.25">
      <c r="A89">
        <v>339552</v>
      </c>
      <c r="B89" t="s">
        <v>384</v>
      </c>
      <c r="C89" t="s">
        <v>385</v>
      </c>
      <c r="D89" t="s">
        <v>6220</v>
      </c>
      <c r="E89">
        <v>2.5299999999999998</v>
      </c>
      <c r="F89" t="s">
        <v>50</v>
      </c>
      <c r="G89" t="s">
        <v>137</v>
      </c>
      <c r="H89" t="s">
        <v>136</v>
      </c>
      <c r="I89" s="11">
        <v>46298</v>
      </c>
      <c r="J89" s="12">
        <v>46296</v>
      </c>
      <c r="K89" s="13">
        <f>INDEX(Assumptions!$B$4:$B$23,MATCH(F89,Assumptions!$A$4:$A$23,0))</f>
        <v>1.0869565217391299</v>
      </c>
      <c r="L89" s="14">
        <f t="shared" si="2"/>
        <v>2.7499999999999987</v>
      </c>
      <c r="M89" t="str">
        <f t="shared" si="3"/>
        <v>No</v>
      </c>
    </row>
    <row r="90" spans="1:13" x14ac:dyDescent="0.25">
      <c r="A90">
        <v>339551</v>
      </c>
      <c r="B90" t="s">
        <v>388</v>
      </c>
      <c r="C90" t="s">
        <v>389</v>
      </c>
      <c r="D90" t="s">
        <v>6220</v>
      </c>
      <c r="E90">
        <v>1.33</v>
      </c>
      <c r="F90" t="s">
        <v>50</v>
      </c>
      <c r="G90" t="s">
        <v>137</v>
      </c>
      <c r="H90" t="s">
        <v>136</v>
      </c>
      <c r="I90" s="11">
        <v>46298</v>
      </c>
      <c r="J90" s="12">
        <v>46296</v>
      </c>
      <c r="K90" s="13">
        <f>INDEX(Assumptions!$B$4:$B$23,MATCH(F90,Assumptions!$A$4:$A$23,0))</f>
        <v>1.0869565217391299</v>
      </c>
      <c r="L90" s="14">
        <f t="shared" si="2"/>
        <v>1.4456521739130428</v>
      </c>
      <c r="M90" t="str">
        <f t="shared" si="3"/>
        <v>No</v>
      </c>
    </row>
    <row r="91" spans="1:13" x14ac:dyDescent="0.25">
      <c r="A91">
        <v>339550</v>
      </c>
      <c r="B91" t="s">
        <v>392</v>
      </c>
      <c r="C91" t="s">
        <v>393</v>
      </c>
      <c r="D91" t="s">
        <v>6220</v>
      </c>
      <c r="E91">
        <v>1.0900000000000001</v>
      </c>
      <c r="F91" t="s">
        <v>50</v>
      </c>
      <c r="G91" t="s">
        <v>137</v>
      </c>
      <c r="H91" t="s">
        <v>136</v>
      </c>
      <c r="I91" s="11">
        <v>46298</v>
      </c>
      <c r="J91" s="12">
        <v>46296</v>
      </c>
      <c r="K91" s="13">
        <f>INDEX(Assumptions!$B$4:$B$23,MATCH(F91,Assumptions!$A$4:$A$23,0))</f>
        <v>1.0869565217391299</v>
      </c>
      <c r="L91" s="14">
        <f t="shared" si="2"/>
        <v>1.1847826086956517</v>
      </c>
      <c r="M91" t="str">
        <f t="shared" si="3"/>
        <v>No</v>
      </c>
    </row>
    <row r="92" spans="1:13" x14ac:dyDescent="0.25">
      <c r="A92">
        <v>339549</v>
      </c>
      <c r="B92" t="s">
        <v>396</v>
      </c>
      <c r="C92" t="s">
        <v>397</v>
      </c>
      <c r="D92" t="s">
        <v>6220</v>
      </c>
      <c r="E92">
        <v>5.99</v>
      </c>
      <c r="F92" t="s">
        <v>50</v>
      </c>
      <c r="G92" t="s">
        <v>137</v>
      </c>
      <c r="H92" t="s">
        <v>136</v>
      </c>
      <c r="I92" s="11">
        <v>46298</v>
      </c>
      <c r="J92" s="12">
        <v>46296</v>
      </c>
      <c r="K92" s="13">
        <f>INDEX(Assumptions!$B$4:$B$23,MATCH(F92,Assumptions!$A$4:$A$23,0))</f>
        <v>1.0869565217391299</v>
      </c>
      <c r="L92" s="14">
        <f t="shared" si="2"/>
        <v>6.5108695652173889</v>
      </c>
      <c r="M92" t="str">
        <f t="shared" si="3"/>
        <v>No</v>
      </c>
    </row>
    <row r="93" spans="1:13" x14ac:dyDescent="0.25">
      <c r="A93">
        <v>339548</v>
      </c>
      <c r="B93" t="s">
        <v>400</v>
      </c>
      <c r="C93" t="s">
        <v>401</v>
      </c>
      <c r="D93" t="s">
        <v>6220</v>
      </c>
      <c r="E93">
        <v>1.55</v>
      </c>
      <c r="F93" t="s">
        <v>50</v>
      </c>
      <c r="G93" t="s">
        <v>137</v>
      </c>
      <c r="H93" t="s">
        <v>136</v>
      </c>
      <c r="I93" s="11">
        <v>46298</v>
      </c>
      <c r="J93" s="12">
        <v>46296</v>
      </c>
      <c r="K93" s="13">
        <f>INDEX(Assumptions!$B$4:$B$23,MATCH(F93,Assumptions!$A$4:$A$23,0))</f>
        <v>1.0869565217391299</v>
      </c>
      <c r="L93" s="14">
        <f t="shared" si="2"/>
        <v>1.6847826086956514</v>
      </c>
      <c r="M93" t="str">
        <f t="shared" si="3"/>
        <v>No</v>
      </c>
    </row>
    <row r="94" spans="1:13" x14ac:dyDescent="0.25">
      <c r="A94">
        <v>339547</v>
      </c>
      <c r="B94" t="s">
        <v>403</v>
      </c>
      <c r="C94" t="s">
        <v>404</v>
      </c>
      <c r="D94" t="s">
        <v>6220</v>
      </c>
      <c r="E94">
        <v>1.7</v>
      </c>
      <c r="F94" t="s">
        <v>50</v>
      </c>
      <c r="G94" t="s">
        <v>137</v>
      </c>
      <c r="H94" t="s">
        <v>136</v>
      </c>
      <c r="I94" s="11">
        <v>46298</v>
      </c>
      <c r="J94" s="12">
        <v>46296</v>
      </c>
      <c r="K94" s="13">
        <f>INDEX(Assumptions!$B$4:$B$23,MATCH(F94,Assumptions!$A$4:$A$23,0))</f>
        <v>1.0869565217391299</v>
      </c>
      <c r="L94" s="14">
        <f t="shared" si="2"/>
        <v>1.8478260869565208</v>
      </c>
      <c r="M94" t="str">
        <f t="shared" si="3"/>
        <v>No</v>
      </c>
    </row>
    <row r="95" spans="1:13" x14ac:dyDescent="0.25">
      <c r="A95">
        <v>339546</v>
      </c>
      <c r="B95" t="s">
        <v>407</v>
      </c>
      <c r="C95" t="s">
        <v>408</v>
      </c>
      <c r="D95" t="s">
        <v>6220</v>
      </c>
      <c r="E95">
        <v>3.44</v>
      </c>
      <c r="F95" t="s">
        <v>50</v>
      </c>
      <c r="G95" t="s">
        <v>137</v>
      </c>
      <c r="H95" t="s">
        <v>136</v>
      </c>
      <c r="I95" s="11">
        <v>46298</v>
      </c>
      <c r="J95" s="12">
        <v>46296</v>
      </c>
      <c r="K95" s="13">
        <f>INDEX(Assumptions!$B$4:$B$23,MATCH(F95,Assumptions!$A$4:$A$23,0))</f>
        <v>1.0869565217391299</v>
      </c>
      <c r="L95" s="14">
        <f t="shared" si="2"/>
        <v>3.7391304347826071</v>
      </c>
      <c r="M95" t="str">
        <f t="shared" si="3"/>
        <v>No</v>
      </c>
    </row>
    <row r="96" spans="1:13" x14ac:dyDescent="0.25">
      <c r="A96">
        <v>339545</v>
      </c>
      <c r="B96" t="s">
        <v>411</v>
      </c>
      <c r="C96" t="s">
        <v>412</v>
      </c>
      <c r="D96" t="s">
        <v>6220</v>
      </c>
      <c r="E96">
        <v>2.25</v>
      </c>
      <c r="F96" t="s">
        <v>50</v>
      </c>
      <c r="G96" t="s">
        <v>137</v>
      </c>
      <c r="H96" t="s">
        <v>136</v>
      </c>
      <c r="I96" s="11">
        <v>46298</v>
      </c>
      <c r="J96" s="12">
        <v>46296</v>
      </c>
      <c r="K96" s="13">
        <f>INDEX(Assumptions!$B$4:$B$23,MATCH(F96,Assumptions!$A$4:$A$23,0))</f>
        <v>1.0869565217391299</v>
      </c>
      <c r="L96" s="14">
        <f t="shared" si="2"/>
        <v>2.4456521739130421</v>
      </c>
      <c r="M96" t="str">
        <f t="shared" si="3"/>
        <v>No</v>
      </c>
    </row>
    <row r="97" spans="1:13" x14ac:dyDescent="0.25">
      <c r="A97">
        <v>339544</v>
      </c>
      <c r="B97" t="s">
        <v>415</v>
      </c>
      <c r="C97" t="s">
        <v>416</v>
      </c>
      <c r="D97" t="s">
        <v>6220</v>
      </c>
      <c r="E97">
        <v>2.58</v>
      </c>
      <c r="F97" t="s">
        <v>50</v>
      </c>
      <c r="G97" t="s">
        <v>137</v>
      </c>
      <c r="H97" t="s">
        <v>136</v>
      </c>
      <c r="I97" s="11">
        <v>46298</v>
      </c>
      <c r="J97" s="12">
        <v>46296</v>
      </c>
      <c r="K97" s="13">
        <f>INDEX(Assumptions!$B$4:$B$23,MATCH(F97,Assumptions!$A$4:$A$23,0))</f>
        <v>1.0869565217391299</v>
      </c>
      <c r="L97" s="14">
        <f t="shared" si="2"/>
        <v>2.8043478260869552</v>
      </c>
      <c r="M97" t="str">
        <f t="shared" si="3"/>
        <v>No</v>
      </c>
    </row>
    <row r="98" spans="1:13" x14ac:dyDescent="0.25">
      <c r="A98">
        <v>339543</v>
      </c>
      <c r="B98" t="s">
        <v>419</v>
      </c>
      <c r="C98" t="s">
        <v>420</v>
      </c>
      <c r="D98" t="s">
        <v>6220</v>
      </c>
      <c r="E98">
        <v>1.85</v>
      </c>
      <c r="F98" t="s">
        <v>50</v>
      </c>
      <c r="G98" t="s">
        <v>137</v>
      </c>
      <c r="H98" t="s">
        <v>136</v>
      </c>
      <c r="I98" s="11">
        <v>46298</v>
      </c>
      <c r="J98" s="12">
        <v>46296</v>
      </c>
      <c r="K98" s="13">
        <f>INDEX(Assumptions!$B$4:$B$23,MATCH(F98,Assumptions!$A$4:$A$23,0))</f>
        <v>1.0869565217391299</v>
      </c>
      <c r="L98" s="14">
        <f t="shared" si="2"/>
        <v>2.0108695652173907</v>
      </c>
      <c r="M98" t="str">
        <f t="shared" si="3"/>
        <v>No</v>
      </c>
    </row>
    <row r="99" spans="1:13" x14ac:dyDescent="0.25">
      <c r="A99">
        <v>339542</v>
      </c>
      <c r="B99" t="s">
        <v>422</v>
      </c>
      <c r="C99" t="s">
        <v>423</v>
      </c>
      <c r="D99" t="s">
        <v>6220</v>
      </c>
      <c r="E99">
        <v>2.38</v>
      </c>
      <c r="F99" t="s">
        <v>50</v>
      </c>
      <c r="G99" t="s">
        <v>137</v>
      </c>
      <c r="H99" t="s">
        <v>136</v>
      </c>
      <c r="I99" s="11">
        <v>46298</v>
      </c>
      <c r="J99" s="12">
        <v>46296</v>
      </c>
      <c r="K99" s="13">
        <f>INDEX(Assumptions!$B$4:$B$23,MATCH(F99,Assumptions!$A$4:$A$23,0))</f>
        <v>1.0869565217391299</v>
      </c>
      <c r="L99" s="14">
        <f t="shared" si="2"/>
        <v>2.586956521739129</v>
      </c>
      <c r="M99" t="str">
        <f t="shared" si="3"/>
        <v>No</v>
      </c>
    </row>
    <row r="100" spans="1:13" x14ac:dyDescent="0.25">
      <c r="A100">
        <v>339541</v>
      </c>
      <c r="B100" t="s">
        <v>425</v>
      </c>
      <c r="C100" t="s">
        <v>426</v>
      </c>
      <c r="D100" t="s">
        <v>6220</v>
      </c>
      <c r="E100">
        <v>1.07</v>
      </c>
      <c r="F100" t="s">
        <v>50</v>
      </c>
      <c r="G100" t="s">
        <v>137</v>
      </c>
      <c r="H100" t="s">
        <v>136</v>
      </c>
      <c r="I100" s="11">
        <v>46298</v>
      </c>
      <c r="J100" s="12">
        <v>46296</v>
      </c>
      <c r="K100" s="13">
        <f>INDEX(Assumptions!$B$4:$B$23,MATCH(F100,Assumptions!$A$4:$A$23,0))</f>
        <v>1.0869565217391299</v>
      </c>
      <c r="L100" s="14">
        <f t="shared" si="2"/>
        <v>1.1630434782608692</v>
      </c>
      <c r="M100" t="str">
        <f t="shared" si="3"/>
        <v>No</v>
      </c>
    </row>
    <row r="101" spans="1:13" x14ac:dyDescent="0.25">
      <c r="A101">
        <v>339540</v>
      </c>
      <c r="B101" t="s">
        <v>429</v>
      </c>
      <c r="C101" t="s">
        <v>430</v>
      </c>
      <c r="D101" t="s">
        <v>6220</v>
      </c>
      <c r="E101">
        <v>1.84</v>
      </c>
      <c r="F101" t="s">
        <v>50</v>
      </c>
      <c r="G101" t="s">
        <v>137</v>
      </c>
      <c r="H101" t="s">
        <v>136</v>
      </c>
      <c r="I101" s="11">
        <v>46298</v>
      </c>
      <c r="J101" s="12">
        <v>46296</v>
      </c>
      <c r="K101" s="13">
        <f>INDEX(Assumptions!$B$4:$B$23,MATCH(F101,Assumptions!$A$4:$A$23,0))</f>
        <v>1.0869565217391299</v>
      </c>
      <c r="L101" s="14">
        <f t="shared" si="2"/>
        <v>1.9999999999999991</v>
      </c>
      <c r="M101" t="str">
        <f t="shared" si="3"/>
        <v>No</v>
      </c>
    </row>
    <row r="102" spans="1:13" x14ac:dyDescent="0.25">
      <c r="A102">
        <v>339539</v>
      </c>
      <c r="B102" t="s">
        <v>433</v>
      </c>
      <c r="C102" t="s">
        <v>434</v>
      </c>
      <c r="D102" t="s">
        <v>6220</v>
      </c>
      <c r="E102">
        <v>1.45</v>
      </c>
      <c r="F102" t="s">
        <v>50</v>
      </c>
      <c r="G102" t="s">
        <v>137</v>
      </c>
      <c r="H102" t="s">
        <v>136</v>
      </c>
      <c r="I102" s="11">
        <v>46298</v>
      </c>
      <c r="J102" s="12">
        <v>46296</v>
      </c>
      <c r="K102" s="13">
        <f>INDEX(Assumptions!$B$4:$B$23,MATCH(F102,Assumptions!$A$4:$A$23,0))</f>
        <v>1.0869565217391299</v>
      </c>
      <c r="L102" s="14">
        <f t="shared" si="2"/>
        <v>1.5760869565217384</v>
      </c>
      <c r="M102" t="str">
        <f t="shared" si="3"/>
        <v>No</v>
      </c>
    </row>
    <row r="103" spans="1:13" x14ac:dyDescent="0.25">
      <c r="A103">
        <v>339538</v>
      </c>
      <c r="B103" t="s">
        <v>436</v>
      </c>
      <c r="C103" t="s">
        <v>437</v>
      </c>
      <c r="D103" t="s">
        <v>6220</v>
      </c>
      <c r="E103">
        <v>0.99</v>
      </c>
      <c r="F103" t="s">
        <v>50</v>
      </c>
      <c r="G103" t="s">
        <v>137</v>
      </c>
      <c r="H103" t="s">
        <v>136</v>
      </c>
      <c r="I103" s="11">
        <v>46298</v>
      </c>
      <c r="J103" s="12">
        <v>46296</v>
      </c>
      <c r="K103" s="13">
        <f>INDEX(Assumptions!$B$4:$B$23,MATCH(F103,Assumptions!$A$4:$A$23,0))</f>
        <v>1.0869565217391299</v>
      </c>
      <c r="L103" s="14">
        <f t="shared" si="2"/>
        <v>1.0760869565217386</v>
      </c>
      <c r="M103" t="str">
        <f t="shared" si="3"/>
        <v>No</v>
      </c>
    </row>
    <row r="104" spans="1:13" x14ac:dyDescent="0.25">
      <c r="A104">
        <v>339537</v>
      </c>
      <c r="B104" t="s">
        <v>440</v>
      </c>
      <c r="C104" t="s">
        <v>441</v>
      </c>
      <c r="D104" t="s">
        <v>6220</v>
      </c>
      <c r="E104">
        <v>3.44</v>
      </c>
      <c r="F104" t="s">
        <v>50</v>
      </c>
      <c r="G104" t="s">
        <v>137</v>
      </c>
      <c r="H104" t="s">
        <v>136</v>
      </c>
      <c r="I104" s="11">
        <v>46298</v>
      </c>
      <c r="J104" s="12">
        <v>46296</v>
      </c>
      <c r="K104" s="13">
        <f>INDEX(Assumptions!$B$4:$B$23,MATCH(F104,Assumptions!$A$4:$A$23,0))</f>
        <v>1.0869565217391299</v>
      </c>
      <c r="L104" s="14">
        <f t="shared" si="2"/>
        <v>3.7391304347826071</v>
      </c>
      <c r="M104" t="str">
        <f t="shared" si="3"/>
        <v>No</v>
      </c>
    </row>
    <row r="105" spans="1:13" x14ac:dyDescent="0.25">
      <c r="A105">
        <v>339536</v>
      </c>
      <c r="B105" t="s">
        <v>443</v>
      </c>
      <c r="C105" t="s">
        <v>444</v>
      </c>
      <c r="D105" t="s">
        <v>6220</v>
      </c>
      <c r="E105">
        <v>5.78</v>
      </c>
      <c r="F105" t="s">
        <v>50</v>
      </c>
      <c r="G105" t="s">
        <v>137</v>
      </c>
      <c r="H105" t="s">
        <v>136</v>
      </c>
      <c r="I105" s="11">
        <v>46298</v>
      </c>
      <c r="J105" s="12">
        <v>46296</v>
      </c>
      <c r="K105" s="13">
        <f>INDEX(Assumptions!$B$4:$B$23,MATCH(F105,Assumptions!$A$4:$A$23,0))</f>
        <v>1.0869565217391299</v>
      </c>
      <c r="L105" s="14">
        <f t="shared" si="2"/>
        <v>6.2826086956521712</v>
      </c>
      <c r="M105" t="str">
        <f t="shared" si="3"/>
        <v>No</v>
      </c>
    </row>
    <row r="106" spans="1:13" x14ac:dyDescent="0.25">
      <c r="A106">
        <v>339535</v>
      </c>
      <c r="B106" t="s">
        <v>447</v>
      </c>
      <c r="C106" t="s">
        <v>448</v>
      </c>
      <c r="D106" t="s">
        <v>6220</v>
      </c>
      <c r="E106">
        <v>2.37</v>
      </c>
      <c r="F106" t="s">
        <v>50</v>
      </c>
      <c r="G106" t="s">
        <v>137</v>
      </c>
      <c r="H106" t="s">
        <v>136</v>
      </c>
      <c r="I106" s="11">
        <v>46298</v>
      </c>
      <c r="J106" s="12">
        <v>46296</v>
      </c>
      <c r="K106" s="13">
        <f>INDEX(Assumptions!$B$4:$B$23,MATCH(F106,Assumptions!$A$4:$A$23,0))</f>
        <v>1.0869565217391299</v>
      </c>
      <c r="L106" s="14">
        <f t="shared" si="2"/>
        <v>2.5760869565217379</v>
      </c>
      <c r="M106" t="str">
        <f t="shared" si="3"/>
        <v>No</v>
      </c>
    </row>
    <row r="107" spans="1:13" x14ac:dyDescent="0.25">
      <c r="A107">
        <v>339534</v>
      </c>
      <c r="B107" t="s">
        <v>451</v>
      </c>
      <c r="C107" t="s">
        <v>452</v>
      </c>
      <c r="D107" t="s">
        <v>6220</v>
      </c>
      <c r="E107">
        <v>1.78</v>
      </c>
      <c r="F107" t="s">
        <v>50</v>
      </c>
      <c r="G107" t="s">
        <v>137</v>
      </c>
      <c r="H107" t="s">
        <v>136</v>
      </c>
      <c r="I107" s="11">
        <v>46298</v>
      </c>
      <c r="J107" s="12">
        <v>46296</v>
      </c>
      <c r="K107" s="13">
        <f>INDEX(Assumptions!$B$4:$B$23,MATCH(F107,Assumptions!$A$4:$A$23,0))</f>
        <v>1.0869565217391299</v>
      </c>
      <c r="L107" s="14">
        <f t="shared" si="2"/>
        <v>1.9347826086956512</v>
      </c>
      <c r="M107" t="str">
        <f t="shared" si="3"/>
        <v>No</v>
      </c>
    </row>
    <row r="108" spans="1:13" x14ac:dyDescent="0.25">
      <c r="A108">
        <v>339533</v>
      </c>
      <c r="B108" t="s">
        <v>455</v>
      </c>
      <c r="C108" t="s">
        <v>456</v>
      </c>
      <c r="D108" t="s">
        <v>6220</v>
      </c>
      <c r="E108">
        <v>1.4</v>
      </c>
      <c r="F108" t="s">
        <v>50</v>
      </c>
      <c r="G108" t="s">
        <v>137</v>
      </c>
      <c r="H108" t="s">
        <v>136</v>
      </c>
      <c r="I108" s="11">
        <v>46298</v>
      </c>
      <c r="J108" s="12">
        <v>46296</v>
      </c>
      <c r="K108" s="13">
        <f>INDEX(Assumptions!$B$4:$B$23,MATCH(F108,Assumptions!$A$4:$A$23,0))</f>
        <v>1.0869565217391299</v>
      </c>
      <c r="L108" s="14">
        <f t="shared" si="2"/>
        <v>1.5217391304347818</v>
      </c>
      <c r="M108" t="str">
        <f t="shared" si="3"/>
        <v>No</v>
      </c>
    </row>
    <row r="109" spans="1:13" x14ac:dyDescent="0.25">
      <c r="A109">
        <v>339532</v>
      </c>
      <c r="B109" t="s">
        <v>459</v>
      </c>
      <c r="C109" t="s">
        <v>460</v>
      </c>
      <c r="D109" t="s">
        <v>6220</v>
      </c>
      <c r="E109">
        <v>1.83</v>
      </c>
      <c r="F109" t="s">
        <v>50</v>
      </c>
      <c r="G109" t="s">
        <v>137</v>
      </c>
      <c r="H109" t="s">
        <v>136</v>
      </c>
      <c r="I109" s="11">
        <v>46298</v>
      </c>
      <c r="J109" s="12">
        <v>46296</v>
      </c>
      <c r="K109" s="13">
        <f>INDEX(Assumptions!$B$4:$B$23,MATCH(F109,Assumptions!$A$4:$A$23,0))</f>
        <v>1.0869565217391299</v>
      </c>
      <c r="L109" s="14">
        <f t="shared" si="2"/>
        <v>1.9891304347826078</v>
      </c>
      <c r="M109" t="str">
        <f t="shared" si="3"/>
        <v>No</v>
      </c>
    </row>
    <row r="110" spans="1:13" x14ac:dyDescent="0.25">
      <c r="A110">
        <v>339531</v>
      </c>
      <c r="B110" t="s">
        <v>463</v>
      </c>
      <c r="C110" t="s">
        <v>464</v>
      </c>
      <c r="D110" t="s">
        <v>6220</v>
      </c>
      <c r="E110">
        <v>1.69</v>
      </c>
      <c r="F110" t="s">
        <v>50</v>
      </c>
      <c r="G110" t="s">
        <v>137</v>
      </c>
      <c r="H110" t="s">
        <v>136</v>
      </c>
      <c r="I110" s="11">
        <v>46298</v>
      </c>
      <c r="J110" s="12">
        <v>46296</v>
      </c>
      <c r="K110" s="13">
        <f>INDEX(Assumptions!$B$4:$B$23,MATCH(F110,Assumptions!$A$4:$A$23,0))</f>
        <v>1.0869565217391299</v>
      </c>
      <c r="L110" s="14">
        <f t="shared" si="2"/>
        <v>1.8369565217391295</v>
      </c>
      <c r="M110" t="str">
        <f t="shared" si="3"/>
        <v>No</v>
      </c>
    </row>
    <row r="111" spans="1:13" x14ac:dyDescent="0.25">
      <c r="A111">
        <v>339530</v>
      </c>
      <c r="B111" t="s">
        <v>466</v>
      </c>
      <c r="C111" t="s">
        <v>467</v>
      </c>
      <c r="D111" t="s">
        <v>6220</v>
      </c>
      <c r="E111">
        <v>2.4500000000000002</v>
      </c>
      <c r="F111" t="s">
        <v>50</v>
      </c>
      <c r="G111" t="s">
        <v>137</v>
      </c>
      <c r="H111" t="s">
        <v>136</v>
      </c>
      <c r="I111" s="11">
        <v>46298</v>
      </c>
      <c r="J111" s="12">
        <v>46296</v>
      </c>
      <c r="K111" s="13">
        <f>INDEX(Assumptions!$B$4:$B$23,MATCH(F111,Assumptions!$A$4:$A$23,0))</f>
        <v>1.0869565217391299</v>
      </c>
      <c r="L111" s="14">
        <f t="shared" si="2"/>
        <v>2.6630434782608687</v>
      </c>
      <c r="M111" t="str">
        <f t="shared" si="3"/>
        <v>No</v>
      </c>
    </row>
    <row r="112" spans="1:13" x14ac:dyDescent="0.25">
      <c r="A112">
        <v>339529</v>
      </c>
      <c r="B112" t="s">
        <v>470</v>
      </c>
      <c r="C112" t="s">
        <v>471</v>
      </c>
      <c r="D112" t="s">
        <v>6220</v>
      </c>
      <c r="E112">
        <v>1.35</v>
      </c>
      <c r="F112" t="s">
        <v>50</v>
      </c>
      <c r="G112" t="s">
        <v>137</v>
      </c>
      <c r="H112" t="s">
        <v>136</v>
      </c>
      <c r="I112" s="11">
        <v>46298</v>
      </c>
      <c r="J112" s="12">
        <v>46296</v>
      </c>
      <c r="K112" s="13">
        <f>INDEX(Assumptions!$B$4:$B$23,MATCH(F112,Assumptions!$A$4:$A$23,0))</f>
        <v>1.0869565217391299</v>
      </c>
      <c r="L112" s="14">
        <f t="shared" si="2"/>
        <v>1.4673913043478255</v>
      </c>
      <c r="M112" t="str">
        <f t="shared" si="3"/>
        <v>No</v>
      </c>
    </row>
    <row r="113" spans="1:13" x14ac:dyDescent="0.25">
      <c r="A113">
        <v>339528</v>
      </c>
      <c r="B113" t="s">
        <v>473</v>
      </c>
      <c r="C113" t="s">
        <v>474</v>
      </c>
      <c r="D113" t="s">
        <v>6220</v>
      </c>
      <c r="E113">
        <v>1.5</v>
      </c>
      <c r="F113" t="s">
        <v>50</v>
      </c>
      <c r="G113" t="s">
        <v>137</v>
      </c>
      <c r="H113" t="s">
        <v>136</v>
      </c>
      <c r="I113" s="11">
        <v>46298</v>
      </c>
      <c r="J113" s="12">
        <v>46296</v>
      </c>
      <c r="K113" s="13">
        <f>INDEX(Assumptions!$B$4:$B$23,MATCH(F113,Assumptions!$A$4:$A$23,0))</f>
        <v>1.0869565217391299</v>
      </c>
      <c r="L113" s="14">
        <f t="shared" si="2"/>
        <v>1.6304347826086949</v>
      </c>
      <c r="M113" t="str">
        <f t="shared" si="3"/>
        <v>No</v>
      </c>
    </row>
    <row r="114" spans="1:13" x14ac:dyDescent="0.25">
      <c r="A114">
        <v>339527</v>
      </c>
      <c r="B114" t="s">
        <v>477</v>
      </c>
      <c r="C114" t="s">
        <v>478</v>
      </c>
      <c r="D114" t="s">
        <v>6220</v>
      </c>
      <c r="E114">
        <v>2.13</v>
      </c>
      <c r="F114" t="s">
        <v>50</v>
      </c>
      <c r="G114" t="s">
        <v>137</v>
      </c>
      <c r="H114" t="s">
        <v>136</v>
      </c>
      <c r="I114" s="11">
        <v>46298</v>
      </c>
      <c r="J114" s="12">
        <v>46296</v>
      </c>
      <c r="K114" s="13">
        <f>INDEX(Assumptions!$B$4:$B$23,MATCH(F114,Assumptions!$A$4:$A$23,0))</f>
        <v>1.0869565217391299</v>
      </c>
      <c r="L114" s="14">
        <f t="shared" si="2"/>
        <v>2.3152173913043468</v>
      </c>
      <c r="M114" t="str">
        <f t="shared" si="3"/>
        <v>No</v>
      </c>
    </row>
    <row r="115" spans="1:13" x14ac:dyDescent="0.25">
      <c r="A115">
        <v>339526</v>
      </c>
      <c r="B115" t="s">
        <v>480</v>
      </c>
      <c r="C115" t="s">
        <v>481</v>
      </c>
      <c r="D115" t="s">
        <v>6220</v>
      </c>
      <c r="E115">
        <v>1.68</v>
      </c>
      <c r="F115" t="s">
        <v>50</v>
      </c>
      <c r="G115" t="s">
        <v>137</v>
      </c>
      <c r="H115" t="s">
        <v>136</v>
      </c>
      <c r="I115" s="11">
        <v>46298</v>
      </c>
      <c r="J115" s="12">
        <v>46296</v>
      </c>
      <c r="K115" s="13">
        <f>INDEX(Assumptions!$B$4:$B$23,MATCH(F115,Assumptions!$A$4:$A$23,0))</f>
        <v>1.0869565217391299</v>
      </c>
      <c r="L115" s="14">
        <f t="shared" si="2"/>
        <v>1.8260869565217381</v>
      </c>
      <c r="M115" t="str">
        <f t="shared" si="3"/>
        <v>No</v>
      </c>
    </row>
    <row r="116" spans="1:13" x14ac:dyDescent="0.25">
      <c r="A116">
        <v>339525</v>
      </c>
      <c r="B116" t="s">
        <v>483</v>
      </c>
      <c r="C116" t="s">
        <v>484</v>
      </c>
      <c r="D116" t="s">
        <v>6220</v>
      </c>
      <c r="E116">
        <v>2.89</v>
      </c>
      <c r="F116" t="s">
        <v>50</v>
      </c>
      <c r="G116" t="s">
        <v>137</v>
      </c>
      <c r="H116" t="s">
        <v>136</v>
      </c>
      <c r="I116" s="11">
        <v>46298</v>
      </c>
      <c r="J116" s="12">
        <v>46296</v>
      </c>
      <c r="K116" s="13">
        <f>INDEX(Assumptions!$B$4:$B$23,MATCH(F116,Assumptions!$A$4:$A$23,0))</f>
        <v>1.0869565217391299</v>
      </c>
      <c r="L116" s="14">
        <f t="shared" si="2"/>
        <v>3.1413043478260856</v>
      </c>
      <c r="M116" t="str">
        <f t="shared" si="3"/>
        <v>No</v>
      </c>
    </row>
    <row r="117" spans="1:13" x14ac:dyDescent="0.25">
      <c r="A117">
        <v>339524</v>
      </c>
      <c r="B117" t="s">
        <v>487</v>
      </c>
      <c r="C117" t="s">
        <v>488</v>
      </c>
      <c r="D117" t="s">
        <v>6220</v>
      </c>
      <c r="E117">
        <v>2.66</v>
      </c>
      <c r="F117" t="s">
        <v>50</v>
      </c>
      <c r="G117" t="s">
        <v>137</v>
      </c>
      <c r="H117" t="s">
        <v>136</v>
      </c>
      <c r="I117" s="11">
        <v>46298</v>
      </c>
      <c r="J117" s="12">
        <v>46296</v>
      </c>
      <c r="K117" s="13">
        <f>INDEX(Assumptions!$B$4:$B$23,MATCH(F117,Assumptions!$A$4:$A$23,0))</f>
        <v>1.0869565217391299</v>
      </c>
      <c r="L117" s="14">
        <f t="shared" si="2"/>
        <v>2.8913043478260856</v>
      </c>
      <c r="M117" t="str">
        <f t="shared" si="3"/>
        <v>No</v>
      </c>
    </row>
    <row r="118" spans="1:13" x14ac:dyDescent="0.25">
      <c r="A118">
        <v>339523</v>
      </c>
      <c r="B118" t="s">
        <v>491</v>
      </c>
      <c r="C118" t="s">
        <v>492</v>
      </c>
      <c r="D118" t="s">
        <v>6220</v>
      </c>
      <c r="E118">
        <v>2.25</v>
      </c>
      <c r="F118" t="s">
        <v>50</v>
      </c>
      <c r="G118" t="s">
        <v>137</v>
      </c>
      <c r="H118" t="s">
        <v>136</v>
      </c>
      <c r="I118" s="11">
        <v>46298</v>
      </c>
      <c r="J118" s="12">
        <v>46296</v>
      </c>
      <c r="K118" s="13">
        <f>INDEX(Assumptions!$B$4:$B$23,MATCH(F118,Assumptions!$A$4:$A$23,0))</f>
        <v>1.0869565217391299</v>
      </c>
      <c r="L118" s="14">
        <f t="shared" si="2"/>
        <v>2.4456521739130421</v>
      </c>
      <c r="M118" t="str">
        <f t="shared" si="3"/>
        <v>No</v>
      </c>
    </row>
    <row r="119" spans="1:13" x14ac:dyDescent="0.25">
      <c r="A119">
        <v>339522</v>
      </c>
      <c r="B119" t="s">
        <v>494</v>
      </c>
      <c r="C119" t="s">
        <v>495</v>
      </c>
      <c r="D119" t="s">
        <v>6220</v>
      </c>
      <c r="E119">
        <v>1.75</v>
      </c>
      <c r="F119" t="s">
        <v>50</v>
      </c>
      <c r="G119" t="s">
        <v>137</v>
      </c>
      <c r="H119" t="s">
        <v>136</v>
      </c>
      <c r="I119" s="11">
        <v>46298</v>
      </c>
      <c r="J119" s="12">
        <v>46296</v>
      </c>
      <c r="K119" s="13">
        <f>INDEX(Assumptions!$B$4:$B$23,MATCH(F119,Assumptions!$A$4:$A$23,0))</f>
        <v>1.0869565217391299</v>
      </c>
      <c r="L119" s="14">
        <f t="shared" si="2"/>
        <v>1.9021739130434774</v>
      </c>
      <c r="M119" t="str">
        <f t="shared" si="3"/>
        <v>No</v>
      </c>
    </row>
    <row r="120" spans="1:13" x14ac:dyDescent="0.25">
      <c r="A120">
        <v>339521</v>
      </c>
      <c r="B120" t="s">
        <v>498</v>
      </c>
      <c r="C120" t="s">
        <v>499</v>
      </c>
      <c r="D120" t="s">
        <v>6220</v>
      </c>
      <c r="E120">
        <v>1.69</v>
      </c>
      <c r="F120" t="s">
        <v>50</v>
      </c>
      <c r="G120" t="s">
        <v>137</v>
      </c>
      <c r="H120" t="s">
        <v>136</v>
      </c>
      <c r="I120" s="11">
        <v>46298</v>
      </c>
      <c r="J120" s="12">
        <v>46296</v>
      </c>
      <c r="K120" s="13">
        <f>INDEX(Assumptions!$B$4:$B$23,MATCH(F120,Assumptions!$A$4:$A$23,0))</f>
        <v>1.0869565217391299</v>
      </c>
      <c r="L120" s="14">
        <f t="shared" si="2"/>
        <v>1.8369565217391295</v>
      </c>
      <c r="M120" t="str">
        <f t="shared" si="3"/>
        <v>No</v>
      </c>
    </row>
    <row r="121" spans="1:13" x14ac:dyDescent="0.25">
      <c r="A121">
        <v>339520</v>
      </c>
      <c r="B121" t="s">
        <v>501</v>
      </c>
      <c r="C121" t="s">
        <v>502</v>
      </c>
      <c r="D121" t="s">
        <v>6220</v>
      </c>
      <c r="E121">
        <v>2.0299999999999998</v>
      </c>
      <c r="F121" t="s">
        <v>50</v>
      </c>
      <c r="G121" t="s">
        <v>137</v>
      </c>
      <c r="H121" t="s">
        <v>136</v>
      </c>
      <c r="I121" s="11">
        <v>46298</v>
      </c>
      <c r="J121" s="12">
        <v>46296</v>
      </c>
      <c r="K121" s="13">
        <f>INDEX(Assumptions!$B$4:$B$23,MATCH(F121,Assumptions!$A$4:$A$23,0))</f>
        <v>1.0869565217391299</v>
      </c>
      <c r="L121" s="14">
        <f t="shared" si="2"/>
        <v>2.2065217391304337</v>
      </c>
      <c r="M121" t="str">
        <f t="shared" si="3"/>
        <v>No</v>
      </c>
    </row>
    <row r="122" spans="1:13" x14ac:dyDescent="0.25">
      <c r="A122">
        <v>339519</v>
      </c>
      <c r="B122" t="s">
        <v>505</v>
      </c>
      <c r="C122" t="s">
        <v>506</v>
      </c>
      <c r="D122" t="s">
        <v>6220</v>
      </c>
      <c r="E122">
        <v>2.98</v>
      </c>
      <c r="F122" t="s">
        <v>50</v>
      </c>
      <c r="G122" t="s">
        <v>137</v>
      </c>
      <c r="H122" t="s">
        <v>136</v>
      </c>
      <c r="I122" s="11">
        <v>46298</v>
      </c>
      <c r="J122" s="12">
        <v>46296</v>
      </c>
      <c r="K122" s="13">
        <f>INDEX(Assumptions!$B$4:$B$23,MATCH(F122,Assumptions!$A$4:$A$23,0))</f>
        <v>1.0869565217391299</v>
      </c>
      <c r="L122" s="14">
        <f t="shared" si="2"/>
        <v>3.2391304347826071</v>
      </c>
      <c r="M122" t="str">
        <f t="shared" si="3"/>
        <v>No</v>
      </c>
    </row>
    <row r="123" spans="1:13" x14ac:dyDescent="0.25">
      <c r="A123">
        <v>339518</v>
      </c>
      <c r="B123" t="s">
        <v>509</v>
      </c>
      <c r="C123" t="s">
        <v>510</v>
      </c>
      <c r="D123" t="s">
        <v>6220</v>
      </c>
      <c r="E123">
        <v>3.2</v>
      </c>
      <c r="F123" t="s">
        <v>50</v>
      </c>
      <c r="G123" t="s">
        <v>137</v>
      </c>
      <c r="H123" t="s">
        <v>136</v>
      </c>
      <c r="I123" s="11">
        <v>46298</v>
      </c>
      <c r="J123" s="12">
        <v>46296</v>
      </c>
      <c r="K123" s="13">
        <f>INDEX(Assumptions!$B$4:$B$23,MATCH(F123,Assumptions!$A$4:$A$23,0))</f>
        <v>1.0869565217391299</v>
      </c>
      <c r="L123" s="14">
        <f t="shared" si="2"/>
        <v>3.478260869565216</v>
      </c>
      <c r="M123" t="str">
        <f t="shared" si="3"/>
        <v>No</v>
      </c>
    </row>
    <row r="124" spans="1:13" x14ac:dyDescent="0.25">
      <c r="A124">
        <v>339517</v>
      </c>
      <c r="B124" t="s">
        <v>513</v>
      </c>
      <c r="C124" t="s">
        <v>514</v>
      </c>
      <c r="D124" t="s">
        <v>6220</v>
      </c>
      <c r="E124">
        <v>24.9</v>
      </c>
      <c r="F124" t="s">
        <v>50</v>
      </c>
      <c r="G124" t="s">
        <v>137</v>
      </c>
      <c r="H124" t="s">
        <v>136</v>
      </c>
      <c r="I124" s="11">
        <v>46298</v>
      </c>
      <c r="J124" s="12">
        <v>46296</v>
      </c>
      <c r="K124" s="13">
        <f>INDEX(Assumptions!$B$4:$B$23,MATCH(F124,Assumptions!$A$4:$A$23,0))</f>
        <v>1.0869565217391299</v>
      </c>
      <c r="L124" s="14">
        <f t="shared" si="2"/>
        <v>27.065217391304333</v>
      </c>
      <c r="M124" t="str">
        <f t="shared" si="3"/>
        <v>No</v>
      </c>
    </row>
    <row r="125" spans="1:13" x14ac:dyDescent="0.25">
      <c r="A125">
        <v>339516</v>
      </c>
      <c r="B125" t="s">
        <v>517</v>
      </c>
      <c r="C125" t="s">
        <v>518</v>
      </c>
      <c r="D125" t="s">
        <v>6220</v>
      </c>
      <c r="E125">
        <v>1.43</v>
      </c>
      <c r="F125" t="s">
        <v>50</v>
      </c>
      <c r="G125" t="s">
        <v>137</v>
      </c>
      <c r="H125" t="s">
        <v>136</v>
      </c>
      <c r="I125" s="11">
        <v>46298</v>
      </c>
      <c r="J125" s="12">
        <v>46296</v>
      </c>
      <c r="K125" s="13">
        <f>INDEX(Assumptions!$B$4:$B$23,MATCH(F125,Assumptions!$A$4:$A$23,0))</f>
        <v>1.0869565217391299</v>
      </c>
      <c r="L125" s="14">
        <f t="shared" si="2"/>
        <v>1.5543478260869557</v>
      </c>
      <c r="M125" t="str">
        <f t="shared" si="3"/>
        <v>No</v>
      </c>
    </row>
    <row r="126" spans="1:13" x14ac:dyDescent="0.25">
      <c r="A126">
        <v>339515</v>
      </c>
      <c r="B126" t="s">
        <v>521</v>
      </c>
      <c r="C126" t="s">
        <v>522</v>
      </c>
      <c r="D126" t="s">
        <v>6220</v>
      </c>
      <c r="E126">
        <v>2.4500000000000002</v>
      </c>
      <c r="F126" t="s">
        <v>50</v>
      </c>
      <c r="G126" t="s">
        <v>137</v>
      </c>
      <c r="H126" t="s">
        <v>136</v>
      </c>
      <c r="I126" s="11">
        <v>46298</v>
      </c>
      <c r="J126" s="12">
        <v>46296</v>
      </c>
      <c r="K126" s="13">
        <f>INDEX(Assumptions!$B$4:$B$23,MATCH(F126,Assumptions!$A$4:$A$23,0))</f>
        <v>1.0869565217391299</v>
      </c>
      <c r="L126" s="14">
        <f t="shared" si="2"/>
        <v>2.6630434782608687</v>
      </c>
      <c r="M126" t="str">
        <f t="shared" si="3"/>
        <v>No</v>
      </c>
    </row>
    <row r="127" spans="1:13" x14ac:dyDescent="0.25">
      <c r="A127">
        <v>339514</v>
      </c>
      <c r="B127" t="s">
        <v>524</v>
      </c>
      <c r="C127" t="s">
        <v>525</v>
      </c>
      <c r="D127" t="s">
        <v>6220</v>
      </c>
      <c r="E127">
        <v>3.59</v>
      </c>
      <c r="F127" t="s">
        <v>50</v>
      </c>
      <c r="G127" t="s">
        <v>137</v>
      </c>
      <c r="H127" t="s">
        <v>136</v>
      </c>
      <c r="I127" s="11">
        <v>46298</v>
      </c>
      <c r="J127" s="12">
        <v>46296</v>
      </c>
      <c r="K127" s="13">
        <f>INDEX(Assumptions!$B$4:$B$23,MATCH(F127,Assumptions!$A$4:$A$23,0))</f>
        <v>1.0869565217391299</v>
      </c>
      <c r="L127" s="14">
        <f t="shared" si="2"/>
        <v>3.9021739130434763</v>
      </c>
      <c r="M127" t="str">
        <f t="shared" si="3"/>
        <v>No</v>
      </c>
    </row>
    <row r="128" spans="1:13" x14ac:dyDescent="0.25">
      <c r="A128">
        <v>339513</v>
      </c>
      <c r="B128" t="s">
        <v>528</v>
      </c>
      <c r="C128" t="s">
        <v>529</v>
      </c>
      <c r="D128" t="s">
        <v>6220</v>
      </c>
      <c r="E128">
        <v>1.99</v>
      </c>
      <c r="F128" t="s">
        <v>50</v>
      </c>
      <c r="G128" t="s">
        <v>137</v>
      </c>
      <c r="H128" t="s">
        <v>136</v>
      </c>
      <c r="I128" s="11">
        <v>46298</v>
      </c>
      <c r="J128" s="12">
        <v>46296</v>
      </c>
      <c r="K128" s="13">
        <f>INDEX(Assumptions!$B$4:$B$23,MATCH(F128,Assumptions!$A$4:$A$23,0))</f>
        <v>1.0869565217391299</v>
      </c>
      <c r="L128" s="14">
        <f t="shared" si="2"/>
        <v>2.1630434782608687</v>
      </c>
      <c r="M128" t="str">
        <f t="shared" si="3"/>
        <v>No</v>
      </c>
    </row>
    <row r="129" spans="1:13" x14ac:dyDescent="0.25">
      <c r="A129">
        <v>339512</v>
      </c>
      <c r="B129" t="s">
        <v>531</v>
      </c>
      <c r="C129" t="s">
        <v>532</v>
      </c>
      <c r="D129" t="s">
        <v>6220</v>
      </c>
      <c r="E129">
        <v>1.95</v>
      </c>
      <c r="F129" t="s">
        <v>50</v>
      </c>
      <c r="G129" t="s">
        <v>137</v>
      </c>
      <c r="H129" t="s">
        <v>136</v>
      </c>
      <c r="I129" s="11">
        <v>46298</v>
      </c>
      <c r="J129" s="12">
        <v>46296</v>
      </c>
      <c r="K129" s="13">
        <f>INDEX(Assumptions!$B$4:$B$23,MATCH(F129,Assumptions!$A$4:$A$23,0))</f>
        <v>1.0869565217391299</v>
      </c>
      <c r="L129" s="14">
        <f t="shared" si="2"/>
        <v>2.1195652173913033</v>
      </c>
      <c r="M129" t="str">
        <f t="shared" si="3"/>
        <v>No</v>
      </c>
    </row>
    <row r="130" spans="1:13" x14ac:dyDescent="0.25">
      <c r="A130">
        <v>339511</v>
      </c>
      <c r="B130" t="s">
        <v>535</v>
      </c>
      <c r="C130" t="s">
        <v>6221</v>
      </c>
      <c r="D130" t="s">
        <v>6220</v>
      </c>
      <c r="E130">
        <v>16.940000000000001</v>
      </c>
      <c r="F130" t="s">
        <v>123</v>
      </c>
      <c r="G130" t="s">
        <v>125</v>
      </c>
      <c r="H130" t="s">
        <v>124</v>
      </c>
      <c r="I130" s="11">
        <v>46271</v>
      </c>
      <c r="J130" s="12">
        <v>46266</v>
      </c>
      <c r="K130" s="13">
        <f>INDEX(Assumptions!$B$4:$B$23,MATCH(F130,Assumptions!$A$4:$A$23,0))</f>
        <v>0.10526315789473679</v>
      </c>
      <c r="L130" s="14">
        <f t="shared" ref="L130:L193" si="4">E130*K130</f>
        <v>1.7831578947368414</v>
      </c>
      <c r="M130" t="str">
        <f t="shared" ref="M130:M193" si="5">IF(C130="Unnamed product","Yes","No")</f>
        <v>Yes</v>
      </c>
    </row>
    <row r="131" spans="1:13" x14ac:dyDescent="0.25">
      <c r="A131">
        <v>339510</v>
      </c>
      <c r="B131" t="s">
        <v>538</v>
      </c>
      <c r="C131" t="s">
        <v>539</v>
      </c>
      <c r="D131" t="s">
        <v>6220</v>
      </c>
      <c r="E131">
        <v>1.83</v>
      </c>
      <c r="F131" t="s">
        <v>50</v>
      </c>
      <c r="G131" t="s">
        <v>137</v>
      </c>
      <c r="H131" t="s">
        <v>136</v>
      </c>
      <c r="I131" s="11">
        <v>46298</v>
      </c>
      <c r="J131" s="12">
        <v>46296</v>
      </c>
      <c r="K131" s="13">
        <f>INDEX(Assumptions!$B$4:$B$23,MATCH(F131,Assumptions!$A$4:$A$23,0))</f>
        <v>1.0869565217391299</v>
      </c>
      <c r="L131" s="14">
        <f t="shared" si="4"/>
        <v>1.9891304347826078</v>
      </c>
      <c r="M131" t="str">
        <f t="shared" si="5"/>
        <v>No</v>
      </c>
    </row>
    <row r="132" spans="1:13" x14ac:dyDescent="0.25">
      <c r="A132">
        <v>339509</v>
      </c>
      <c r="B132" t="s">
        <v>541</v>
      </c>
      <c r="C132" t="s">
        <v>542</v>
      </c>
      <c r="D132" t="s">
        <v>6220</v>
      </c>
      <c r="E132">
        <v>2.78</v>
      </c>
      <c r="F132" t="s">
        <v>50</v>
      </c>
      <c r="G132" t="s">
        <v>137</v>
      </c>
      <c r="H132" t="s">
        <v>136</v>
      </c>
      <c r="I132" s="11">
        <v>46298</v>
      </c>
      <c r="J132" s="12">
        <v>46296</v>
      </c>
      <c r="K132" s="13">
        <f>INDEX(Assumptions!$B$4:$B$23,MATCH(F132,Assumptions!$A$4:$A$23,0))</f>
        <v>1.0869565217391299</v>
      </c>
      <c r="L132" s="14">
        <f t="shared" si="4"/>
        <v>3.0217391304347809</v>
      </c>
      <c r="M132" t="str">
        <f t="shared" si="5"/>
        <v>No</v>
      </c>
    </row>
    <row r="133" spans="1:13" x14ac:dyDescent="0.25">
      <c r="A133">
        <v>339508</v>
      </c>
      <c r="B133" t="s">
        <v>545</v>
      </c>
      <c r="C133" t="s">
        <v>546</v>
      </c>
      <c r="D133" t="s">
        <v>6220</v>
      </c>
      <c r="E133">
        <v>2.0099999999999998</v>
      </c>
      <c r="F133" t="s">
        <v>50</v>
      </c>
      <c r="G133" t="s">
        <v>137</v>
      </c>
      <c r="H133" t="s">
        <v>136</v>
      </c>
      <c r="I133" s="11">
        <v>46298</v>
      </c>
      <c r="J133" s="12">
        <v>46296</v>
      </c>
      <c r="K133" s="13">
        <f>INDEX(Assumptions!$B$4:$B$23,MATCH(F133,Assumptions!$A$4:$A$23,0))</f>
        <v>1.0869565217391299</v>
      </c>
      <c r="L133" s="14">
        <f t="shared" si="4"/>
        <v>2.184782608695651</v>
      </c>
      <c r="M133" t="str">
        <f t="shared" si="5"/>
        <v>No</v>
      </c>
    </row>
    <row r="134" spans="1:13" x14ac:dyDescent="0.25">
      <c r="A134">
        <v>339507</v>
      </c>
      <c r="B134" t="s">
        <v>549</v>
      </c>
      <c r="C134" t="s">
        <v>550</v>
      </c>
      <c r="D134" t="s">
        <v>6220</v>
      </c>
      <c r="E134">
        <v>2.94</v>
      </c>
      <c r="F134" t="s">
        <v>50</v>
      </c>
      <c r="G134" t="s">
        <v>137</v>
      </c>
      <c r="H134" t="s">
        <v>136</v>
      </c>
      <c r="I134" s="11">
        <v>46298</v>
      </c>
      <c r="J134" s="12">
        <v>46296</v>
      </c>
      <c r="K134" s="13">
        <f>INDEX(Assumptions!$B$4:$B$23,MATCH(F134,Assumptions!$A$4:$A$23,0))</f>
        <v>1.0869565217391299</v>
      </c>
      <c r="L134" s="14">
        <f t="shared" si="4"/>
        <v>3.1956521739130421</v>
      </c>
      <c r="M134" t="str">
        <f t="shared" si="5"/>
        <v>No</v>
      </c>
    </row>
    <row r="135" spans="1:13" x14ac:dyDescent="0.25">
      <c r="A135">
        <v>339506</v>
      </c>
      <c r="B135" t="s">
        <v>553</v>
      </c>
      <c r="C135" t="s">
        <v>554</v>
      </c>
      <c r="D135" t="s">
        <v>6220</v>
      </c>
      <c r="E135">
        <v>2.13</v>
      </c>
      <c r="F135" t="s">
        <v>50</v>
      </c>
      <c r="G135" t="s">
        <v>137</v>
      </c>
      <c r="H135" t="s">
        <v>136</v>
      </c>
      <c r="I135" s="11">
        <v>46298</v>
      </c>
      <c r="J135" s="12">
        <v>46296</v>
      </c>
      <c r="K135" s="13">
        <f>INDEX(Assumptions!$B$4:$B$23,MATCH(F135,Assumptions!$A$4:$A$23,0))</f>
        <v>1.0869565217391299</v>
      </c>
      <c r="L135" s="14">
        <f t="shared" si="4"/>
        <v>2.3152173913043468</v>
      </c>
      <c r="M135" t="str">
        <f t="shared" si="5"/>
        <v>No</v>
      </c>
    </row>
    <row r="136" spans="1:13" x14ac:dyDescent="0.25">
      <c r="A136">
        <v>339505</v>
      </c>
      <c r="B136" t="s">
        <v>556</v>
      </c>
      <c r="C136" t="s">
        <v>557</v>
      </c>
      <c r="D136" t="s">
        <v>6220</v>
      </c>
      <c r="E136">
        <v>1.94</v>
      </c>
      <c r="F136" t="s">
        <v>50</v>
      </c>
      <c r="G136" t="s">
        <v>137</v>
      </c>
      <c r="H136" t="s">
        <v>136</v>
      </c>
      <c r="I136" s="11">
        <v>46298</v>
      </c>
      <c r="J136" s="12">
        <v>46296</v>
      </c>
      <c r="K136" s="13">
        <f>INDEX(Assumptions!$B$4:$B$23,MATCH(F136,Assumptions!$A$4:$A$23,0))</f>
        <v>1.0869565217391299</v>
      </c>
      <c r="L136" s="14">
        <f t="shared" si="4"/>
        <v>2.1086956521739122</v>
      </c>
      <c r="M136" t="str">
        <f t="shared" si="5"/>
        <v>No</v>
      </c>
    </row>
    <row r="137" spans="1:13" x14ac:dyDescent="0.25">
      <c r="A137">
        <v>339504</v>
      </c>
      <c r="B137" t="s">
        <v>560</v>
      </c>
      <c r="C137" t="s">
        <v>561</v>
      </c>
      <c r="D137" t="s">
        <v>6220</v>
      </c>
      <c r="E137">
        <v>1.75</v>
      </c>
      <c r="F137" t="s">
        <v>50</v>
      </c>
      <c r="G137" t="s">
        <v>137</v>
      </c>
      <c r="H137" t="s">
        <v>136</v>
      </c>
      <c r="I137" s="11">
        <v>46298</v>
      </c>
      <c r="J137" s="12">
        <v>46296</v>
      </c>
      <c r="K137" s="13">
        <f>INDEX(Assumptions!$B$4:$B$23,MATCH(F137,Assumptions!$A$4:$A$23,0))</f>
        <v>1.0869565217391299</v>
      </c>
      <c r="L137" s="14">
        <f t="shared" si="4"/>
        <v>1.9021739130434774</v>
      </c>
      <c r="M137" t="str">
        <f t="shared" si="5"/>
        <v>No</v>
      </c>
    </row>
    <row r="138" spans="1:13" x14ac:dyDescent="0.25">
      <c r="A138">
        <v>339503</v>
      </c>
      <c r="B138" t="s">
        <v>563</v>
      </c>
      <c r="C138" t="s">
        <v>564</v>
      </c>
      <c r="D138" t="s">
        <v>6220</v>
      </c>
      <c r="E138">
        <v>1.47</v>
      </c>
      <c r="F138" t="s">
        <v>50</v>
      </c>
      <c r="G138" t="s">
        <v>137</v>
      </c>
      <c r="H138" t="s">
        <v>136</v>
      </c>
      <c r="I138" s="11">
        <v>46298</v>
      </c>
      <c r="J138" s="12">
        <v>46296</v>
      </c>
      <c r="K138" s="13">
        <f>INDEX(Assumptions!$B$4:$B$23,MATCH(F138,Assumptions!$A$4:$A$23,0))</f>
        <v>1.0869565217391299</v>
      </c>
      <c r="L138" s="14">
        <f t="shared" si="4"/>
        <v>1.5978260869565211</v>
      </c>
      <c r="M138" t="str">
        <f t="shared" si="5"/>
        <v>No</v>
      </c>
    </row>
    <row r="139" spans="1:13" x14ac:dyDescent="0.25">
      <c r="A139">
        <v>339502</v>
      </c>
      <c r="B139" t="s">
        <v>567</v>
      </c>
      <c r="C139" t="s">
        <v>568</v>
      </c>
      <c r="D139" t="s">
        <v>6220</v>
      </c>
      <c r="E139">
        <v>3.68</v>
      </c>
      <c r="F139" t="s">
        <v>50</v>
      </c>
      <c r="G139" t="s">
        <v>137</v>
      </c>
      <c r="H139" t="s">
        <v>136</v>
      </c>
      <c r="I139" s="11">
        <v>46298</v>
      </c>
      <c r="J139" s="12">
        <v>46296</v>
      </c>
      <c r="K139" s="13">
        <f>INDEX(Assumptions!$B$4:$B$23,MATCH(F139,Assumptions!$A$4:$A$23,0))</f>
        <v>1.0869565217391299</v>
      </c>
      <c r="L139" s="14">
        <f t="shared" si="4"/>
        <v>3.9999999999999982</v>
      </c>
      <c r="M139" t="str">
        <f t="shared" si="5"/>
        <v>No</v>
      </c>
    </row>
    <row r="140" spans="1:13" x14ac:dyDescent="0.25">
      <c r="A140">
        <v>339501</v>
      </c>
      <c r="B140" t="s">
        <v>570</v>
      </c>
      <c r="C140" t="s">
        <v>571</v>
      </c>
      <c r="D140" t="s">
        <v>6220</v>
      </c>
      <c r="E140">
        <v>1.65</v>
      </c>
      <c r="F140" t="s">
        <v>50</v>
      </c>
      <c r="G140" t="s">
        <v>137</v>
      </c>
      <c r="H140" t="s">
        <v>136</v>
      </c>
      <c r="I140" s="11">
        <v>46298</v>
      </c>
      <c r="J140" s="12">
        <v>46296</v>
      </c>
      <c r="K140" s="13">
        <f>INDEX(Assumptions!$B$4:$B$23,MATCH(F140,Assumptions!$A$4:$A$23,0))</f>
        <v>1.0869565217391299</v>
      </c>
      <c r="L140" s="14">
        <f t="shared" si="4"/>
        <v>1.7934782608695643</v>
      </c>
      <c r="M140" t="str">
        <f t="shared" si="5"/>
        <v>No</v>
      </c>
    </row>
    <row r="141" spans="1:13" x14ac:dyDescent="0.25">
      <c r="A141">
        <v>339500</v>
      </c>
      <c r="B141" t="s">
        <v>573</v>
      </c>
      <c r="C141" t="s">
        <v>574</v>
      </c>
      <c r="D141" t="s">
        <v>6220</v>
      </c>
      <c r="E141">
        <v>1.98</v>
      </c>
      <c r="F141" t="s">
        <v>50</v>
      </c>
      <c r="G141" t="s">
        <v>137</v>
      </c>
      <c r="H141" t="s">
        <v>136</v>
      </c>
      <c r="I141" s="11">
        <v>46298</v>
      </c>
      <c r="J141" s="12">
        <v>46296</v>
      </c>
      <c r="K141" s="13">
        <f>INDEX(Assumptions!$B$4:$B$23,MATCH(F141,Assumptions!$A$4:$A$23,0))</f>
        <v>1.0869565217391299</v>
      </c>
      <c r="L141" s="14">
        <f t="shared" si="4"/>
        <v>2.1521739130434772</v>
      </c>
      <c r="M141" t="str">
        <f t="shared" si="5"/>
        <v>No</v>
      </c>
    </row>
    <row r="142" spans="1:13" x14ac:dyDescent="0.25">
      <c r="A142">
        <v>339499</v>
      </c>
      <c r="B142" t="s">
        <v>577</v>
      </c>
      <c r="C142" t="s">
        <v>578</v>
      </c>
      <c r="D142" t="s">
        <v>6220</v>
      </c>
      <c r="E142">
        <v>1.63</v>
      </c>
      <c r="F142" t="s">
        <v>50</v>
      </c>
      <c r="G142" t="s">
        <v>137</v>
      </c>
      <c r="H142" t="s">
        <v>136</v>
      </c>
      <c r="I142" s="11">
        <v>46298</v>
      </c>
      <c r="J142" s="12">
        <v>46296</v>
      </c>
      <c r="K142" s="13">
        <f>INDEX(Assumptions!$B$4:$B$23,MATCH(F142,Assumptions!$A$4:$A$23,0))</f>
        <v>1.0869565217391299</v>
      </c>
      <c r="L142" s="14">
        <f t="shared" si="4"/>
        <v>1.7717391304347816</v>
      </c>
      <c r="M142" t="str">
        <f t="shared" si="5"/>
        <v>No</v>
      </c>
    </row>
    <row r="143" spans="1:13" x14ac:dyDescent="0.25">
      <c r="A143">
        <v>339498</v>
      </c>
      <c r="B143" t="s">
        <v>580</v>
      </c>
      <c r="C143" t="s">
        <v>581</v>
      </c>
      <c r="D143" t="s">
        <v>6220</v>
      </c>
      <c r="E143">
        <v>1.66</v>
      </c>
      <c r="F143" t="s">
        <v>50</v>
      </c>
      <c r="G143" t="s">
        <v>137</v>
      </c>
      <c r="H143" t="s">
        <v>136</v>
      </c>
      <c r="I143" s="11">
        <v>46298</v>
      </c>
      <c r="J143" s="12">
        <v>46296</v>
      </c>
      <c r="K143" s="13">
        <f>INDEX(Assumptions!$B$4:$B$23,MATCH(F143,Assumptions!$A$4:$A$23,0))</f>
        <v>1.0869565217391299</v>
      </c>
      <c r="L143" s="14">
        <f t="shared" si="4"/>
        <v>1.8043478260869557</v>
      </c>
      <c r="M143" t="str">
        <f t="shared" si="5"/>
        <v>No</v>
      </c>
    </row>
    <row r="144" spans="1:13" x14ac:dyDescent="0.25">
      <c r="A144">
        <v>339497</v>
      </c>
      <c r="B144" t="s">
        <v>584</v>
      </c>
      <c r="C144" t="s">
        <v>585</v>
      </c>
      <c r="D144" t="s">
        <v>6220</v>
      </c>
      <c r="E144">
        <v>1.69</v>
      </c>
      <c r="F144" t="s">
        <v>50</v>
      </c>
      <c r="G144" t="s">
        <v>137</v>
      </c>
      <c r="H144" t="s">
        <v>136</v>
      </c>
      <c r="I144" s="11">
        <v>46298</v>
      </c>
      <c r="J144" s="12">
        <v>46296</v>
      </c>
      <c r="K144" s="13">
        <f>INDEX(Assumptions!$B$4:$B$23,MATCH(F144,Assumptions!$A$4:$A$23,0))</f>
        <v>1.0869565217391299</v>
      </c>
      <c r="L144" s="14">
        <f t="shared" si="4"/>
        <v>1.8369565217391295</v>
      </c>
      <c r="M144" t="str">
        <f t="shared" si="5"/>
        <v>No</v>
      </c>
    </row>
    <row r="145" spans="1:13" x14ac:dyDescent="0.25">
      <c r="A145">
        <v>339496</v>
      </c>
      <c r="B145" t="s">
        <v>587</v>
      </c>
      <c r="C145" t="s">
        <v>588</v>
      </c>
      <c r="D145" t="s">
        <v>6220</v>
      </c>
      <c r="E145">
        <v>1.78</v>
      </c>
      <c r="F145" t="s">
        <v>50</v>
      </c>
      <c r="G145" t="s">
        <v>137</v>
      </c>
      <c r="H145" t="s">
        <v>136</v>
      </c>
      <c r="I145" s="11">
        <v>46298</v>
      </c>
      <c r="J145" s="12">
        <v>46296</v>
      </c>
      <c r="K145" s="13">
        <f>INDEX(Assumptions!$B$4:$B$23,MATCH(F145,Assumptions!$A$4:$A$23,0))</f>
        <v>1.0869565217391299</v>
      </c>
      <c r="L145" s="14">
        <f t="shared" si="4"/>
        <v>1.9347826086956512</v>
      </c>
      <c r="M145" t="str">
        <f t="shared" si="5"/>
        <v>No</v>
      </c>
    </row>
    <row r="146" spans="1:13" x14ac:dyDescent="0.25">
      <c r="A146">
        <v>339495</v>
      </c>
      <c r="B146" t="s">
        <v>590</v>
      </c>
      <c r="C146" t="s">
        <v>591</v>
      </c>
      <c r="D146" t="s">
        <v>6220</v>
      </c>
      <c r="E146">
        <v>2.42</v>
      </c>
      <c r="F146" t="s">
        <v>50</v>
      </c>
      <c r="G146" t="s">
        <v>137</v>
      </c>
      <c r="H146" t="s">
        <v>136</v>
      </c>
      <c r="I146" s="11">
        <v>46298</v>
      </c>
      <c r="J146" s="12">
        <v>46296</v>
      </c>
      <c r="K146" s="13">
        <f>INDEX(Assumptions!$B$4:$B$23,MATCH(F146,Assumptions!$A$4:$A$23,0))</f>
        <v>1.0869565217391299</v>
      </c>
      <c r="L146" s="14">
        <f t="shared" si="4"/>
        <v>2.6304347826086945</v>
      </c>
      <c r="M146" t="str">
        <f t="shared" si="5"/>
        <v>No</v>
      </c>
    </row>
    <row r="147" spans="1:13" x14ac:dyDescent="0.25">
      <c r="A147">
        <v>339494</v>
      </c>
      <c r="B147" t="s">
        <v>594</v>
      </c>
      <c r="C147" t="s">
        <v>595</v>
      </c>
      <c r="D147" t="s">
        <v>6220</v>
      </c>
      <c r="E147">
        <v>1.7</v>
      </c>
      <c r="F147" t="s">
        <v>50</v>
      </c>
      <c r="G147" t="s">
        <v>137</v>
      </c>
      <c r="H147" t="s">
        <v>136</v>
      </c>
      <c r="I147" s="11">
        <v>46298</v>
      </c>
      <c r="J147" s="12">
        <v>46296</v>
      </c>
      <c r="K147" s="13">
        <f>INDEX(Assumptions!$B$4:$B$23,MATCH(F147,Assumptions!$A$4:$A$23,0))</f>
        <v>1.0869565217391299</v>
      </c>
      <c r="L147" s="14">
        <f t="shared" si="4"/>
        <v>1.8478260869565208</v>
      </c>
      <c r="M147" t="str">
        <f t="shared" si="5"/>
        <v>No</v>
      </c>
    </row>
    <row r="148" spans="1:13" x14ac:dyDescent="0.25">
      <c r="A148">
        <v>339493</v>
      </c>
      <c r="B148" t="s">
        <v>597</v>
      </c>
      <c r="C148" t="s">
        <v>598</v>
      </c>
      <c r="D148" t="s">
        <v>6220</v>
      </c>
      <c r="E148">
        <v>0.64</v>
      </c>
      <c r="F148" t="s">
        <v>50</v>
      </c>
      <c r="G148" t="s">
        <v>137</v>
      </c>
      <c r="H148" t="s">
        <v>136</v>
      </c>
      <c r="I148" s="11">
        <v>46298</v>
      </c>
      <c r="J148" s="12">
        <v>46296</v>
      </c>
      <c r="K148" s="13">
        <f>INDEX(Assumptions!$B$4:$B$23,MATCH(F148,Assumptions!$A$4:$A$23,0))</f>
        <v>1.0869565217391299</v>
      </c>
      <c r="L148" s="14">
        <f t="shared" si="4"/>
        <v>0.69565217391304313</v>
      </c>
      <c r="M148" t="str">
        <f t="shared" si="5"/>
        <v>No</v>
      </c>
    </row>
    <row r="149" spans="1:13" x14ac:dyDescent="0.25">
      <c r="A149">
        <v>339492</v>
      </c>
      <c r="B149" t="s">
        <v>601</v>
      </c>
      <c r="C149" t="s">
        <v>602</v>
      </c>
      <c r="D149" t="s">
        <v>6220</v>
      </c>
      <c r="E149">
        <v>2.35</v>
      </c>
      <c r="F149" t="s">
        <v>50</v>
      </c>
      <c r="G149" t="s">
        <v>137</v>
      </c>
      <c r="H149" t="s">
        <v>136</v>
      </c>
      <c r="I149" s="11">
        <v>46298</v>
      </c>
      <c r="J149" s="12">
        <v>46296</v>
      </c>
      <c r="K149" s="13">
        <f>INDEX(Assumptions!$B$4:$B$23,MATCH(F149,Assumptions!$A$4:$A$23,0))</f>
        <v>1.0869565217391299</v>
      </c>
      <c r="L149" s="14">
        <f t="shared" si="4"/>
        <v>2.5543478260869557</v>
      </c>
      <c r="M149" t="str">
        <f t="shared" si="5"/>
        <v>No</v>
      </c>
    </row>
    <row r="150" spans="1:13" x14ac:dyDescent="0.25">
      <c r="A150">
        <v>339491</v>
      </c>
      <c r="B150" t="s">
        <v>605</v>
      </c>
      <c r="C150" t="s">
        <v>606</v>
      </c>
      <c r="D150" t="s">
        <v>6220</v>
      </c>
      <c r="E150">
        <v>0.99</v>
      </c>
      <c r="F150" t="s">
        <v>50</v>
      </c>
      <c r="G150" t="s">
        <v>137</v>
      </c>
      <c r="H150" t="s">
        <v>136</v>
      </c>
      <c r="I150" s="11">
        <v>46298</v>
      </c>
      <c r="J150" s="12">
        <v>46296</v>
      </c>
      <c r="K150" s="13">
        <f>INDEX(Assumptions!$B$4:$B$23,MATCH(F150,Assumptions!$A$4:$A$23,0))</f>
        <v>1.0869565217391299</v>
      </c>
      <c r="L150" s="14">
        <f t="shared" si="4"/>
        <v>1.0760869565217386</v>
      </c>
      <c r="M150" t="str">
        <f t="shared" si="5"/>
        <v>No</v>
      </c>
    </row>
    <row r="151" spans="1:13" x14ac:dyDescent="0.25">
      <c r="A151">
        <v>339490</v>
      </c>
      <c r="B151" t="s">
        <v>608</v>
      </c>
      <c r="C151" t="s">
        <v>609</v>
      </c>
      <c r="D151" t="s">
        <v>6220</v>
      </c>
      <c r="E151">
        <v>1.96</v>
      </c>
      <c r="F151" t="s">
        <v>50</v>
      </c>
      <c r="G151" t="s">
        <v>137</v>
      </c>
      <c r="H151" t="s">
        <v>136</v>
      </c>
      <c r="I151" s="11">
        <v>46298</v>
      </c>
      <c r="J151" s="12">
        <v>46296</v>
      </c>
      <c r="K151" s="13">
        <f>INDEX(Assumptions!$B$4:$B$23,MATCH(F151,Assumptions!$A$4:$A$23,0))</f>
        <v>1.0869565217391299</v>
      </c>
      <c r="L151" s="14">
        <f t="shared" si="4"/>
        <v>2.1304347826086945</v>
      </c>
      <c r="M151" t="str">
        <f t="shared" si="5"/>
        <v>No</v>
      </c>
    </row>
    <row r="152" spans="1:13" x14ac:dyDescent="0.25">
      <c r="A152">
        <v>339489</v>
      </c>
      <c r="B152" t="s">
        <v>611</v>
      </c>
      <c r="C152" t="s">
        <v>612</v>
      </c>
      <c r="D152" t="s">
        <v>6220</v>
      </c>
      <c r="E152">
        <v>3.55</v>
      </c>
      <c r="F152" t="s">
        <v>50</v>
      </c>
      <c r="G152" t="s">
        <v>137</v>
      </c>
      <c r="H152" t="s">
        <v>136</v>
      </c>
      <c r="I152" s="11">
        <v>46298</v>
      </c>
      <c r="J152" s="12">
        <v>46296</v>
      </c>
      <c r="K152" s="13">
        <f>INDEX(Assumptions!$B$4:$B$23,MATCH(F152,Assumptions!$A$4:$A$23,0))</f>
        <v>1.0869565217391299</v>
      </c>
      <c r="L152" s="14">
        <f t="shared" si="4"/>
        <v>3.8586956521739109</v>
      </c>
      <c r="M152" t="str">
        <f t="shared" si="5"/>
        <v>No</v>
      </c>
    </row>
    <row r="153" spans="1:13" x14ac:dyDescent="0.25">
      <c r="A153">
        <v>339488</v>
      </c>
      <c r="B153" t="s">
        <v>615</v>
      </c>
      <c r="C153" t="s">
        <v>616</v>
      </c>
      <c r="D153" t="s">
        <v>6220</v>
      </c>
      <c r="E153">
        <v>3.81</v>
      </c>
      <c r="F153" t="s">
        <v>50</v>
      </c>
      <c r="G153" t="s">
        <v>137</v>
      </c>
      <c r="H153" t="s">
        <v>136</v>
      </c>
      <c r="I153" s="11">
        <v>46298</v>
      </c>
      <c r="J153" s="12">
        <v>46296</v>
      </c>
      <c r="K153" s="13">
        <f>INDEX(Assumptions!$B$4:$B$23,MATCH(F153,Assumptions!$A$4:$A$23,0))</f>
        <v>1.0869565217391299</v>
      </c>
      <c r="L153" s="14">
        <f t="shared" si="4"/>
        <v>4.1413043478260851</v>
      </c>
      <c r="M153" t="str">
        <f t="shared" si="5"/>
        <v>No</v>
      </c>
    </row>
    <row r="154" spans="1:13" x14ac:dyDescent="0.25">
      <c r="A154">
        <v>339487</v>
      </c>
      <c r="B154" t="s">
        <v>619</v>
      </c>
      <c r="C154" t="s">
        <v>620</v>
      </c>
      <c r="D154" t="s">
        <v>6220</v>
      </c>
      <c r="E154">
        <v>3.69</v>
      </c>
      <c r="F154" t="s">
        <v>50</v>
      </c>
      <c r="G154" t="s">
        <v>137</v>
      </c>
      <c r="H154" t="s">
        <v>136</v>
      </c>
      <c r="I154" s="11">
        <v>46298</v>
      </c>
      <c r="J154" s="12">
        <v>46296</v>
      </c>
      <c r="K154" s="13">
        <f>INDEX(Assumptions!$B$4:$B$23,MATCH(F154,Assumptions!$A$4:$A$23,0))</f>
        <v>1.0869565217391299</v>
      </c>
      <c r="L154" s="14">
        <f t="shared" si="4"/>
        <v>4.0108695652173898</v>
      </c>
      <c r="M154" t="str">
        <f t="shared" si="5"/>
        <v>No</v>
      </c>
    </row>
    <row r="155" spans="1:13" x14ac:dyDescent="0.25">
      <c r="A155">
        <v>339486</v>
      </c>
      <c r="B155" t="s">
        <v>622</v>
      </c>
      <c r="C155" t="s">
        <v>623</v>
      </c>
      <c r="D155" t="s">
        <v>6220</v>
      </c>
      <c r="E155">
        <v>3.9</v>
      </c>
      <c r="F155" t="s">
        <v>50</v>
      </c>
      <c r="G155" t="s">
        <v>137</v>
      </c>
      <c r="H155" t="s">
        <v>136</v>
      </c>
      <c r="I155" s="11">
        <v>46298</v>
      </c>
      <c r="J155" s="12">
        <v>46296</v>
      </c>
      <c r="K155" s="13">
        <f>INDEX(Assumptions!$B$4:$B$23,MATCH(F155,Assumptions!$A$4:$A$23,0))</f>
        <v>1.0869565217391299</v>
      </c>
      <c r="L155" s="14">
        <f t="shared" si="4"/>
        <v>4.2391304347826066</v>
      </c>
      <c r="M155" t="str">
        <f t="shared" si="5"/>
        <v>No</v>
      </c>
    </row>
    <row r="156" spans="1:13" x14ac:dyDescent="0.25">
      <c r="A156">
        <v>339485</v>
      </c>
      <c r="B156" t="s">
        <v>626</v>
      </c>
      <c r="C156" t="s">
        <v>627</v>
      </c>
      <c r="D156" t="s">
        <v>6220</v>
      </c>
      <c r="E156">
        <v>3.02</v>
      </c>
      <c r="F156" t="s">
        <v>50</v>
      </c>
      <c r="G156" t="s">
        <v>137</v>
      </c>
      <c r="H156" t="s">
        <v>136</v>
      </c>
      <c r="I156" s="11">
        <v>46298</v>
      </c>
      <c r="J156" s="12">
        <v>46296</v>
      </c>
      <c r="K156" s="13">
        <f>INDEX(Assumptions!$B$4:$B$23,MATCH(F156,Assumptions!$A$4:$A$23,0))</f>
        <v>1.0869565217391299</v>
      </c>
      <c r="L156" s="14">
        <f t="shared" si="4"/>
        <v>3.2826086956521725</v>
      </c>
      <c r="M156" t="str">
        <f t="shared" si="5"/>
        <v>No</v>
      </c>
    </row>
    <row r="157" spans="1:13" x14ac:dyDescent="0.25">
      <c r="A157">
        <v>339484</v>
      </c>
      <c r="B157" t="s">
        <v>630</v>
      </c>
      <c r="C157" t="s">
        <v>631</v>
      </c>
      <c r="D157" t="s">
        <v>6220</v>
      </c>
      <c r="E157">
        <v>3.29</v>
      </c>
      <c r="F157" t="s">
        <v>50</v>
      </c>
      <c r="G157" t="s">
        <v>137</v>
      </c>
      <c r="H157" t="s">
        <v>136</v>
      </c>
      <c r="I157" s="11">
        <v>46298</v>
      </c>
      <c r="J157" s="12">
        <v>46296</v>
      </c>
      <c r="K157" s="13">
        <f>INDEX(Assumptions!$B$4:$B$23,MATCH(F157,Assumptions!$A$4:$A$23,0))</f>
        <v>1.0869565217391299</v>
      </c>
      <c r="L157" s="14">
        <f t="shared" si="4"/>
        <v>3.5760869565217375</v>
      </c>
      <c r="M157" t="str">
        <f t="shared" si="5"/>
        <v>No</v>
      </c>
    </row>
    <row r="158" spans="1:13" x14ac:dyDescent="0.25">
      <c r="A158">
        <v>339483</v>
      </c>
      <c r="B158" t="s">
        <v>634</v>
      </c>
      <c r="C158" t="s">
        <v>635</v>
      </c>
      <c r="D158" t="s">
        <v>6220</v>
      </c>
      <c r="E158">
        <v>2.92</v>
      </c>
      <c r="F158" t="s">
        <v>50</v>
      </c>
      <c r="G158" t="s">
        <v>137</v>
      </c>
      <c r="H158" t="s">
        <v>136</v>
      </c>
      <c r="I158" s="11">
        <v>46298</v>
      </c>
      <c r="J158" s="12">
        <v>46296</v>
      </c>
      <c r="K158" s="13">
        <f>INDEX(Assumptions!$B$4:$B$23,MATCH(F158,Assumptions!$A$4:$A$23,0))</f>
        <v>1.0869565217391299</v>
      </c>
      <c r="L158" s="14">
        <f t="shared" si="4"/>
        <v>3.1739130434782594</v>
      </c>
      <c r="M158" t="str">
        <f t="shared" si="5"/>
        <v>No</v>
      </c>
    </row>
    <row r="159" spans="1:13" x14ac:dyDescent="0.25">
      <c r="A159">
        <v>339482</v>
      </c>
      <c r="B159" t="s">
        <v>638</v>
      </c>
      <c r="C159" t="s">
        <v>639</v>
      </c>
      <c r="D159" t="s">
        <v>6220</v>
      </c>
      <c r="E159">
        <v>2.2000000000000002</v>
      </c>
      <c r="F159" t="s">
        <v>50</v>
      </c>
      <c r="G159" t="s">
        <v>137</v>
      </c>
      <c r="H159" t="s">
        <v>136</v>
      </c>
      <c r="I159" s="11">
        <v>46298</v>
      </c>
      <c r="J159" s="12">
        <v>46296</v>
      </c>
      <c r="K159" s="13">
        <f>INDEX(Assumptions!$B$4:$B$23,MATCH(F159,Assumptions!$A$4:$A$23,0))</f>
        <v>1.0869565217391299</v>
      </c>
      <c r="L159" s="14">
        <f t="shared" si="4"/>
        <v>2.391304347826086</v>
      </c>
      <c r="M159" t="str">
        <f t="shared" si="5"/>
        <v>No</v>
      </c>
    </row>
    <row r="160" spans="1:13" x14ac:dyDescent="0.25">
      <c r="A160">
        <v>339481</v>
      </c>
      <c r="B160" t="s">
        <v>642</v>
      </c>
      <c r="C160" t="s">
        <v>643</v>
      </c>
      <c r="D160" t="s">
        <v>6220</v>
      </c>
      <c r="E160">
        <v>4.8099999999999996</v>
      </c>
      <c r="F160" t="s">
        <v>50</v>
      </c>
      <c r="G160" t="s">
        <v>137</v>
      </c>
      <c r="H160" t="s">
        <v>136</v>
      </c>
      <c r="I160" s="11">
        <v>46298</v>
      </c>
      <c r="J160" s="12">
        <v>46296</v>
      </c>
      <c r="K160" s="13">
        <f>INDEX(Assumptions!$B$4:$B$23,MATCH(F160,Assumptions!$A$4:$A$23,0))</f>
        <v>1.0869565217391299</v>
      </c>
      <c r="L160" s="14">
        <f t="shared" si="4"/>
        <v>5.2282608695652142</v>
      </c>
      <c r="M160" t="str">
        <f t="shared" si="5"/>
        <v>No</v>
      </c>
    </row>
    <row r="161" spans="1:13" x14ac:dyDescent="0.25">
      <c r="A161">
        <v>339480</v>
      </c>
      <c r="B161" t="s">
        <v>646</v>
      </c>
      <c r="C161" t="s">
        <v>647</v>
      </c>
      <c r="D161" t="s">
        <v>6220</v>
      </c>
      <c r="E161">
        <v>7.97</v>
      </c>
      <c r="F161" t="s">
        <v>50</v>
      </c>
      <c r="G161" t="s">
        <v>137</v>
      </c>
      <c r="H161" t="s">
        <v>136</v>
      </c>
      <c r="I161" s="11">
        <v>46298</v>
      </c>
      <c r="J161" s="12">
        <v>46296</v>
      </c>
      <c r="K161" s="13">
        <f>INDEX(Assumptions!$B$4:$B$23,MATCH(F161,Assumptions!$A$4:$A$23,0))</f>
        <v>1.0869565217391299</v>
      </c>
      <c r="L161" s="14">
        <f t="shared" si="4"/>
        <v>8.6630434782608656</v>
      </c>
      <c r="M161" t="str">
        <f t="shared" si="5"/>
        <v>No</v>
      </c>
    </row>
    <row r="162" spans="1:13" x14ac:dyDescent="0.25">
      <c r="A162">
        <v>339479</v>
      </c>
      <c r="B162" t="s">
        <v>650</v>
      </c>
      <c r="C162" t="s">
        <v>651</v>
      </c>
      <c r="D162" t="s">
        <v>6220</v>
      </c>
      <c r="E162">
        <v>7.99</v>
      </c>
      <c r="F162" t="s">
        <v>50</v>
      </c>
      <c r="G162" t="s">
        <v>137</v>
      </c>
      <c r="H162" t="s">
        <v>136</v>
      </c>
      <c r="I162" s="11">
        <v>46298</v>
      </c>
      <c r="J162" s="12">
        <v>46296</v>
      </c>
      <c r="K162" s="13">
        <f>INDEX(Assumptions!$B$4:$B$23,MATCH(F162,Assumptions!$A$4:$A$23,0))</f>
        <v>1.0869565217391299</v>
      </c>
      <c r="L162" s="14">
        <f t="shared" si="4"/>
        <v>8.6847826086956488</v>
      </c>
      <c r="M162" t="str">
        <f t="shared" si="5"/>
        <v>No</v>
      </c>
    </row>
    <row r="163" spans="1:13" x14ac:dyDescent="0.25">
      <c r="A163">
        <v>339478</v>
      </c>
      <c r="B163" t="s">
        <v>654</v>
      </c>
      <c r="C163" t="s">
        <v>655</v>
      </c>
      <c r="D163" t="s">
        <v>6220</v>
      </c>
      <c r="E163">
        <v>8.69</v>
      </c>
      <c r="F163" t="s">
        <v>50</v>
      </c>
      <c r="G163" t="s">
        <v>137</v>
      </c>
      <c r="H163" t="s">
        <v>136</v>
      </c>
      <c r="I163" s="11">
        <v>46298</v>
      </c>
      <c r="J163" s="12">
        <v>46296</v>
      </c>
      <c r="K163" s="13">
        <f>INDEX(Assumptions!$B$4:$B$23,MATCH(F163,Assumptions!$A$4:$A$23,0))</f>
        <v>1.0869565217391299</v>
      </c>
      <c r="L163" s="14">
        <f t="shared" si="4"/>
        <v>9.4456521739130395</v>
      </c>
      <c r="M163" t="str">
        <f t="shared" si="5"/>
        <v>No</v>
      </c>
    </row>
    <row r="164" spans="1:13" x14ac:dyDescent="0.25">
      <c r="A164">
        <v>339477</v>
      </c>
      <c r="B164" t="s">
        <v>658</v>
      </c>
      <c r="C164" t="s">
        <v>659</v>
      </c>
      <c r="D164" t="s">
        <v>6220</v>
      </c>
      <c r="E164">
        <v>3.69</v>
      </c>
      <c r="F164" t="s">
        <v>50</v>
      </c>
      <c r="G164" t="s">
        <v>137</v>
      </c>
      <c r="H164" t="s">
        <v>136</v>
      </c>
      <c r="I164" s="11">
        <v>46298</v>
      </c>
      <c r="J164" s="12">
        <v>46296</v>
      </c>
      <c r="K164" s="13">
        <f>INDEX(Assumptions!$B$4:$B$23,MATCH(F164,Assumptions!$A$4:$A$23,0))</f>
        <v>1.0869565217391299</v>
      </c>
      <c r="L164" s="14">
        <f t="shared" si="4"/>
        <v>4.0108695652173898</v>
      </c>
      <c r="M164" t="str">
        <f t="shared" si="5"/>
        <v>No</v>
      </c>
    </row>
    <row r="165" spans="1:13" x14ac:dyDescent="0.25">
      <c r="A165">
        <v>339476</v>
      </c>
      <c r="B165" t="s">
        <v>661</v>
      </c>
      <c r="C165" t="s">
        <v>662</v>
      </c>
      <c r="D165" t="s">
        <v>6220</v>
      </c>
      <c r="E165">
        <v>2.2799999999999998</v>
      </c>
      <c r="F165" t="s">
        <v>50</v>
      </c>
      <c r="G165" t="s">
        <v>137</v>
      </c>
      <c r="H165" t="s">
        <v>136</v>
      </c>
      <c r="I165" s="11">
        <v>46298</v>
      </c>
      <c r="J165" s="12">
        <v>46296</v>
      </c>
      <c r="K165" s="13">
        <f>INDEX(Assumptions!$B$4:$B$23,MATCH(F165,Assumptions!$A$4:$A$23,0))</f>
        <v>1.0869565217391299</v>
      </c>
      <c r="L165" s="14">
        <f t="shared" si="4"/>
        <v>2.478260869565216</v>
      </c>
      <c r="M165" t="str">
        <f t="shared" si="5"/>
        <v>No</v>
      </c>
    </row>
    <row r="166" spans="1:13" x14ac:dyDescent="0.25">
      <c r="A166">
        <v>339475</v>
      </c>
      <c r="B166" t="s">
        <v>665</v>
      </c>
      <c r="C166" t="s">
        <v>666</v>
      </c>
      <c r="D166" t="s">
        <v>6220</v>
      </c>
      <c r="E166">
        <v>2.09</v>
      </c>
      <c r="F166" t="s">
        <v>50</v>
      </c>
      <c r="G166" t="s">
        <v>137</v>
      </c>
      <c r="H166" t="s">
        <v>136</v>
      </c>
      <c r="I166" s="11">
        <v>46298</v>
      </c>
      <c r="J166" s="12">
        <v>46296</v>
      </c>
      <c r="K166" s="13">
        <f>INDEX(Assumptions!$B$4:$B$23,MATCH(F166,Assumptions!$A$4:$A$23,0))</f>
        <v>1.0869565217391299</v>
      </c>
      <c r="L166" s="14">
        <f t="shared" si="4"/>
        <v>2.2717391304347814</v>
      </c>
      <c r="M166" t="str">
        <f t="shared" si="5"/>
        <v>No</v>
      </c>
    </row>
    <row r="167" spans="1:13" x14ac:dyDescent="0.25">
      <c r="A167">
        <v>339474</v>
      </c>
      <c r="B167" t="s">
        <v>669</v>
      </c>
      <c r="C167" t="s">
        <v>670</v>
      </c>
      <c r="D167" t="s">
        <v>6220</v>
      </c>
      <c r="E167">
        <v>3.05</v>
      </c>
      <c r="F167" t="s">
        <v>50</v>
      </c>
      <c r="G167" t="s">
        <v>137</v>
      </c>
      <c r="H167" t="s">
        <v>136</v>
      </c>
      <c r="I167" s="11">
        <v>46298</v>
      </c>
      <c r="J167" s="12">
        <v>46296</v>
      </c>
      <c r="K167" s="13">
        <f>INDEX(Assumptions!$B$4:$B$23,MATCH(F167,Assumptions!$A$4:$A$23,0))</f>
        <v>1.0869565217391299</v>
      </c>
      <c r="L167" s="14">
        <f t="shared" si="4"/>
        <v>3.3152173913043459</v>
      </c>
      <c r="M167" t="str">
        <f t="shared" si="5"/>
        <v>No</v>
      </c>
    </row>
    <row r="168" spans="1:13" x14ac:dyDescent="0.25">
      <c r="A168">
        <v>339473</v>
      </c>
      <c r="B168" t="s">
        <v>673</v>
      </c>
      <c r="C168" t="s">
        <v>674</v>
      </c>
      <c r="D168" t="s">
        <v>6220</v>
      </c>
      <c r="E168">
        <v>2.4500000000000002</v>
      </c>
      <c r="F168" t="s">
        <v>50</v>
      </c>
      <c r="G168" t="s">
        <v>137</v>
      </c>
      <c r="H168" t="s">
        <v>136</v>
      </c>
      <c r="I168" s="11">
        <v>46298</v>
      </c>
      <c r="J168" s="12">
        <v>46296</v>
      </c>
      <c r="K168" s="13">
        <f>INDEX(Assumptions!$B$4:$B$23,MATCH(F168,Assumptions!$A$4:$A$23,0))</f>
        <v>1.0869565217391299</v>
      </c>
      <c r="L168" s="14">
        <f t="shared" si="4"/>
        <v>2.6630434782608687</v>
      </c>
      <c r="M168" t="str">
        <f t="shared" si="5"/>
        <v>No</v>
      </c>
    </row>
    <row r="169" spans="1:13" x14ac:dyDescent="0.25">
      <c r="A169">
        <v>339472</v>
      </c>
      <c r="B169" t="s">
        <v>676</v>
      </c>
      <c r="C169" t="s">
        <v>677</v>
      </c>
      <c r="D169" t="s">
        <v>6220</v>
      </c>
      <c r="E169">
        <v>1.76</v>
      </c>
      <c r="F169" t="s">
        <v>50</v>
      </c>
      <c r="G169" t="s">
        <v>137</v>
      </c>
      <c r="H169" t="s">
        <v>136</v>
      </c>
      <c r="I169" s="11">
        <v>46298</v>
      </c>
      <c r="J169" s="12">
        <v>46296</v>
      </c>
      <c r="K169" s="13">
        <f>INDEX(Assumptions!$B$4:$B$23,MATCH(F169,Assumptions!$A$4:$A$23,0))</f>
        <v>1.0869565217391299</v>
      </c>
      <c r="L169" s="14">
        <f t="shared" si="4"/>
        <v>1.9130434782608687</v>
      </c>
      <c r="M169" t="str">
        <f t="shared" si="5"/>
        <v>No</v>
      </c>
    </row>
    <row r="170" spans="1:13" x14ac:dyDescent="0.25">
      <c r="A170">
        <v>339471</v>
      </c>
      <c r="B170" t="s">
        <v>680</v>
      </c>
      <c r="C170" t="s">
        <v>6221</v>
      </c>
      <c r="D170" t="s">
        <v>6220</v>
      </c>
      <c r="E170">
        <v>16.559999999999999</v>
      </c>
      <c r="F170" t="s">
        <v>123</v>
      </c>
      <c r="G170" t="s">
        <v>125</v>
      </c>
      <c r="H170" t="s">
        <v>124</v>
      </c>
      <c r="I170" s="11">
        <v>46271</v>
      </c>
      <c r="J170" s="12">
        <v>46266</v>
      </c>
      <c r="K170" s="13">
        <f>INDEX(Assumptions!$B$4:$B$23,MATCH(F170,Assumptions!$A$4:$A$23,0))</f>
        <v>0.10526315789473679</v>
      </c>
      <c r="L170" s="14">
        <f t="shared" si="4"/>
        <v>1.7431578947368411</v>
      </c>
      <c r="M170" t="str">
        <f t="shared" si="5"/>
        <v>Yes</v>
      </c>
    </row>
    <row r="171" spans="1:13" x14ac:dyDescent="0.25">
      <c r="A171">
        <v>339470</v>
      </c>
      <c r="B171" t="s">
        <v>683</v>
      </c>
      <c r="C171" t="s">
        <v>684</v>
      </c>
      <c r="D171" t="s">
        <v>6220</v>
      </c>
      <c r="E171">
        <v>2.84</v>
      </c>
      <c r="F171" t="s">
        <v>50</v>
      </c>
      <c r="G171" t="s">
        <v>137</v>
      </c>
      <c r="H171" t="s">
        <v>136</v>
      </c>
      <c r="I171" s="11">
        <v>46298</v>
      </c>
      <c r="J171" s="12">
        <v>46296</v>
      </c>
      <c r="K171" s="13">
        <f>INDEX(Assumptions!$B$4:$B$23,MATCH(F171,Assumptions!$A$4:$A$23,0))</f>
        <v>1.0869565217391299</v>
      </c>
      <c r="L171" s="14">
        <f t="shared" si="4"/>
        <v>3.086956521739129</v>
      </c>
      <c r="M171" t="str">
        <f t="shared" si="5"/>
        <v>No</v>
      </c>
    </row>
    <row r="172" spans="1:13" x14ac:dyDescent="0.25">
      <c r="A172">
        <v>339469</v>
      </c>
      <c r="B172" t="s">
        <v>687</v>
      </c>
      <c r="C172" t="s">
        <v>688</v>
      </c>
      <c r="D172" t="s">
        <v>6220</v>
      </c>
      <c r="E172">
        <v>2.68</v>
      </c>
      <c r="F172" t="s">
        <v>50</v>
      </c>
      <c r="G172" t="s">
        <v>137</v>
      </c>
      <c r="H172" t="s">
        <v>136</v>
      </c>
      <c r="I172" s="11">
        <v>46298</v>
      </c>
      <c r="J172" s="12">
        <v>46296</v>
      </c>
      <c r="K172" s="13">
        <f>INDEX(Assumptions!$B$4:$B$23,MATCH(F172,Assumptions!$A$4:$A$23,0))</f>
        <v>1.0869565217391299</v>
      </c>
      <c r="L172" s="14">
        <f t="shared" si="4"/>
        <v>2.9130434782608683</v>
      </c>
      <c r="M172" t="str">
        <f t="shared" si="5"/>
        <v>No</v>
      </c>
    </row>
    <row r="173" spans="1:13" x14ac:dyDescent="0.25">
      <c r="A173">
        <v>339468</v>
      </c>
      <c r="B173" t="s">
        <v>244</v>
      </c>
      <c r="C173" t="s">
        <v>691</v>
      </c>
      <c r="D173" t="s">
        <v>6220</v>
      </c>
      <c r="E173">
        <v>3.19</v>
      </c>
      <c r="F173" t="s">
        <v>50</v>
      </c>
      <c r="G173" t="s">
        <v>137</v>
      </c>
      <c r="H173" t="s">
        <v>136</v>
      </c>
      <c r="I173" s="11">
        <v>46298</v>
      </c>
      <c r="J173" s="12">
        <v>46296</v>
      </c>
      <c r="K173" s="13">
        <f>INDEX(Assumptions!$B$4:$B$23,MATCH(F173,Assumptions!$A$4:$A$23,0))</f>
        <v>1.0869565217391299</v>
      </c>
      <c r="L173" s="14">
        <f t="shared" si="4"/>
        <v>3.4673913043478244</v>
      </c>
      <c r="M173" t="str">
        <f t="shared" si="5"/>
        <v>No</v>
      </c>
    </row>
    <row r="174" spans="1:13" x14ac:dyDescent="0.25">
      <c r="A174">
        <v>339467</v>
      </c>
      <c r="B174" t="s">
        <v>693</v>
      </c>
      <c r="C174" t="s">
        <v>694</v>
      </c>
      <c r="D174" t="s">
        <v>6220</v>
      </c>
      <c r="E174">
        <v>1.57</v>
      </c>
      <c r="F174" t="s">
        <v>50</v>
      </c>
      <c r="G174" t="s">
        <v>137</v>
      </c>
      <c r="H174" t="s">
        <v>136</v>
      </c>
      <c r="I174" s="11">
        <v>46298</v>
      </c>
      <c r="J174" s="12">
        <v>46296</v>
      </c>
      <c r="K174" s="13">
        <f>INDEX(Assumptions!$B$4:$B$23,MATCH(F174,Assumptions!$A$4:$A$23,0))</f>
        <v>1.0869565217391299</v>
      </c>
      <c r="L174" s="14">
        <f t="shared" si="4"/>
        <v>1.7065217391304341</v>
      </c>
      <c r="M174" t="str">
        <f t="shared" si="5"/>
        <v>No</v>
      </c>
    </row>
    <row r="175" spans="1:13" x14ac:dyDescent="0.25">
      <c r="A175">
        <v>339466</v>
      </c>
      <c r="B175" t="s">
        <v>696</v>
      </c>
      <c r="C175" t="s">
        <v>697</v>
      </c>
      <c r="D175" t="s">
        <v>6220</v>
      </c>
      <c r="E175">
        <v>1.68</v>
      </c>
      <c r="F175" t="s">
        <v>50</v>
      </c>
      <c r="G175" t="s">
        <v>137</v>
      </c>
      <c r="H175" t="s">
        <v>136</v>
      </c>
      <c r="I175" s="11">
        <v>46298</v>
      </c>
      <c r="J175" s="12">
        <v>46296</v>
      </c>
      <c r="K175" s="13">
        <f>INDEX(Assumptions!$B$4:$B$23,MATCH(F175,Assumptions!$A$4:$A$23,0))</f>
        <v>1.0869565217391299</v>
      </c>
      <c r="L175" s="14">
        <f t="shared" si="4"/>
        <v>1.8260869565217381</v>
      </c>
      <c r="M175" t="str">
        <f t="shared" si="5"/>
        <v>No</v>
      </c>
    </row>
    <row r="176" spans="1:13" x14ac:dyDescent="0.25">
      <c r="A176">
        <v>339465</v>
      </c>
      <c r="B176" t="s">
        <v>699</v>
      </c>
      <c r="C176" t="s">
        <v>700</v>
      </c>
      <c r="D176" t="s">
        <v>6220</v>
      </c>
      <c r="E176">
        <v>1.59</v>
      </c>
      <c r="F176" t="s">
        <v>50</v>
      </c>
      <c r="G176" t="s">
        <v>137</v>
      </c>
      <c r="H176" t="s">
        <v>136</v>
      </c>
      <c r="I176" s="11">
        <v>46298</v>
      </c>
      <c r="J176" s="12">
        <v>46296</v>
      </c>
      <c r="K176" s="13">
        <f>INDEX(Assumptions!$B$4:$B$23,MATCH(F176,Assumptions!$A$4:$A$23,0))</f>
        <v>1.0869565217391299</v>
      </c>
      <c r="L176" s="14">
        <f t="shared" si="4"/>
        <v>1.7282608695652166</v>
      </c>
      <c r="M176" t="str">
        <f t="shared" si="5"/>
        <v>No</v>
      </c>
    </row>
    <row r="177" spans="1:13" x14ac:dyDescent="0.25">
      <c r="A177">
        <v>339464</v>
      </c>
      <c r="B177" t="s">
        <v>702</v>
      </c>
      <c r="C177" t="s">
        <v>6221</v>
      </c>
      <c r="D177" t="s">
        <v>6220</v>
      </c>
      <c r="E177">
        <v>15.99</v>
      </c>
      <c r="F177" t="s">
        <v>123</v>
      </c>
      <c r="G177" t="s">
        <v>125</v>
      </c>
      <c r="H177" t="s">
        <v>124</v>
      </c>
      <c r="I177" s="11">
        <v>46271</v>
      </c>
      <c r="J177" s="12">
        <v>46266</v>
      </c>
      <c r="K177" s="13">
        <f>INDEX(Assumptions!$B$4:$B$23,MATCH(F177,Assumptions!$A$4:$A$23,0))</f>
        <v>0.10526315789473679</v>
      </c>
      <c r="L177" s="14">
        <f t="shared" si="4"/>
        <v>1.6831578947368413</v>
      </c>
      <c r="M177" t="str">
        <f t="shared" si="5"/>
        <v>Yes</v>
      </c>
    </row>
    <row r="178" spans="1:13" x14ac:dyDescent="0.25">
      <c r="A178">
        <v>339463</v>
      </c>
      <c r="B178" t="s">
        <v>705</v>
      </c>
      <c r="C178" t="s">
        <v>706</v>
      </c>
      <c r="D178" t="s">
        <v>6220</v>
      </c>
      <c r="E178">
        <v>2.5099999999999998</v>
      </c>
      <c r="F178" t="s">
        <v>50</v>
      </c>
      <c r="G178" t="s">
        <v>137</v>
      </c>
      <c r="H178" t="s">
        <v>136</v>
      </c>
      <c r="I178" s="11">
        <v>46298</v>
      </c>
      <c r="J178" s="12">
        <v>46296</v>
      </c>
      <c r="K178" s="13">
        <f>INDEX(Assumptions!$B$4:$B$23,MATCH(F178,Assumptions!$A$4:$A$23,0))</f>
        <v>1.0869565217391299</v>
      </c>
      <c r="L178" s="14">
        <f t="shared" si="4"/>
        <v>2.728260869565216</v>
      </c>
      <c r="M178" t="str">
        <f t="shared" si="5"/>
        <v>No</v>
      </c>
    </row>
    <row r="179" spans="1:13" x14ac:dyDescent="0.25">
      <c r="A179">
        <v>339462</v>
      </c>
      <c r="B179" t="s">
        <v>709</v>
      </c>
      <c r="C179" t="s">
        <v>710</v>
      </c>
      <c r="D179" t="s">
        <v>6220</v>
      </c>
      <c r="E179">
        <v>1.17</v>
      </c>
      <c r="F179" t="s">
        <v>50</v>
      </c>
      <c r="G179" t="s">
        <v>137</v>
      </c>
      <c r="H179" t="s">
        <v>136</v>
      </c>
      <c r="I179" s="11">
        <v>46298</v>
      </c>
      <c r="J179" s="12">
        <v>46296</v>
      </c>
      <c r="K179" s="13">
        <f>INDEX(Assumptions!$B$4:$B$23,MATCH(F179,Assumptions!$A$4:$A$23,0))</f>
        <v>1.0869565217391299</v>
      </c>
      <c r="L179" s="14">
        <f t="shared" si="4"/>
        <v>1.271739130434782</v>
      </c>
      <c r="M179" t="str">
        <f t="shared" si="5"/>
        <v>No</v>
      </c>
    </row>
    <row r="180" spans="1:13" x14ac:dyDescent="0.25">
      <c r="A180">
        <v>339461</v>
      </c>
      <c r="B180" t="s">
        <v>713</v>
      </c>
      <c r="C180" t="s">
        <v>714</v>
      </c>
      <c r="D180" t="s">
        <v>6220</v>
      </c>
      <c r="E180">
        <v>2.4500000000000002</v>
      </c>
      <c r="F180" t="s">
        <v>50</v>
      </c>
      <c r="G180" t="s">
        <v>137</v>
      </c>
      <c r="H180" t="s">
        <v>136</v>
      </c>
      <c r="I180" s="11">
        <v>46298</v>
      </c>
      <c r="J180" s="12">
        <v>46296</v>
      </c>
      <c r="K180" s="13">
        <f>INDEX(Assumptions!$B$4:$B$23,MATCH(F180,Assumptions!$A$4:$A$23,0))</f>
        <v>1.0869565217391299</v>
      </c>
      <c r="L180" s="14">
        <f t="shared" si="4"/>
        <v>2.6630434782608687</v>
      </c>
      <c r="M180" t="str">
        <f t="shared" si="5"/>
        <v>No</v>
      </c>
    </row>
    <row r="181" spans="1:13" x14ac:dyDescent="0.25">
      <c r="A181">
        <v>339460</v>
      </c>
      <c r="B181" t="s">
        <v>716</v>
      </c>
      <c r="C181" t="s">
        <v>717</v>
      </c>
      <c r="D181" t="s">
        <v>6220</v>
      </c>
      <c r="E181">
        <v>1.75</v>
      </c>
      <c r="F181" t="s">
        <v>50</v>
      </c>
      <c r="G181" t="s">
        <v>137</v>
      </c>
      <c r="H181" t="s">
        <v>136</v>
      </c>
      <c r="I181" s="11">
        <v>46298</v>
      </c>
      <c r="J181" s="12">
        <v>46296</v>
      </c>
      <c r="K181" s="13">
        <f>INDEX(Assumptions!$B$4:$B$23,MATCH(F181,Assumptions!$A$4:$A$23,0))</f>
        <v>1.0869565217391299</v>
      </c>
      <c r="L181" s="14">
        <f t="shared" si="4"/>
        <v>1.9021739130434774</v>
      </c>
      <c r="M181" t="str">
        <f t="shared" si="5"/>
        <v>No</v>
      </c>
    </row>
    <row r="182" spans="1:13" x14ac:dyDescent="0.25">
      <c r="A182">
        <v>339459</v>
      </c>
      <c r="B182" t="s">
        <v>719</v>
      </c>
      <c r="C182" t="s">
        <v>720</v>
      </c>
      <c r="D182" t="s">
        <v>6220</v>
      </c>
      <c r="E182">
        <v>1.23</v>
      </c>
      <c r="F182" t="s">
        <v>50</v>
      </c>
      <c r="G182" t="s">
        <v>137</v>
      </c>
      <c r="H182" t="s">
        <v>136</v>
      </c>
      <c r="I182" s="11">
        <v>46298</v>
      </c>
      <c r="J182" s="12">
        <v>46296</v>
      </c>
      <c r="K182" s="13">
        <f>INDEX(Assumptions!$B$4:$B$23,MATCH(F182,Assumptions!$A$4:$A$23,0))</f>
        <v>1.0869565217391299</v>
      </c>
      <c r="L182" s="14">
        <f t="shared" si="4"/>
        <v>1.3369565217391297</v>
      </c>
      <c r="M182" t="str">
        <f t="shared" si="5"/>
        <v>No</v>
      </c>
    </row>
    <row r="183" spans="1:13" x14ac:dyDescent="0.25">
      <c r="A183">
        <v>339458</v>
      </c>
      <c r="B183" t="s">
        <v>723</v>
      </c>
      <c r="C183" t="s">
        <v>724</v>
      </c>
      <c r="D183" t="s">
        <v>6220</v>
      </c>
      <c r="E183">
        <v>1.61</v>
      </c>
      <c r="F183" t="s">
        <v>50</v>
      </c>
      <c r="G183" t="s">
        <v>137</v>
      </c>
      <c r="H183" t="s">
        <v>136</v>
      </c>
      <c r="I183" s="11">
        <v>46298</v>
      </c>
      <c r="J183" s="12">
        <v>46296</v>
      </c>
      <c r="K183" s="13">
        <f>INDEX(Assumptions!$B$4:$B$23,MATCH(F183,Assumptions!$A$4:$A$23,0))</f>
        <v>1.0869565217391299</v>
      </c>
      <c r="L183" s="14">
        <f t="shared" si="4"/>
        <v>1.7499999999999993</v>
      </c>
      <c r="M183" t="str">
        <f t="shared" si="5"/>
        <v>No</v>
      </c>
    </row>
    <row r="184" spans="1:13" x14ac:dyDescent="0.25">
      <c r="A184">
        <v>339457</v>
      </c>
      <c r="B184" t="s">
        <v>727</v>
      </c>
      <c r="C184" t="s">
        <v>728</v>
      </c>
      <c r="D184" t="s">
        <v>6220</v>
      </c>
      <c r="E184">
        <v>0.94</v>
      </c>
      <c r="F184" t="s">
        <v>50</v>
      </c>
      <c r="G184" t="s">
        <v>137</v>
      </c>
      <c r="H184" t="s">
        <v>136</v>
      </c>
      <c r="I184" s="11">
        <v>46298</v>
      </c>
      <c r="J184" s="12">
        <v>46296</v>
      </c>
      <c r="K184" s="13">
        <f>INDEX(Assumptions!$B$4:$B$23,MATCH(F184,Assumptions!$A$4:$A$23,0))</f>
        <v>1.0869565217391299</v>
      </c>
      <c r="L184" s="14">
        <f t="shared" si="4"/>
        <v>1.021739130434782</v>
      </c>
      <c r="M184" t="str">
        <f t="shared" si="5"/>
        <v>No</v>
      </c>
    </row>
    <row r="185" spans="1:13" x14ac:dyDescent="0.25">
      <c r="A185">
        <v>339456</v>
      </c>
      <c r="B185" t="s">
        <v>731</v>
      </c>
      <c r="C185" t="s">
        <v>732</v>
      </c>
      <c r="D185" t="s">
        <v>6220</v>
      </c>
      <c r="E185">
        <v>1.35</v>
      </c>
      <c r="F185" t="s">
        <v>50</v>
      </c>
      <c r="G185" t="s">
        <v>137</v>
      </c>
      <c r="H185" t="s">
        <v>136</v>
      </c>
      <c r="I185" s="11">
        <v>46298</v>
      </c>
      <c r="J185" s="12">
        <v>46296</v>
      </c>
      <c r="K185" s="13">
        <f>INDEX(Assumptions!$B$4:$B$23,MATCH(F185,Assumptions!$A$4:$A$23,0))</f>
        <v>1.0869565217391299</v>
      </c>
      <c r="L185" s="14">
        <f t="shared" si="4"/>
        <v>1.4673913043478255</v>
      </c>
      <c r="M185" t="str">
        <f t="shared" si="5"/>
        <v>No</v>
      </c>
    </row>
    <row r="186" spans="1:13" x14ac:dyDescent="0.25">
      <c r="A186">
        <v>339455</v>
      </c>
      <c r="B186" t="s">
        <v>734</v>
      </c>
      <c r="C186" t="s">
        <v>735</v>
      </c>
      <c r="D186" t="s">
        <v>6220</v>
      </c>
      <c r="E186">
        <v>1.69</v>
      </c>
      <c r="F186" t="s">
        <v>50</v>
      </c>
      <c r="G186" t="s">
        <v>137</v>
      </c>
      <c r="H186" t="s">
        <v>136</v>
      </c>
      <c r="I186" s="11">
        <v>46298</v>
      </c>
      <c r="J186" s="12">
        <v>46296</v>
      </c>
      <c r="K186" s="13">
        <f>INDEX(Assumptions!$B$4:$B$23,MATCH(F186,Assumptions!$A$4:$A$23,0))</f>
        <v>1.0869565217391299</v>
      </c>
      <c r="L186" s="14">
        <f t="shared" si="4"/>
        <v>1.8369565217391295</v>
      </c>
      <c r="M186" t="str">
        <f t="shared" si="5"/>
        <v>No</v>
      </c>
    </row>
    <row r="187" spans="1:13" x14ac:dyDescent="0.25">
      <c r="A187">
        <v>339454</v>
      </c>
      <c r="B187" t="s">
        <v>737</v>
      </c>
      <c r="C187" t="s">
        <v>738</v>
      </c>
      <c r="D187" t="s">
        <v>6220</v>
      </c>
      <c r="E187">
        <v>0.96</v>
      </c>
      <c r="F187" t="s">
        <v>50</v>
      </c>
      <c r="G187" t="s">
        <v>137</v>
      </c>
      <c r="H187" t="s">
        <v>136</v>
      </c>
      <c r="I187" s="11">
        <v>46298</v>
      </c>
      <c r="J187" s="12">
        <v>46296</v>
      </c>
      <c r="K187" s="13">
        <f>INDEX(Assumptions!$B$4:$B$23,MATCH(F187,Assumptions!$A$4:$A$23,0))</f>
        <v>1.0869565217391299</v>
      </c>
      <c r="L187" s="14">
        <f t="shared" si="4"/>
        <v>1.0434782608695647</v>
      </c>
      <c r="M187" t="str">
        <f t="shared" si="5"/>
        <v>No</v>
      </c>
    </row>
    <row r="188" spans="1:13" x14ac:dyDescent="0.25">
      <c r="A188">
        <v>339453</v>
      </c>
      <c r="B188" t="s">
        <v>741</v>
      </c>
      <c r="C188" t="s">
        <v>742</v>
      </c>
      <c r="D188" t="s">
        <v>6220</v>
      </c>
      <c r="E188">
        <v>1.1499999999999999</v>
      </c>
      <c r="F188" t="s">
        <v>50</v>
      </c>
      <c r="G188" t="s">
        <v>137</v>
      </c>
      <c r="H188" t="s">
        <v>136</v>
      </c>
      <c r="I188" s="11">
        <v>46298</v>
      </c>
      <c r="J188" s="12">
        <v>46296</v>
      </c>
      <c r="K188" s="13">
        <f>INDEX(Assumptions!$B$4:$B$23,MATCH(F188,Assumptions!$A$4:$A$23,0))</f>
        <v>1.0869565217391299</v>
      </c>
      <c r="L188" s="14">
        <f t="shared" si="4"/>
        <v>1.2499999999999993</v>
      </c>
      <c r="M188" t="str">
        <f t="shared" si="5"/>
        <v>No</v>
      </c>
    </row>
    <row r="189" spans="1:13" x14ac:dyDescent="0.25">
      <c r="A189">
        <v>339452</v>
      </c>
      <c r="B189" t="s">
        <v>745</v>
      </c>
      <c r="C189" t="s">
        <v>746</v>
      </c>
      <c r="D189" t="s">
        <v>6220</v>
      </c>
      <c r="E189">
        <v>1.91</v>
      </c>
      <c r="F189" t="s">
        <v>50</v>
      </c>
      <c r="G189" t="s">
        <v>137</v>
      </c>
      <c r="H189" t="s">
        <v>136</v>
      </c>
      <c r="I189" s="11">
        <v>46298</v>
      </c>
      <c r="J189" s="12">
        <v>46296</v>
      </c>
      <c r="K189" s="13">
        <f>INDEX(Assumptions!$B$4:$B$23,MATCH(F189,Assumptions!$A$4:$A$23,0))</f>
        <v>1.0869565217391299</v>
      </c>
      <c r="L189" s="14">
        <f t="shared" si="4"/>
        <v>2.0760869565217379</v>
      </c>
      <c r="M189" t="str">
        <f t="shared" si="5"/>
        <v>No</v>
      </c>
    </row>
    <row r="190" spans="1:13" x14ac:dyDescent="0.25">
      <c r="A190">
        <v>339451</v>
      </c>
      <c r="B190" t="s">
        <v>749</v>
      </c>
      <c r="C190" t="s">
        <v>750</v>
      </c>
      <c r="D190" t="s">
        <v>6220</v>
      </c>
      <c r="E190">
        <v>1.87</v>
      </c>
      <c r="F190" t="s">
        <v>50</v>
      </c>
      <c r="G190" t="s">
        <v>137</v>
      </c>
      <c r="H190" t="s">
        <v>136</v>
      </c>
      <c r="I190" s="11">
        <v>46298</v>
      </c>
      <c r="J190" s="12">
        <v>46296</v>
      </c>
      <c r="K190" s="13">
        <f>INDEX(Assumptions!$B$4:$B$23,MATCH(F190,Assumptions!$A$4:$A$23,0))</f>
        <v>1.0869565217391299</v>
      </c>
      <c r="L190" s="14">
        <f t="shared" si="4"/>
        <v>2.0326086956521729</v>
      </c>
      <c r="M190" t="str">
        <f t="shared" si="5"/>
        <v>No</v>
      </c>
    </row>
    <row r="191" spans="1:13" x14ac:dyDescent="0.25">
      <c r="A191">
        <v>339450</v>
      </c>
      <c r="B191" t="s">
        <v>752</v>
      </c>
      <c r="C191" t="s">
        <v>753</v>
      </c>
      <c r="D191" t="s">
        <v>6220</v>
      </c>
      <c r="E191">
        <v>2.78</v>
      </c>
      <c r="F191" t="s">
        <v>50</v>
      </c>
      <c r="G191" t="s">
        <v>137</v>
      </c>
      <c r="H191" t="s">
        <v>136</v>
      </c>
      <c r="I191" s="11">
        <v>46298</v>
      </c>
      <c r="J191" s="12">
        <v>46296</v>
      </c>
      <c r="K191" s="13">
        <f>INDEX(Assumptions!$B$4:$B$23,MATCH(F191,Assumptions!$A$4:$A$23,0))</f>
        <v>1.0869565217391299</v>
      </c>
      <c r="L191" s="14">
        <f t="shared" si="4"/>
        <v>3.0217391304347809</v>
      </c>
      <c r="M191" t="str">
        <f t="shared" si="5"/>
        <v>No</v>
      </c>
    </row>
    <row r="192" spans="1:13" x14ac:dyDescent="0.25">
      <c r="A192">
        <v>339449</v>
      </c>
      <c r="B192" t="s">
        <v>755</v>
      </c>
      <c r="C192" t="s">
        <v>756</v>
      </c>
      <c r="D192" t="s">
        <v>6220</v>
      </c>
      <c r="E192">
        <v>4.99</v>
      </c>
      <c r="F192" t="s">
        <v>50</v>
      </c>
      <c r="G192" t="s">
        <v>137</v>
      </c>
      <c r="H192" t="s">
        <v>136</v>
      </c>
      <c r="I192" s="11">
        <v>46298</v>
      </c>
      <c r="J192" s="12">
        <v>46296</v>
      </c>
      <c r="K192" s="13">
        <f>INDEX(Assumptions!$B$4:$B$23,MATCH(F192,Assumptions!$A$4:$A$23,0))</f>
        <v>1.0869565217391299</v>
      </c>
      <c r="L192" s="14">
        <f t="shared" si="4"/>
        <v>5.423913043478259</v>
      </c>
      <c r="M192" t="str">
        <f t="shared" si="5"/>
        <v>No</v>
      </c>
    </row>
    <row r="193" spans="1:13" x14ac:dyDescent="0.25">
      <c r="A193">
        <v>339448</v>
      </c>
      <c r="B193" t="s">
        <v>758</v>
      </c>
      <c r="C193" t="s">
        <v>759</v>
      </c>
      <c r="D193" t="s">
        <v>6220</v>
      </c>
      <c r="E193">
        <v>3.08</v>
      </c>
      <c r="F193" t="s">
        <v>50</v>
      </c>
      <c r="G193" t="s">
        <v>137</v>
      </c>
      <c r="H193" t="s">
        <v>136</v>
      </c>
      <c r="I193" s="11">
        <v>46298</v>
      </c>
      <c r="J193" s="12">
        <v>46296</v>
      </c>
      <c r="K193" s="13">
        <f>INDEX(Assumptions!$B$4:$B$23,MATCH(F193,Assumptions!$A$4:$A$23,0))</f>
        <v>1.0869565217391299</v>
      </c>
      <c r="L193" s="14">
        <f t="shared" si="4"/>
        <v>3.3478260869565202</v>
      </c>
      <c r="M193" t="str">
        <f t="shared" si="5"/>
        <v>No</v>
      </c>
    </row>
    <row r="194" spans="1:13" x14ac:dyDescent="0.25">
      <c r="A194">
        <v>339447</v>
      </c>
      <c r="B194" t="s">
        <v>762</v>
      </c>
      <c r="C194" t="s">
        <v>763</v>
      </c>
      <c r="D194" t="s">
        <v>6220</v>
      </c>
      <c r="E194">
        <v>4.05</v>
      </c>
      <c r="F194" t="s">
        <v>50</v>
      </c>
      <c r="G194" t="s">
        <v>137</v>
      </c>
      <c r="H194" t="s">
        <v>136</v>
      </c>
      <c r="I194" s="11">
        <v>46298</v>
      </c>
      <c r="J194" s="12">
        <v>46296</v>
      </c>
      <c r="K194" s="13">
        <f>INDEX(Assumptions!$B$4:$B$23,MATCH(F194,Assumptions!$A$4:$A$23,0))</f>
        <v>1.0869565217391299</v>
      </c>
      <c r="L194" s="14">
        <f t="shared" ref="L194:L257" si="6">E194*K194</f>
        <v>4.4021739130434758</v>
      </c>
      <c r="M194" t="str">
        <f t="shared" ref="M194:M257" si="7">IF(C194="Unnamed product","Yes","No")</f>
        <v>No</v>
      </c>
    </row>
    <row r="195" spans="1:13" x14ac:dyDescent="0.25">
      <c r="A195">
        <v>339446</v>
      </c>
      <c r="B195" t="s">
        <v>766</v>
      </c>
      <c r="C195" t="s">
        <v>767</v>
      </c>
      <c r="D195" t="s">
        <v>6220</v>
      </c>
      <c r="E195">
        <v>1.37</v>
      </c>
      <c r="F195" t="s">
        <v>50</v>
      </c>
      <c r="G195" t="s">
        <v>137</v>
      </c>
      <c r="H195" t="s">
        <v>136</v>
      </c>
      <c r="I195" s="11">
        <v>46298</v>
      </c>
      <c r="J195" s="12">
        <v>46296</v>
      </c>
      <c r="K195" s="13">
        <f>INDEX(Assumptions!$B$4:$B$23,MATCH(F195,Assumptions!$A$4:$A$23,0))</f>
        <v>1.0869565217391299</v>
      </c>
      <c r="L195" s="14">
        <f t="shared" si="6"/>
        <v>1.4891304347826082</v>
      </c>
      <c r="M195" t="str">
        <f t="shared" si="7"/>
        <v>No</v>
      </c>
    </row>
    <row r="196" spans="1:13" x14ac:dyDescent="0.25">
      <c r="A196">
        <v>339445</v>
      </c>
      <c r="B196" t="s">
        <v>770</v>
      </c>
      <c r="C196" t="s">
        <v>771</v>
      </c>
      <c r="D196" t="s">
        <v>6220</v>
      </c>
      <c r="E196">
        <v>1.37</v>
      </c>
      <c r="F196" t="s">
        <v>50</v>
      </c>
      <c r="G196" t="s">
        <v>137</v>
      </c>
      <c r="H196" t="s">
        <v>136</v>
      </c>
      <c r="I196" s="11">
        <v>46298</v>
      </c>
      <c r="J196" s="12">
        <v>46296</v>
      </c>
      <c r="K196" s="13">
        <f>INDEX(Assumptions!$B$4:$B$23,MATCH(F196,Assumptions!$A$4:$A$23,0))</f>
        <v>1.0869565217391299</v>
      </c>
      <c r="L196" s="14">
        <f t="shared" si="6"/>
        <v>1.4891304347826082</v>
      </c>
      <c r="M196" t="str">
        <f t="shared" si="7"/>
        <v>No</v>
      </c>
    </row>
    <row r="197" spans="1:13" x14ac:dyDescent="0.25">
      <c r="A197">
        <v>339444</v>
      </c>
      <c r="B197" t="s">
        <v>773</v>
      </c>
      <c r="C197" t="s">
        <v>774</v>
      </c>
      <c r="D197" t="s">
        <v>6220</v>
      </c>
      <c r="E197">
        <v>1.59</v>
      </c>
      <c r="F197" t="s">
        <v>50</v>
      </c>
      <c r="G197" t="s">
        <v>137</v>
      </c>
      <c r="H197" t="s">
        <v>136</v>
      </c>
      <c r="I197" s="11">
        <v>46298</v>
      </c>
      <c r="J197" s="12">
        <v>46296</v>
      </c>
      <c r="K197" s="13">
        <f>INDEX(Assumptions!$B$4:$B$23,MATCH(F197,Assumptions!$A$4:$A$23,0))</f>
        <v>1.0869565217391299</v>
      </c>
      <c r="L197" s="14">
        <f t="shared" si="6"/>
        <v>1.7282608695652166</v>
      </c>
      <c r="M197" t="str">
        <f t="shared" si="7"/>
        <v>No</v>
      </c>
    </row>
    <row r="198" spans="1:13" x14ac:dyDescent="0.25">
      <c r="A198">
        <v>339443</v>
      </c>
      <c r="B198" t="s">
        <v>776</v>
      </c>
      <c r="C198" t="s">
        <v>777</v>
      </c>
      <c r="D198" t="s">
        <v>6220</v>
      </c>
      <c r="E198">
        <v>1.65</v>
      </c>
      <c r="F198" t="s">
        <v>50</v>
      </c>
      <c r="G198" t="s">
        <v>137</v>
      </c>
      <c r="H198" t="s">
        <v>136</v>
      </c>
      <c r="I198" s="11">
        <v>46298</v>
      </c>
      <c r="J198" s="12">
        <v>46296</v>
      </c>
      <c r="K198" s="13">
        <f>INDEX(Assumptions!$B$4:$B$23,MATCH(F198,Assumptions!$A$4:$A$23,0))</f>
        <v>1.0869565217391299</v>
      </c>
      <c r="L198" s="14">
        <f t="shared" si="6"/>
        <v>1.7934782608695643</v>
      </c>
      <c r="M198" t="str">
        <f t="shared" si="7"/>
        <v>No</v>
      </c>
    </row>
    <row r="199" spans="1:13" x14ac:dyDescent="0.25">
      <c r="A199">
        <v>339442</v>
      </c>
      <c r="B199" t="s">
        <v>779</v>
      </c>
      <c r="C199" t="s">
        <v>780</v>
      </c>
      <c r="D199" t="s">
        <v>6220</v>
      </c>
      <c r="E199">
        <v>1.7</v>
      </c>
      <c r="F199" t="s">
        <v>50</v>
      </c>
      <c r="G199" t="s">
        <v>137</v>
      </c>
      <c r="H199" t="s">
        <v>136</v>
      </c>
      <c r="I199" s="11">
        <v>46298</v>
      </c>
      <c r="J199" s="12">
        <v>46296</v>
      </c>
      <c r="K199" s="13">
        <f>INDEX(Assumptions!$B$4:$B$23,MATCH(F199,Assumptions!$A$4:$A$23,0))</f>
        <v>1.0869565217391299</v>
      </c>
      <c r="L199" s="14">
        <f t="shared" si="6"/>
        <v>1.8478260869565208</v>
      </c>
      <c r="M199" t="str">
        <f t="shared" si="7"/>
        <v>No</v>
      </c>
    </row>
    <row r="200" spans="1:13" x14ac:dyDescent="0.25">
      <c r="A200">
        <v>339441</v>
      </c>
      <c r="B200" t="s">
        <v>782</v>
      </c>
      <c r="C200" t="s">
        <v>783</v>
      </c>
      <c r="D200" t="s">
        <v>6220</v>
      </c>
      <c r="E200">
        <v>1.08</v>
      </c>
      <c r="F200" t="s">
        <v>50</v>
      </c>
      <c r="G200" t="s">
        <v>137</v>
      </c>
      <c r="H200" t="s">
        <v>136</v>
      </c>
      <c r="I200" s="11">
        <v>46298</v>
      </c>
      <c r="J200" s="12">
        <v>46296</v>
      </c>
      <c r="K200" s="13">
        <f>INDEX(Assumptions!$B$4:$B$23,MATCH(F200,Assumptions!$A$4:$A$23,0))</f>
        <v>1.0869565217391299</v>
      </c>
      <c r="L200" s="14">
        <f t="shared" si="6"/>
        <v>1.1739130434782603</v>
      </c>
      <c r="M200" t="str">
        <f t="shared" si="7"/>
        <v>No</v>
      </c>
    </row>
    <row r="201" spans="1:13" x14ac:dyDescent="0.25">
      <c r="A201">
        <v>339440</v>
      </c>
      <c r="B201" t="s">
        <v>786</v>
      </c>
      <c r="C201" t="s">
        <v>787</v>
      </c>
      <c r="D201" t="s">
        <v>6220</v>
      </c>
      <c r="E201">
        <v>1.37</v>
      </c>
      <c r="F201" t="s">
        <v>50</v>
      </c>
      <c r="G201" t="s">
        <v>137</v>
      </c>
      <c r="H201" t="s">
        <v>136</v>
      </c>
      <c r="I201" s="11">
        <v>46298</v>
      </c>
      <c r="J201" s="12">
        <v>46296</v>
      </c>
      <c r="K201" s="13">
        <f>INDEX(Assumptions!$B$4:$B$23,MATCH(F201,Assumptions!$A$4:$A$23,0))</f>
        <v>1.0869565217391299</v>
      </c>
      <c r="L201" s="14">
        <f t="shared" si="6"/>
        <v>1.4891304347826082</v>
      </c>
      <c r="M201" t="str">
        <f t="shared" si="7"/>
        <v>No</v>
      </c>
    </row>
    <row r="202" spans="1:13" x14ac:dyDescent="0.25">
      <c r="A202">
        <v>339439</v>
      </c>
      <c r="B202" t="s">
        <v>789</v>
      </c>
      <c r="C202" t="s">
        <v>790</v>
      </c>
      <c r="D202" t="s">
        <v>6220</v>
      </c>
      <c r="E202">
        <v>1.82</v>
      </c>
      <c r="F202" t="s">
        <v>50</v>
      </c>
      <c r="G202" t="s">
        <v>137</v>
      </c>
      <c r="H202" t="s">
        <v>136</v>
      </c>
      <c r="I202" s="11">
        <v>46298</v>
      </c>
      <c r="J202" s="12">
        <v>46296</v>
      </c>
      <c r="K202" s="13">
        <f>INDEX(Assumptions!$B$4:$B$23,MATCH(F202,Assumptions!$A$4:$A$23,0))</f>
        <v>1.0869565217391299</v>
      </c>
      <c r="L202" s="14">
        <f t="shared" si="6"/>
        <v>1.9782608695652166</v>
      </c>
      <c r="M202" t="str">
        <f t="shared" si="7"/>
        <v>No</v>
      </c>
    </row>
    <row r="203" spans="1:13" x14ac:dyDescent="0.25">
      <c r="A203">
        <v>339438</v>
      </c>
      <c r="B203" t="s">
        <v>793</v>
      </c>
      <c r="C203" t="s">
        <v>794</v>
      </c>
      <c r="D203" t="s">
        <v>6220</v>
      </c>
      <c r="E203">
        <v>1.82</v>
      </c>
      <c r="F203" t="s">
        <v>50</v>
      </c>
      <c r="G203" t="s">
        <v>137</v>
      </c>
      <c r="H203" t="s">
        <v>136</v>
      </c>
      <c r="I203" s="11">
        <v>46298</v>
      </c>
      <c r="J203" s="12">
        <v>46296</v>
      </c>
      <c r="K203" s="13">
        <f>INDEX(Assumptions!$B$4:$B$23,MATCH(F203,Assumptions!$A$4:$A$23,0))</f>
        <v>1.0869565217391299</v>
      </c>
      <c r="L203" s="14">
        <f t="shared" si="6"/>
        <v>1.9782608695652166</v>
      </c>
      <c r="M203" t="str">
        <f t="shared" si="7"/>
        <v>No</v>
      </c>
    </row>
    <row r="204" spans="1:13" x14ac:dyDescent="0.25">
      <c r="A204">
        <v>339437</v>
      </c>
      <c r="B204" t="s">
        <v>796</v>
      </c>
      <c r="C204" t="s">
        <v>797</v>
      </c>
      <c r="D204" t="s">
        <v>6220</v>
      </c>
      <c r="E204">
        <v>2.25</v>
      </c>
      <c r="F204" t="s">
        <v>50</v>
      </c>
      <c r="G204" t="s">
        <v>137</v>
      </c>
      <c r="H204" t="s">
        <v>136</v>
      </c>
      <c r="I204" s="11">
        <v>46298</v>
      </c>
      <c r="J204" s="12">
        <v>46296</v>
      </c>
      <c r="K204" s="13">
        <f>INDEX(Assumptions!$B$4:$B$23,MATCH(F204,Assumptions!$A$4:$A$23,0))</f>
        <v>1.0869565217391299</v>
      </c>
      <c r="L204" s="14">
        <f t="shared" si="6"/>
        <v>2.4456521739130421</v>
      </c>
      <c r="M204" t="str">
        <f t="shared" si="7"/>
        <v>No</v>
      </c>
    </row>
    <row r="205" spans="1:13" x14ac:dyDescent="0.25">
      <c r="A205">
        <v>339436</v>
      </c>
      <c r="B205" t="s">
        <v>799</v>
      </c>
      <c r="C205" t="s">
        <v>800</v>
      </c>
      <c r="D205" t="s">
        <v>6220</v>
      </c>
      <c r="E205">
        <v>1.78</v>
      </c>
      <c r="F205" t="s">
        <v>50</v>
      </c>
      <c r="G205" t="s">
        <v>137</v>
      </c>
      <c r="H205" t="s">
        <v>136</v>
      </c>
      <c r="I205" s="11">
        <v>46298</v>
      </c>
      <c r="J205" s="12">
        <v>46296</v>
      </c>
      <c r="K205" s="13">
        <f>INDEX(Assumptions!$B$4:$B$23,MATCH(F205,Assumptions!$A$4:$A$23,0))</f>
        <v>1.0869565217391299</v>
      </c>
      <c r="L205" s="14">
        <f t="shared" si="6"/>
        <v>1.9347826086956512</v>
      </c>
      <c r="M205" t="str">
        <f t="shared" si="7"/>
        <v>No</v>
      </c>
    </row>
    <row r="206" spans="1:13" x14ac:dyDescent="0.25">
      <c r="A206">
        <v>339435</v>
      </c>
      <c r="B206" t="s">
        <v>802</v>
      </c>
      <c r="C206" t="s">
        <v>803</v>
      </c>
      <c r="D206" t="s">
        <v>6220</v>
      </c>
      <c r="E206">
        <v>1.46</v>
      </c>
      <c r="F206" t="s">
        <v>50</v>
      </c>
      <c r="G206" t="s">
        <v>137</v>
      </c>
      <c r="H206" t="s">
        <v>136</v>
      </c>
      <c r="I206" s="11">
        <v>46298</v>
      </c>
      <c r="J206" s="12">
        <v>46296</v>
      </c>
      <c r="K206" s="13">
        <f>INDEX(Assumptions!$B$4:$B$23,MATCH(F206,Assumptions!$A$4:$A$23,0))</f>
        <v>1.0869565217391299</v>
      </c>
      <c r="L206" s="14">
        <f t="shared" si="6"/>
        <v>1.5869565217391297</v>
      </c>
      <c r="M206" t="str">
        <f t="shared" si="7"/>
        <v>No</v>
      </c>
    </row>
    <row r="207" spans="1:13" x14ac:dyDescent="0.25">
      <c r="A207">
        <v>339434</v>
      </c>
      <c r="B207" t="s">
        <v>806</v>
      </c>
      <c r="C207" t="s">
        <v>807</v>
      </c>
      <c r="D207" t="s">
        <v>6220</v>
      </c>
      <c r="E207">
        <v>1.95</v>
      </c>
      <c r="F207" t="s">
        <v>50</v>
      </c>
      <c r="G207" t="s">
        <v>137</v>
      </c>
      <c r="H207" t="s">
        <v>136</v>
      </c>
      <c r="I207" s="11">
        <v>46298</v>
      </c>
      <c r="J207" s="12">
        <v>46296</v>
      </c>
      <c r="K207" s="13">
        <f>INDEX(Assumptions!$B$4:$B$23,MATCH(F207,Assumptions!$A$4:$A$23,0))</f>
        <v>1.0869565217391299</v>
      </c>
      <c r="L207" s="14">
        <f t="shared" si="6"/>
        <v>2.1195652173913033</v>
      </c>
      <c r="M207" t="str">
        <f t="shared" si="7"/>
        <v>No</v>
      </c>
    </row>
    <row r="208" spans="1:13" x14ac:dyDescent="0.25">
      <c r="A208">
        <v>339433</v>
      </c>
      <c r="B208" t="s">
        <v>388</v>
      </c>
      <c r="C208" t="s">
        <v>389</v>
      </c>
      <c r="D208" t="s">
        <v>6220</v>
      </c>
      <c r="E208">
        <v>1.32</v>
      </c>
      <c r="F208" t="s">
        <v>50</v>
      </c>
      <c r="G208" t="s">
        <v>137</v>
      </c>
      <c r="H208" t="s">
        <v>136</v>
      </c>
      <c r="I208" s="11">
        <v>46298</v>
      </c>
      <c r="J208" s="12">
        <v>46296</v>
      </c>
      <c r="K208" s="13">
        <f>INDEX(Assumptions!$B$4:$B$23,MATCH(F208,Assumptions!$A$4:$A$23,0))</f>
        <v>1.0869565217391299</v>
      </c>
      <c r="L208" s="14">
        <f t="shared" si="6"/>
        <v>1.4347826086956517</v>
      </c>
      <c r="M208" t="str">
        <f t="shared" si="7"/>
        <v>No</v>
      </c>
    </row>
    <row r="209" spans="1:13" x14ac:dyDescent="0.25">
      <c r="A209">
        <v>339432</v>
      </c>
      <c r="B209" t="s">
        <v>811</v>
      </c>
      <c r="C209" t="s">
        <v>812</v>
      </c>
      <c r="D209" t="s">
        <v>6220</v>
      </c>
      <c r="E209">
        <v>0.96</v>
      </c>
      <c r="F209" t="s">
        <v>50</v>
      </c>
      <c r="G209" t="s">
        <v>137</v>
      </c>
      <c r="H209" t="s">
        <v>136</v>
      </c>
      <c r="I209" s="11">
        <v>46298</v>
      </c>
      <c r="J209" s="12">
        <v>46296</v>
      </c>
      <c r="K209" s="13">
        <f>INDEX(Assumptions!$B$4:$B$23,MATCH(F209,Assumptions!$A$4:$A$23,0))</f>
        <v>1.0869565217391299</v>
      </c>
      <c r="L209" s="14">
        <f t="shared" si="6"/>
        <v>1.0434782608695647</v>
      </c>
      <c r="M209" t="str">
        <f t="shared" si="7"/>
        <v>No</v>
      </c>
    </row>
    <row r="210" spans="1:13" x14ac:dyDescent="0.25">
      <c r="A210">
        <v>339431</v>
      </c>
      <c r="B210" t="s">
        <v>814</v>
      </c>
      <c r="C210" t="s">
        <v>815</v>
      </c>
      <c r="D210" t="s">
        <v>6220</v>
      </c>
      <c r="E210">
        <v>0.86</v>
      </c>
      <c r="F210" t="s">
        <v>50</v>
      </c>
      <c r="G210" t="s">
        <v>137</v>
      </c>
      <c r="H210" t="s">
        <v>136</v>
      </c>
      <c r="I210" s="11">
        <v>46298</v>
      </c>
      <c r="J210" s="12">
        <v>46296</v>
      </c>
      <c r="K210" s="13">
        <f>INDEX(Assumptions!$B$4:$B$23,MATCH(F210,Assumptions!$A$4:$A$23,0))</f>
        <v>1.0869565217391299</v>
      </c>
      <c r="L210" s="14">
        <f t="shared" si="6"/>
        <v>0.93478260869565177</v>
      </c>
      <c r="M210" t="str">
        <f t="shared" si="7"/>
        <v>No</v>
      </c>
    </row>
    <row r="211" spans="1:13" x14ac:dyDescent="0.25">
      <c r="A211">
        <v>339430</v>
      </c>
      <c r="B211" t="s">
        <v>818</v>
      </c>
      <c r="C211" t="s">
        <v>819</v>
      </c>
      <c r="D211" t="s">
        <v>6220</v>
      </c>
      <c r="E211">
        <v>2.59</v>
      </c>
      <c r="F211" t="s">
        <v>50</v>
      </c>
      <c r="G211" t="s">
        <v>137</v>
      </c>
      <c r="H211" t="s">
        <v>136</v>
      </c>
      <c r="I211" s="11">
        <v>46298</v>
      </c>
      <c r="J211" s="12">
        <v>46296</v>
      </c>
      <c r="K211" s="13">
        <f>INDEX(Assumptions!$B$4:$B$23,MATCH(F211,Assumptions!$A$4:$A$23,0))</f>
        <v>1.0869565217391299</v>
      </c>
      <c r="L211" s="14">
        <f t="shared" si="6"/>
        <v>2.8152173913043463</v>
      </c>
      <c r="M211" t="str">
        <f t="shared" si="7"/>
        <v>No</v>
      </c>
    </row>
    <row r="212" spans="1:13" x14ac:dyDescent="0.25">
      <c r="A212">
        <v>339429</v>
      </c>
      <c r="B212" t="s">
        <v>821</v>
      </c>
      <c r="C212" t="s">
        <v>822</v>
      </c>
      <c r="D212" t="s">
        <v>6220</v>
      </c>
      <c r="E212">
        <v>1.91</v>
      </c>
      <c r="F212" t="s">
        <v>50</v>
      </c>
      <c r="G212" t="s">
        <v>137</v>
      </c>
      <c r="H212" t="s">
        <v>136</v>
      </c>
      <c r="I212" s="11">
        <v>46298</v>
      </c>
      <c r="J212" s="12">
        <v>46296</v>
      </c>
      <c r="K212" s="13">
        <f>INDEX(Assumptions!$B$4:$B$23,MATCH(F212,Assumptions!$A$4:$A$23,0))</f>
        <v>1.0869565217391299</v>
      </c>
      <c r="L212" s="14">
        <f t="shared" si="6"/>
        <v>2.0760869565217379</v>
      </c>
      <c r="M212" t="str">
        <f t="shared" si="7"/>
        <v>No</v>
      </c>
    </row>
    <row r="213" spans="1:13" x14ac:dyDescent="0.25">
      <c r="A213">
        <v>339428</v>
      </c>
      <c r="B213" t="s">
        <v>824</v>
      </c>
      <c r="C213" t="s">
        <v>825</v>
      </c>
      <c r="D213" t="s">
        <v>6220</v>
      </c>
      <c r="E213">
        <v>1.68</v>
      </c>
      <c r="F213" t="s">
        <v>50</v>
      </c>
      <c r="G213" t="s">
        <v>137</v>
      </c>
      <c r="H213" t="s">
        <v>136</v>
      </c>
      <c r="I213" s="11">
        <v>46298</v>
      </c>
      <c r="J213" s="12">
        <v>46296</v>
      </c>
      <c r="K213" s="13">
        <f>INDEX(Assumptions!$B$4:$B$23,MATCH(F213,Assumptions!$A$4:$A$23,0))</f>
        <v>1.0869565217391299</v>
      </c>
      <c r="L213" s="14">
        <f t="shared" si="6"/>
        <v>1.8260869565217381</v>
      </c>
      <c r="M213" t="str">
        <f t="shared" si="7"/>
        <v>No</v>
      </c>
    </row>
    <row r="214" spans="1:13" x14ac:dyDescent="0.25">
      <c r="A214">
        <v>339427</v>
      </c>
      <c r="B214" t="s">
        <v>827</v>
      </c>
      <c r="C214" t="s">
        <v>828</v>
      </c>
      <c r="D214" t="s">
        <v>6220</v>
      </c>
      <c r="E214">
        <v>2.3199999999999998</v>
      </c>
      <c r="F214" t="s">
        <v>50</v>
      </c>
      <c r="G214" t="s">
        <v>137</v>
      </c>
      <c r="H214" t="s">
        <v>136</v>
      </c>
      <c r="I214" s="11">
        <v>46298</v>
      </c>
      <c r="J214" s="12">
        <v>46296</v>
      </c>
      <c r="K214" s="13">
        <f>INDEX(Assumptions!$B$4:$B$23,MATCH(F214,Assumptions!$A$4:$A$23,0))</f>
        <v>1.0869565217391299</v>
      </c>
      <c r="L214" s="14">
        <f t="shared" si="6"/>
        <v>2.5217391304347814</v>
      </c>
      <c r="M214" t="str">
        <f t="shared" si="7"/>
        <v>No</v>
      </c>
    </row>
    <row r="215" spans="1:13" x14ac:dyDescent="0.25">
      <c r="A215">
        <v>339426</v>
      </c>
      <c r="B215" t="s">
        <v>831</v>
      </c>
      <c r="C215" t="s">
        <v>832</v>
      </c>
      <c r="D215" t="s">
        <v>6220</v>
      </c>
      <c r="E215">
        <v>2.04</v>
      </c>
      <c r="F215" t="s">
        <v>50</v>
      </c>
      <c r="G215" t="s">
        <v>137</v>
      </c>
      <c r="H215" t="s">
        <v>136</v>
      </c>
      <c r="I215" s="11">
        <v>46298</v>
      </c>
      <c r="J215" s="12">
        <v>46296</v>
      </c>
      <c r="K215" s="13">
        <f>INDEX(Assumptions!$B$4:$B$23,MATCH(F215,Assumptions!$A$4:$A$23,0))</f>
        <v>1.0869565217391299</v>
      </c>
      <c r="L215" s="14">
        <f t="shared" si="6"/>
        <v>2.2173913043478253</v>
      </c>
      <c r="M215" t="str">
        <f t="shared" si="7"/>
        <v>No</v>
      </c>
    </row>
    <row r="216" spans="1:13" x14ac:dyDescent="0.25">
      <c r="A216">
        <v>339425</v>
      </c>
      <c r="B216" t="s">
        <v>824</v>
      </c>
      <c r="C216" t="s">
        <v>825</v>
      </c>
      <c r="D216" t="s">
        <v>6220</v>
      </c>
      <c r="E216">
        <v>1.68</v>
      </c>
      <c r="F216" t="s">
        <v>50</v>
      </c>
      <c r="G216" t="s">
        <v>137</v>
      </c>
      <c r="H216" t="s">
        <v>136</v>
      </c>
      <c r="I216" s="11">
        <v>46298</v>
      </c>
      <c r="J216" s="12">
        <v>46296</v>
      </c>
      <c r="K216" s="13">
        <f>INDEX(Assumptions!$B$4:$B$23,MATCH(F216,Assumptions!$A$4:$A$23,0))</f>
        <v>1.0869565217391299</v>
      </c>
      <c r="L216" s="14">
        <f t="shared" si="6"/>
        <v>1.8260869565217381</v>
      </c>
      <c r="M216" t="str">
        <f t="shared" si="7"/>
        <v>No</v>
      </c>
    </row>
    <row r="217" spans="1:13" x14ac:dyDescent="0.25">
      <c r="A217">
        <v>339424</v>
      </c>
      <c r="B217" t="s">
        <v>836</v>
      </c>
      <c r="C217" t="s">
        <v>837</v>
      </c>
      <c r="D217" t="s">
        <v>6220</v>
      </c>
      <c r="E217">
        <v>1.52</v>
      </c>
      <c r="F217" t="s">
        <v>50</v>
      </c>
      <c r="G217" t="s">
        <v>137</v>
      </c>
      <c r="H217" t="s">
        <v>136</v>
      </c>
      <c r="I217" s="11">
        <v>46298</v>
      </c>
      <c r="J217" s="12">
        <v>46296</v>
      </c>
      <c r="K217" s="13">
        <f>INDEX(Assumptions!$B$4:$B$23,MATCH(F217,Assumptions!$A$4:$A$23,0))</f>
        <v>1.0869565217391299</v>
      </c>
      <c r="L217" s="14">
        <f t="shared" si="6"/>
        <v>1.6521739130434776</v>
      </c>
      <c r="M217" t="str">
        <f t="shared" si="7"/>
        <v>No</v>
      </c>
    </row>
    <row r="218" spans="1:13" x14ac:dyDescent="0.25">
      <c r="A218">
        <v>339423</v>
      </c>
      <c r="B218" t="s">
        <v>840</v>
      </c>
      <c r="C218" t="s">
        <v>841</v>
      </c>
      <c r="D218" t="s">
        <v>6220</v>
      </c>
      <c r="E218">
        <v>1.42</v>
      </c>
      <c r="F218" t="s">
        <v>50</v>
      </c>
      <c r="G218" t="s">
        <v>137</v>
      </c>
      <c r="H218" t="s">
        <v>136</v>
      </c>
      <c r="I218" s="11">
        <v>46298</v>
      </c>
      <c r="J218" s="12">
        <v>46296</v>
      </c>
      <c r="K218" s="13">
        <f>INDEX(Assumptions!$B$4:$B$23,MATCH(F218,Assumptions!$A$4:$A$23,0))</f>
        <v>1.0869565217391299</v>
      </c>
      <c r="L218" s="14">
        <f t="shared" si="6"/>
        <v>1.5434782608695645</v>
      </c>
      <c r="M218" t="str">
        <f t="shared" si="7"/>
        <v>No</v>
      </c>
    </row>
    <row r="219" spans="1:13" x14ac:dyDescent="0.25">
      <c r="A219">
        <v>339422</v>
      </c>
      <c r="B219" t="s">
        <v>844</v>
      </c>
      <c r="C219" t="s">
        <v>845</v>
      </c>
      <c r="D219" t="s">
        <v>6220</v>
      </c>
      <c r="E219">
        <v>2.12</v>
      </c>
      <c r="F219" t="s">
        <v>50</v>
      </c>
      <c r="G219" t="s">
        <v>137</v>
      </c>
      <c r="H219" t="s">
        <v>136</v>
      </c>
      <c r="I219" s="11">
        <v>46298</v>
      </c>
      <c r="J219" s="12">
        <v>46296</v>
      </c>
      <c r="K219" s="13">
        <f>INDEX(Assumptions!$B$4:$B$23,MATCH(F219,Assumptions!$A$4:$A$23,0))</f>
        <v>1.0869565217391299</v>
      </c>
      <c r="L219" s="14">
        <f t="shared" si="6"/>
        <v>2.3043478260869557</v>
      </c>
      <c r="M219" t="str">
        <f t="shared" si="7"/>
        <v>No</v>
      </c>
    </row>
    <row r="220" spans="1:13" x14ac:dyDescent="0.25">
      <c r="A220">
        <v>339421</v>
      </c>
      <c r="B220" t="s">
        <v>847</v>
      </c>
      <c r="C220" t="s">
        <v>848</v>
      </c>
      <c r="D220" t="s">
        <v>6220</v>
      </c>
      <c r="E220">
        <v>3.09</v>
      </c>
      <c r="F220" t="s">
        <v>50</v>
      </c>
      <c r="G220" t="s">
        <v>137</v>
      </c>
      <c r="H220" t="s">
        <v>136</v>
      </c>
      <c r="I220" s="11">
        <v>46298</v>
      </c>
      <c r="J220" s="12">
        <v>46296</v>
      </c>
      <c r="K220" s="13">
        <f>INDEX(Assumptions!$B$4:$B$23,MATCH(F220,Assumptions!$A$4:$A$23,0))</f>
        <v>1.0869565217391299</v>
      </c>
      <c r="L220" s="14">
        <f t="shared" si="6"/>
        <v>3.3586956521739113</v>
      </c>
      <c r="M220" t="str">
        <f t="shared" si="7"/>
        <v>No</v>
      </c>
    </row>
    <row r="221" spans="1:13" x14ac:dyDescent="0.25">
      <c r="A221">
        <v>339420</v>
      </c>
      <c r="B221" t="s">
        <v>851</v>
      </c>
      <c r="C221" t="s">
        <v>852</v>
      </c>
      <c r="D221" t="s">
        <v>6220</v>
      </c>
      <c r="E221">
        <v>1.65</v>
      </c>
      <c r="F221" t="s">
        <v>50</v>
      </c>
      <c r="G221" t="s">
        <v>137</v>
      </c>
      <c r="H221" t="s">
        <v>136</v>
      </c>
      <c r="I221" s="11">
        <v>46298</v>
      </c>
      <c r="J221" s="12">
        <v>46296</v>
      </c>
      <c r="K221" s="13">
        <f>INDEX(Assumptions!$B$4:$B$23,MATCH(F221,Assumptions!$A$4:$A$23,0))</f>
        <v>1.0869565217391299</v>
      </c>
      <c r="L221" s="14">
        <f t="shared" si="6"/>
        <v>1.7934782608695643</v>
      </c>
      <c r="M221" t="str">
        <f t="shared" si="7"/>
        <v>No</v>
      </c>
    </row>
    <row r="222" spans="1:13" x14ac:dyDescent="0.25">
      <c r="A222">
        <v>339419</v>
      </c>
      <c r="B222" t="s">
        <v>854</v>
      </c>
      <c r="C222" t="s">
        <v>855</v>
      </c>
      <c r="D222" t="s">
        <v>6220</v>
      </c>
      <c r="E222">
        <v>2.4300000000000002</v>
      </c>
      <c r="F222" t="s">
        <v>50</v>
      </c>
      <c r="G222" t="s">
        <v>137</v>
      </c>
      <c r="H222" t="s">
        <v>136</v>
      </c>
      <c r="I222" s="11">
        <v>46298</v>
      </c>
      <c r="J222" s="12">
        <v>46296</v>
      </c>
      <c r="K222" s="13">
        <f>INDEX(Assumptions!$B$4:$B$23,MATCH(F222,Assumptions!$A$4:$A$23,0))</f>
        <v>1.0869565217391299</v>
      </c>
      <c r="L222" s="14">
        <f t="shared" si="6"/>
        <v>2.641304347826086</v>
      </c>
      <c r="M222" t="str">
        <f t="shared" si="7"/>
        <v>No</v>
      </c>
    </row>
    <row r="223" spans="1:13" x14ac:dyDescent="0.25">
      <c r="A223">
        <v>339418</v>
      </c>
      <c r="B223" t="s">
        <v>857</v>
      </c>
      <c r="C223" t="s">
        <v>858</v>
      </c>
      <c r="D223" t="s">
        <v>6220</v>
      </c>
      <c r="E223">
        <v>1.89</v>
      </c>
      <c r="F223" t="s">
        <v>50</v>
      </c>
      <c r="G223" t="s">
        <v>137</v>
      </c>
      <c r="H223" t="s">
        <v>136</v>
      </c>
      <c r="I223" s="11">
        <v>46298</v>
      </c>
      <c r="J223" s="12">
        <v>46296</v>
      </c>
      <c r="K223" s="13">
        <f>INDEX(Assumptions!$B$4:$B$23,MATCH(F223,Assumptions!$A$4:$A$23,0))</f>
        <v>1.0869565217391299</v>
      </c>
      <c r="L223" s="14">
        <f t="shared" si="6"/>
        <v>2.0543478260869557</v>
      </c>
      <c r="M223" t="str">
        <f t="shared" si="7"/>
        <v>No</v>
      </c>
    </row>
    <row r="224" spans="1:13" x14ac:dyDescent="0.25">
      <c r="A224">
        <v>339417</v>
      </c>
      <c r="B224" t="s">
        <v>861</v>
      </c>
      <c r="C224" t="s">
        <v>862</v>
      </c>
      <c r="D224" t="s">
        <v>6220</v>
      </c>
      <c r="E224">
        <v>2.21</v>
      </c>
      <c r="F224" t="s">
        <v>50</v>
      </c>
      <c r="G224" t="s">
        <v>137</v>
      </c>
      <c r="H224" t="s">
        <v>136</v>
      </c>
      <c r="I224" s="11">
        <v>46298</v>
      </c>
      <c r="J224" s="12">
        <v>46296</v>
      </c>
      <c r="K224" s="13">
        <f>INDEX(Assumptions!$B$4:$B$23,MATCH(F224,Assumptions!$A$4:$A$23,0))</f>
        <v>1.0869565217391299</v>
      </c>
      <c r="L224" s="14">
        <f t="shared" si="6"/>
        <v>2.4021739130434772</v>
      </c>
      <c r="M224" t="str">
        <f t="shared" si="7"/>
        <v>No</v>
      </c>
    </row>
    <row r="225" spans="1:13" x14ac:dyDescent="0.25">
      <c r="A225">
        <v>339416</v>
      </c>
      <c r="B225" t="s">
        <v>865</v>
      </c>
      <c r="C225" t="s">
        <v>866</v>
      </c>
      <c r="D225" t="s">
        <v>6220</v>
      </c>
      <c r="E225">
        <v>2.94</v>
      </c>
      <c r="F225" t="s">
        <v>50</v>
      </c>
      <c r="G225" t="s">
        <v>137</v>
      </c>
      <c r="H225" t="s">
        <v>136</v>
      </c>
      <c r="I225" s="11">
        <v>46298</v>
      </c>
      <c r="J225" s="12">
        <v>46296</v>
      </c>
      <c r="K225" s="13">
        <f>INDEX(Assumptions!$B$4:$B$23,MATCH(F225,Assumptions!$A$4:$A$23,0))</f>
        <v>1.0869565217391299</v>
      </c>
      <c r="L225" s="14">
        <f t="shared" si="6"/>
        <v>3.1956521739130421</v>
      </c>
      <c r="M225" t="str">
        <f t="shared" si="7"/>
        <v>No</v>
      </c>
    </row>
    <row r="226" spans="1:13" x14ac:dyDescent="0.25">
      <c r="A226">
        <v>339415</v>
      </c>
      <c r="B226" t="s">
        <v>868</v>
      </c>
      <c r="C226" t="s">
        <v>869</v>
      </c>
      <c r="D226" t="s">
        <v>6220</v>
      </c>
      <c r="E226">
        <v>3.17</v>
      </c>
      <c r="F226" t="s">
        <v>50</v>
      </c>
      <c r="G226" t="s">
        <v>137</v>
      </c>
      <c r="H226" t="s">
        <v>136</v>
      </c>
      <c r="I226" s="11">
        <v>46298</v>
      </c>
      <c r="J226" s="12">
        <v>46296</v>
      </c>
      <c r="K226" s="13">
        <f>INDEX(Assumptions!$B$4:$B$23,MATCH(F226,Assumptions!$A$4:$A$23,0))</f>
        <v>1.0869565217391299</v>
      </c>
      <c r="L226" s="14">
        <f t="shared" si="6"/>
        <v>3.4456521739130417</v>
      </c>
      <c r="M226" t="str">
        <f t="shared" si="7"/>
        <v>No</v>
      </c>
    </row>
    <row r="227" spans="1:13" x14ac:dyDescent="0.25">
      <c r="A227">
        <v>339414</v>
      </c>
      <c r="B227" t="s">
        <v>872</v>
      </c>
      <c r="C227" t="s">
        <v>873</v>
      </c>
      <c r="D227" t="s">
        <v>6220</v>
      </c>
      <c r="E227">
        <v>3.87</v>
      </c>
      <c r="F227" t="s">
        <v>50</v>
      </c>
      <c r="G227" t="s">
        <v>137</v>
      </c>
      <c r="H227" t="s">
        <v>136</v>
      </c>
      <c r="I227" s="11">
        <v>46298</v>
      </c>
      <c r="J227" s="12">
        <v>46296</v>
      </c>
      <c r="K227" s="13">
        <f>INDEX(Assumptions!$B$4:$B$23,MATCH(F227,Assumptions!$A$4:$A$23,0))</f>
        <v>1.0869565217391299</v>
      </c>
      <c r="L227" s="14">
        <f t="shared" si="6"/>
        <v>4.2065217391304328</v>
      </c>
      <c r="M227" t="str">
        <f t="shared" si="7"/>
        <v>No</v>
      </c>
    </row>
    <row r="228" spans="1:13" x14ac:dyDescent="0.25">
      <c r="A228">
        <v>339413</v>
      </c>
      <c r="B228" t="s">
        <v>876</v>
      </c>
      <c r="C228" t="s">
        <v>877</v>
      </c>
      <c r="D228" t="s">
        <v>6220</v>
      </c>
      <c r="E228">
        <v>2.9</v>
      </c>
      <c r="F228" t="s">
        <v>50</v>
      </c>
      <c r="G228" t="s">
        <v>137</v>
      </c>
      <c r="H228" t="s">
        <v>136</v>
      </c>
      <c r="I228" s="11">
        <v>46298</v>
      </c>
      <c r="J228" s="12">
        <v>46296</v>
      </c>
      <c r="K228" s="13">
        <f>INDEX(Assumptions!$B$4:$B$23,MATCH(F228,Assumptions!$A$4:$A$23,0))</f>
        <v>1.0869565217391299</v>
      </c>
      <c r="L228" s="14">
        <f t="shared" si="6"/>
        <v>3.1521739130434767</v>
      </c>
      <c r="M228" t="str">
        <f t="shared" si="7"/>
        <v>No</v>
      </c>
    </row>
    <row r="229" spans="1:13" x14ac:dyDescent="0.25">
      <c r="A229">
        <v>339412</v>
      </c>
      <c r="B229" t="s">
        <v>880</v>
      </c>
      <c r="C229" t="s">
        <v>881</v>
      </c>
      <c r="D229" t="s">
        <v>6220</v>
      </c>
      <c r="E229">
        <v>1.58</v>
      </c>
      <c r="F229" t="s">
        <v>50</v>
      </c>
      <c r="G229" t="s">
        <v>137</v>
      </c>
      <c r="H229" t="s">
        <v>136</v>
      </c>
      <c r="I229" s="11">
        <v>46298</v>
      </c>
      <c r="J229" s="12">
        <v>46296</v>
      </c>
      <c r="K229" s="13">
        <f>INDEX(Assumptions!$B$4:$B$23,MATCH(F229,Assumptions!$A$4:$A$23,0))</f>
        <v>1.0869565217391299</v>
      </c>
      <c r="L229" s="14">
        <f t="shared" si="6"/>
        <v>1.7173913043478253</v>
      </c>
      <c r="M229" t="str">
        <f t="shared" si="7"/>
        <v>No</v>
      </c>
    </row>
    <row r="230" spans="1:13" x14ac:dyDescent="0.25">
      <c r="A230">
        <v>339411</v>
      </c>
      <c r="B230" t="s">
        <v>884</v>
      </c>
      <c r="C230" t="s">
        <v>6221</v>
      </c>
      <c r="D230" t="s">
        <v>6220</v>
      </c>
      <c r="E230">
        <v>13.9</v>
      </c>
      <c r="F230" t="s">
        <v>123</v>
      </c>
      <c r="G230" t="s">
        <v>125</v>
      </c>
      <c r="H230" t="s">
        <v>124</v>
      </c>
      <c r="I230" s="11">
        <v>46271</v>
      </c>
      <c r="J230" s="12">
        <v>46266</v>
      </c>
      <c r="K230" s="13">
        <f>INDEX(Assumptions!$B$4:$B$23,MATCH(F230,Assumptions!$A$4:$A$23,0))</f>
        <v>0.10526315789473679</v>
      </c>
      <c r="L230" s="14">
        <f t="shared" si="6"/>
        <v>1.4631578947368415</v>
      </c>
      <c r="M230" t="str">
        <f t="shared" si="7"/>
        <v>Yes</v>
      </c>
    </row>
    <row r="231" spans="1:13" x14ac:dyDescent="0.25">
      <c r="A231">
        <v>339410</v>
      </c>
      <c r="B231" t="s">
        <v>887</v>
      </c>
      <c r="C231" t="s">
        <v>888</v>
      </c>
      <c r="D231" t="s">
        <v>6220</v>
      </c>
      <c r="E231">
        <v>2.88</v>
      </c>
      <c r="F231" t="s">
        <v>50</v>
      </c>
      <c r="G231" t="s">
        <v>137</v>
      </c>
      <c r="H231" t="s">
        <v>136</v>
      </c>
      <c r="I231" s="11">
        <v>46298</v>
      </c>
      <c r="J231" s="12">
        <v>46296</v>
      </c>
      <c r="K231" s="13">
        <f>INDEX(Assumptions!$B$4:$B$23,MATCH(F231,Assumptions!$A$4:$A$23,0))</f>
        <v>1.0869565217391299</v>
      </c>
      <c r="L231" s="14">
        <f t="shared" si="6"/>
        <v>3.130434782608694</v>
      </c>
      <c r="M231" t="str">
        <f t="shared" si="7"/>
        <v>No</v>
      </c>
    </row>
    <row r="232" spans="1:13" x14ac:dyDescent="0.25">
      <c r="A232">
        <v>339409</v>
      </c>
      <c r="B232" t="s">
        <v>891</v>
      </c>
      <c r="C232" t="s">
        <v>892</v>
      </c>
      <c r="D232" t="s">
        <v>6220</v>
      </c>
      <c r="E232">
        <v>1.35</v>
      </c>
      <c r="F232" t="s">
        <v>50</v>
      </c>
      <c r="G232" t="s">
        <v>137</v>
      </c>
      <c r="H232" t="s">
        <v>136</v>
      </c>
      <c r="I232" s="11">
        <v>46298</v>
      </c>
      <c r="J232" s="12">
        <v>46296</v>
      </c>
      <c r="K232" s="13">
        <f>INDEX(Assumptions!$B$4:$B$23,MATCH(F232,Assumptions!$A$4:$A$23,0))</f>
        <v>1.0869565217391299</v>
      </c>
      <c r="L232" s="14">
        <f t="shared" si="6"/>
        <v>1.4673913043478255</v>
      </c>
      <c r="M232" t="str">
        <f t="shared" si="7"/>
        <v>No</v>
      </c>
    </row>
    <row r="233" spans="1:13" x14ac:dyDescent="0.25">
      <c r="A233">
        <v>339408</v>
      </c>
      <c r="B233" t="s">
        <v>894</v>
      </c>
      <c r="C233" t="s">
        <v>895</v>
      </c>
      <c r="D233" t="s">
        <v>6220</v>
      </c>
      <c r="E233">
        <v>5.69</v>
      </c>
      <c r="F233" t="s">
        <v>50</v>
      </c>
      <c r="G233" t="s">
        <v>137</v>
      </c>
      <c r="H233" t="s">
        <v>136</v>
      </c>
      <c r="I233" s="11">
        <v>46298</v>
      </c>
      <c r="J233" s="12">
        <v>46296</v>
      </c>
      <c r="K233" s="13">
        <f>INDEX(Assumptions!$B$4:$B$23,MATCH(F233,Assumptions!$A$4:$A$23,0))</f>
        <v>1.0869565217391299</v>
      </c>
      <c r="L233" s="14">
        <f t="shared" si="6"/>
        <v>6.1847826086956497</v>
      </c>
      <c r="M233" t="str">
        <f t="shared" si="7"/>
        <v>No</v>
      </c>
    </row>
    <row r="234" spans="1:13" x14ac:dyDescent="0.25">
      <c r="A234">
        <v>339407</v>
      </c>
      <c r="B234" t="s">
        <v>898</v>
      </c>
      <c r="C234" t="s">
        <v>899</v>
      </c>
      <c r="D234" t="s">
        <v>6220</v>
      </c>
      <c r="E234">
        <v>2.2400000000000002</v>
      </c>
      <c r="F234" t="s">
        <v>50</v>
      </c>
      <c r="G234" t="s">
        <v>137</v>
      </c>
      <c r="H234" t="s">
        <v>136</v>
      </c>
      <c r="I234" s="11">
        <v>46298</v>
      </c>
      <c r="J234" s="12">
        <v>46296</v>
      </c>
      <c r="K234" s="13">
        <f>INDEX(Assumptions!$B$4:$B$23,MATCH(F234,Assumptions!$A$4:$A$23,0))</f>
        <v>1.0869565217391299</v>
      </c>
      <c r="L234" s="14">
        <f t="shared" si="6"/>
        <v>2.4347826086956514</v>
      </c>
      <c r="M234" t="str">
        <f t="shared" si="7"/>
        <v>No</v>
      </c>
    </row>
    <row r="235" spans="1:13" x14ac:dyDescent="0.25">
      <c r="A235">
        <v>339406</v>
      </c>
      <c r="B235" t="s">
        <v>901</v>
      </c>
      <c r="C235" t="s">
        <v>902</v>
      </c>
      <c r="D235" t="s">
        <v>6220</v>
      </c>
      <c r="E235">
        <v>3.27</v>
      </c>
      <c r="F235" t="s">
        <v>50</v>
      </c>
      <c r="G235" t="s">
        <v>137</v>
      </c>
      <c r="H235" t="s">
        <v>136</v>
      </c>
      <c r="I235" s="11">
        <v>46298</v>
      </c>
      <c r="J235" s="12">
        <v>46296</v>
      </c>
      <c r="K235" s="13">
        <f>INDEX(Assumptions!$B$4:$B$23,MATCH(F235,Assumptions!$A$4:$A$23,0))</f>
        <v>1.0869565217391299</v>
      </c>
      <c r="L235" s="14">
        <f t="shared" si="6"/>
        <v>3.5543478260869548</v>
      </c>
      <c r="M235" t="str">
        <f t="shared" si="7"/>
        <v>No</v>
      </c>
    </row>
    <row r="236" spans="1:13" x14ac:dyDescent="0.25">
      <c r="A236">
        <v>339405</v>
      </c>
      <c r="B236" t="s">
        <v>905</v>
      </c>
      <c r="C236" t="s">
        <v>906</v>
      </c>
      <c r="D236" t="s">
        <v>6220</v>
      </c>
      <c r="E236">
        <v>0.76</v>
      </c>
      <c r="F236" t="s">
        <v>50</v>
      </c>
      <c r="G236" t="s">
        <v>137</v>
      </c>
      <c r="H236" t="s">
        <v>136</v>
      </c>
      <c r="I236" s="11">
        <v>46298</v>
      </c>
      <c r="J236" s="12">
        <v>46296</v>
      </c>
      <c r="K236" s="13">
        <f>INDEX(Assumptions!$B$4:$B$23,MATCH(F236,Assumptions!$A$4:$A$23,0))</f>
        <v>1.0869565217391299</v>
      </c>
      <c r="L236" s="14">
        <f t="shared" si="6"/>
        <v>0.8260869565217388</v>
      </c>
      <c r="M236" t="str">
        <f t="shared" si="7"/>
        <v>No</v>
      </c>
    </row>
    <row r="237" spans="1:13" x14ac:dyDescent="0.25">
      <c r="A237">
        <v>339404</v>
      </c>
      <c r="B237" t="s">
        <v>909</v>
      </c>
      <c r="C237" t="s">
        <v>910</v>
      </c>
      <c r="D237" t="s">
        <v>6220</v>
      </c>
      <c r="E237">
        <v>3.45</v>
      </c>
      <c r="F237" t="s">
        <v>50</v>
      </c>
      <c r="G237" t="s">
        <v>137</v>
      </c>
      <c r="H237" t="s">
        <v>136</v>
      </c>
      <c r="I237" s="11">
        <v>46298</v>
      </c>
      <c r="J237" s="12">
        <v>46296</v>
      </c>
      <c r="K237" s="13">
        <f>INDEX(Assumptions!$B$4:$B$23,MATCH(F237,Assumptions!$A$4:$A$23,0))</f>
        <v>1.0869565217391299</v>
      </c>
      <c r="L237" s="14">
        <f t="shared" si="6"/>
        <v>3.7499999999999987</v>
      </c>
      <c r="M237" t="str">
        <f t="shared" si="7"/>
        <v>No</v>
      </c>
    </row>
    <row r="238" spans="1:13" x14ac:dyDescent="0.25">
      <c r="A238">
        <v>339403</v>
      </c>
      <c r="B238" t="s">
        <v>913</v>
      </c>
      <c r="C238" t="s">
        <v>914</v>
      </c>
      <c r="D238" t="s">
        <v>6220</v>
      </c>
      <c r="E238">
        <v>1.99</v>
      </c>
      <c r="F238" t="s">
        <v>50</v>
      </c>
      <c r="G238" t="s">
        <v>137</v>
      </c>
      <c r="H238" t="s">
        <v>136</v>
      </c>
      <c r="I238" s="11">
        <v>46298</v>
      </c>
      <c r="J238" s="12">
        <v>46296</v>
      </c>
      <c r="K238" s="13">
        <f>INDEX(Assumptions!$B$4:$B$23,MATCH(F238,Assumptions!$A$4:$A$23,0))</f>
        <v>1.0869565217391299</v>
      </c>
      <c r="L238" s="14">
        <f t="shared" si="6"/>
        <v>2.1630434782608687</v>
      </c>
      <c r="M238" t="str">
        <f t="shared" si="7"/>
        <v>No</v>
      </c>
    </row>
    <row r="239" spans="1:13" x14ac:dyDescent="0.25">
      <c r="A239">
        <v>339402</v>
      </c>
      <c r="B239" t="s">
        <v>916</v>
      </c>
      <c r="C239" t="s">
        <v>6221</v>
      </c>
      <c r="D239" t="s">
        <v>6220</v>
      </c>
      <c r="E239">
        <v>13.9</v>
      </c>
      <c r="F239" t="s">
        <v>123</v>
      </c>
      <c r="G239" t="s">
        <v>125</v>
      </c>
      <c r="H239" t="s">
        <v>124</v>
      </c>
      <c r="I239" s="11">
        <v>46271</v>
      </c>
      <c r="J239" s="12">
        <v>46266</v>
      </c>
      <c r="K239" s="13">
        <f>INDEX(Assumptions!$B$4:$B$23,MATCH(F239,Assumptions!$A$4:$A$23,0))</f>
        <v>0.10526315789473679</v>
      </c>
      <c r="L239" s="14">
        <f t="shared" si="6"/>
        <v>1.4631578947368415</v>
      </c>
      <c r="M239" t="str">
        <f t="shared" si="7"/>
        <v>Yes</v>
      </c>
    </row>
    <row r="240" spans="1:13" x14ac:dyDescent="0.25">
      <c r="A240">
        <v>339401</v>
      </c>
      <c r="B240" t="s">
        <v>918</v>
      </c>
      <c r="C240" t="s">
        <v>919</v>
      </c>
      <c r="D240" t="s">
        <v>6220</v>
      </c>
      <c r="E240">
        <v>1.8</v>
      </c>
      <c r="F240" t="s">
        <v>50</v>
      </c>
      <c r="G240" t="s">
        <v>137</v>
      </c>
      <c r="H240" t="s">
        <v>136</v>
      </c>
      <c r="I240" s="11">
        <v>46298</v>
      </c>
      <c r="J240" s="12">
        <v>46296</v>
      </c>
      <c r="K240" s="13">
        <f>INDEX(Assumptions!$B$4:$B$23,MATCH(F240,Assumptions!$A$4:$A$23,0))</f>
        <v>1.0869565217391299</v>
      </c>
      <c r="L240" s="14">
        <f t="shared" si="6"/>
        <v>1.9565217391304339</v>
      </c>
      <c r="M240" t="str">
        <f t="shared" si="7"/>
        <v>No</v>
      </c>
    </row>
    <row r="241" spans="1:13" x14ac:dyDescent="0.25">
      <c r="A241">
        <v>339400</v>
      </c>
      <c r="B241" t="s">
        <v>921</v>
      </c>
      <c r="C241" t="s">
        <v>922</v>
      </c>
      <c r="D241" t="s">
        <v>6220</v>
      </c>
      <c r="E241">
        <v>3.16</v>
      </c>
      <c r="F241" t="s">
        <v>50</v>
      </c>
      <c r="G241" t="s">
        <v>137</v>
      </c>
      <c r="H241" t="s">
        <v>136</v>
      </c>
      <c r="I241" s="11">
        <v>46298</v>
      </c>
      <c r="J241" s="12">
        <v>46296</v>
      </c>
      <c r="K241" s="13">
        <f>INDEX(Assumptions!$B$4:$B$23,MATCH(F241,Assumptions!$A$4:$A$23,0))</f>
        <v>1.0869565217391299</v>
      </c>
      <c r="L241" s="14">
        <f t="shared" si="6"/>
        <v>3.4347826086956506</v>
      </c>
      <c r="M241" t="str">
        <f t="shared" si="7"/>
        <v>No</v>
      </c>
    </row>
    <row r="242" spans="1:13" x14ac:dyDescent="0.25">
      <c r="A242">
        <v>339399</v>
      </c>
      <c r="B242" t="s">
        <v>925</v>
      </c>
      <c r="C242" t="s">
        <v>926</v>
      </c>
      <c r="D242" t="s">
        <v>6220</v>
      </c>
      <c r="E242">
        <v>1.8</v>
      </c>
      <c r="F242" t="s">
        <v>50</v>
      </c>
      <c r="G242" t="s">
        <v>137</v>
      </c>
      <c r="H242" t="s">
        <v>136</v>
      </c>
      <c r="I242" s="11">
        <v>46298</v>
      </c>
      <c r="J242" s="12">
        <v>46296</v>
      </c>
      <c r="K242" s="13">
        <f>INDEX(Assumptions!$B$4:$B$23,MATCH(F242,Assumptions!$A$4:$A$23,0))</f>
        <v>1.0869565217391299</v>
      </c>
      <c r="L242" s="14">
        <f t="shared" si="6"/>
        <v>1.9565217391304339</v>
      </c>
      <c r="M242" t="str">
        <f t="shared" si="7"/>
        <v>No</v>
      </c>
    </row>
    <row r="243" spans="1:13" x14ac:dyDescent="0.25">
      <c r="A243">
        <v>339398</v>
      </c>
      <c r="B243" t="s">
        <v>928</v>
      </c>
      <c r="C243" t="s">
        <v>6221</v>
      </c>
      <c r="D243" t="s">
        <v>6220</v>
      </c>
      <c r="E243">
        <v>5.9</v>
      </c>
      <c r="F243" t="s">
        <v>123</v>
      </c>
      <c r="G243" t="s">
        <v>125</v>
      </c>
      <c r="H243" t="s">
        <v>124</v>
      </c>
      <c r="I243" s="11">
        <v>46271</v>
      </c>
      <c r="J243" s="12">
        <v>46266</v>
      </c>
      <c r="K243" s="13">
        <f>INDEX(Assumptions!$B$4:$B$23,MATCH(F243,Assumptions!$A$4:$A$23,0))</f>
        <v>0.10526315789473679</v>
      </c>
      <c r="L243" s="14">
        <f t="shared" si="6"/>
        <v>0.62105263157894708</v>
      </c>
      <c r="M243" t="str">
        <f t="shared" si="7"/>
        <v>Yes</v>
      </c>
    </row>
    <row r="244" spans="1:13" x14ac:dyDescent="0.25">
      <c r="A244">
        <v>339397</v>
      </c>
      <c r="B244" t="s">
        <v>931</v>
      </c>
      <c r="C244" t="s">
        <v>6221</v>
      </c>
      <c r="D244" t="s">
        <v>6220</v>
      </c>
      <c r="E244">
        <v>14.66</v>
      </c>
      <c r="F244" t="s">
        <v>123</v>
      </c>
      <c r="G244" t="s">
        <v>125</v>
      </c>
      <c r="H244" t="s">
        <v>124</v>
      </c>
      <c r="I244" s="11">
        <v>46271</v>
      </c>
      <c r="J244" s="12">
        <v>46266</v>
      </c>
      <c r="K244" s="13">
        <f>INDEX(Assumptions!$B$4:$B$23,MATCH(F244,Assumptions!$A$4:$A$23,0))</f>
        <v>0.10526315789473679</v>
      </c>
      <c r="L244" s="14">
        <f t="shared" si="6"/>
        <v>1.5431578947368414</v>
      </c>
      <c r="M244" t="str">
        <f t="shared" si="7"/>
        <v>Yes</v>
      </c>
    </row>
    <row r="245" spans="1:13" x14ac:dyDescent="0.25">
      <c r="A245">
        <v>339396</v>
      </c>
      <c r="B245" t="s">
        <v>934</v>
      </c>
      <c r="C245" t="s">
        <v>6221</v>
      </c>
      <c r="D245" t="s">
        <v>6220</v>
      </c>
      <c r="E245">
        <v>14.66</v>
      </c>
      <c r="F245" t="s">
        <v>123</v>
      </c>
      <c r="G245" t="s">
        <v>125</v>
      </c>
      <c r="H245" t="s">
        <v>124</v>
      </c>
      <c r="I245" s="11">
        <v>46271</v>
      </c>
      <c r="J245" s="12">
        <v>46266</v>
      </c>
      <c r="K245" s="13">
        <f>INDEX(Assumptions!$B$4:$B$23,MATCH(F245,Assumptions!$A$4:$A$23,0))</f>
        <v>0.10526315789473679</v>
      </c>
      <c r="L245" s="14">
        <f t="shared" si="6"/>
        <v>1.5431578947368414</v>
      </c>
      <c r="M245" t="str">
        <f t="shared" si="7"/>
        <v>Yes</v>
      </c>
    </row>
    <row r="246" spans="1:13" x14ac:dyDescent="0.25">
      <c r="A246">
        <v>339395</v>
      </c>
      <c r="B246" t="s">
        <v>936</v>
      </c>
      <c r="C246" t="s">
        <v>6221</v>
      </c>
      <c r="D246" t="s">
        <v>6220</v>
      </c>
      <c r="E246">
        <v>1390</v>
      </c>
      <c r="F246" t="s">
        <v>938</v>
      </c>
      <c r="G246" t="s">
        <v>940</v>
      </c>
      <c r="H246" t="s">
        <v>939</v>
      </c>
      <c r="I246" s="11">
        <v>46298</v>
      </c>
      <c r="J246" s="12">
        <v>46296</v>
      </c>
      <c r="K246" s="13">
        <f>INDEX(Assumptions!$B$4:$B$23,MATCH(F246,Assumptions!$A$4:$A$23,0))</f>
        <v>1.063829787234043E-3</v>
      </c>
      <c r="L246" s="14">
        <f t="shared" si="6"/>
        <v>1.4787234042553197</v>
      </c>
      <c r="M246" t="str">
        <f t="shared" si="7"/>
        <v>Yes</v>
      </c>
    </row>
    <row r="247" spans="1:13" x14ac:dyDescent="0.25">
      <c r="A247">
        <v>339394</v>
      </c>
      <c r="B247" t="s">
        <v>942</v>
      </c>
      <c r="C247" t="s">
        <v>6221</v>
      </c>
      <c r="D247" t="s">
        <v>6220</v>
      </c>
      <c r="E247">
        <v>2.79</v>
      </c>
      <c r="F247" t="s">
        <v>50</v>
      </c>
      <c r="G247" t="s">
        <v>945</v>
      </c>
      <c r="H247" t="s">
        <v>944</v>
      </c>
      <c r="I247" s="11">
        <v>46293</v>
      </c>
      <c r="J247" s="12">
        <v>46266</v>
      </c>
      <c r="K247" s="13">
        <f>INDEX(Assumptions!$B$4:$B$23,MATCH(F247,Assumptions!$A$4:$A$23,0))</f>
        <v>1.0869565217391299</v>
      </c>
      <c r="L247" s="14">
        <f t="shared" si="6"/>
        <v>3.0326086956521725</v>
      </c>
      <c r="M247" t="str">
        <f t="shared" si="7"/>
        <v>Yes</v>
      </c>
    </row>
    <row r="248" spans="1:13" x14ac:dyDescent="0.25">
      <c r="A248">
        <v>339393</v>
      </c>
      <c r="B248" t="s">
        <v>948</v>
      </c>
      <c r="C248" t="s">
        <v>6221</v>
      </c>
      <c r="D248" t="s">
        <v>6220</v>
      </c>
      <c r="E248">
        <v>1.79</v>
      </c>
      <c r="F248" t="s">
        <v>949</v>
      </c>
      <c r="G248" t="s">
        <v>945</v>
      </c>
      <c r="H248" t="s">
        <v>950</v>
      </c>
      <c r="I248" s="11">
        <v>46298</v>
      </c>
      <c r="J248" s="12">
        <v>46296</v>
      </c>
      <c r="K248" s="13">
        <f>INDEX(Assumptions!$B$4:$B$23,MATCH(F248,Assumptions!$A$4:$A$23,0))</f>
        <v>1.265822784810126</v>
      </c>
      <c r="L248" s="14">
        <f t="shared" si="6"/>
        <v>2.2658227848101258</v>
      </c>
      <c r="M248" t="str">
        <f t="shared" si="7"/>
        <v>Yes</v>
      </c>
    </row>
    <row r="249" spans="1:13" x14ac:dyDescent="0.25">
      <c r="A249">
        <v>339392</v>
      </c>
      <c r="B249" t="s">
        <v>952</v>
      </c>
      <c r="C249" t="s">
        <v>6221</v>
      </c>
      <c r="D249" t="s">
        <v>6220</v>
      </c>
      <c r="E249">
        <v>13.15</v>
      </c>
      <c r="F249" t="s">
        <v>50</v>
      </c>
      <c r="G249" t="s">
        <v>955</v>
      </c>
      <c r="H249" t="s">
        <v>954</v>
      </c>
      <c r="I249" s="11">
        <v>46288</v>
      </c>
      <c r="J249" s="12">
        <v>46266</v>
      </c>
      <c r="K249" s="13">
        <f>INDEX(Assumptions!$B$4:$B$23,MATCH(F249,Assumptions!$A$4:$A$23,0))</f>
        <v>1.0869565217391299</v>
      </c>
      <c r="L249" s="14">
        <f t="shared" si="6"/>
        <v>14.293478260869559</v>
      </c>
      <c r="M249" t="str">
        <f t="shared" si="7"/>
        <v>Yes</v>
      </c>
    </row>
    <row r="250" spans="1:13" x14ac:dyDescent="0.25">
      <c r="A250">
        <v>339391</v>
      </c>
      <c r="B250" t="s">
        <v>958</v>
      </c>
      <c r="C250" t="s">
        <v>959</v>
      </c>
      <c r="D250" t="s">
        <v>6220</v>
      </c>
      <c r="E250">
        <v>3.29</v>
      </c>
      <c r="F250" t="s">
        <v>50</v>
      </c>
      <c r="G250" t="s">
        <v>961</v>
      </c>
      <c r="H250" t="s">
        <v>960</v>
      </c>
      <c r="I250" s="11">
        <v>46298</v>
      </c>
      <c r="J250" s="12">
        <v>46296</v>
      </c>
      <c r="K250" s="13">
        <f>INDEX(Assumptions!$B$4:$B$23,MATCH(F250,Assumptions!$A$4:$A$23,0))</f>
        <v>1.0869565217391299</v>
      </c>
      <c r="L250" s="14">
        <f t="shared" si="6"/>
        <v>3.5760869565217375</v>
      </c>
      <c r="M250" t="str">
        <f t="shared" si="7"/>
        <v>No</v>
      </c>
    </row>
    <row r="251" spans="1:13" x14ac:dyDescent="0.25">
      <c r="A251">
        <v>339390</v>
      </c>
      <c r="B251" t="s">
        <v>963</v>
      </c>
      <c r="C251" t="s">
        <v>6221</v>
      </c>
      <c r="D251" t="s">
        <v>6220</v>
      </c>
      <c r="E251">
        <v>28.29</v>
      </c>
      <c r="F251" t="s">
        <v>123</v>
      </c>
      <c r="G251" t="s">
        <v>125</v>
      </c>
      <c r="H251" t="s">
        <v>124</v>
      </c>
      <c r="I251" s="11">
        <v>46271</v>
      </c>
      <c r="J251" s="12">
        <v>46266</v>
      </c>
      <c r="K251" s="13">
        <f>INDEX(Assumptions!$B$4:$B$23,MATCH(F251,Assumptions!$A$4:$A$23,0))</f>
        <v>0.10526315789473679</v>
      </c>
      <c r="L251" s="14">
        <f t="shared" si="6"/>
        <v>2.9778947368421038</v>
      </c>
      <c r="M251" t="str">
        <f t="shared" si="7"/>
        <v>Yes</v>
      </c>
    </row>
    <row r="252" spans="1:13" x14ac:dyDescent="0.25">
      <c r="A252">
        <v>339389</v>
      </c>
      <c r="B252" t="s">
        <v>965</v>
      </c>
      <c r="C252" t="s">
        <v>6221</v>
      </c>
      <c r="D252" t="s">
        <v>6220</v>
      </c>
      <c r="E252">
        <v>33.020000000000003</v>
      </c>
      <c r="F252" t="s">
        <v>123</v>
      </c>
      <c r="G252" t="s">
        <v>125</v>
      </c>
      <c r="H252" t="s">
        <v>124</v>
      </c>
      <c r="I252" s="11">
        <v>46271</v>
      </c>
      <c r="J252" s="12">
        <v>46266</v>
      </c>
      <c r="K252" s="13">
        <f>INDEX(Assumptions!$B$4:$B$23,MATCH(F252,Assumptions!$A$4:$A$23,0))</f>
        <v>0.10526315789473679</v>
      </c>
      <c r="L252" s="14">
        <f t="shared" si="6"/>
        <v>3.4757894736842094</v>
      </c>
      <c r="M252" t="str">
        <f t="shared" si="7"/>
        <v>Yes</v>
      </c>
    </row>
    <row r="253" spans="1:13" x14ac:dyDescent="0.25">
      <c r="A253">
        <v>339388</v>
      </c>
      <c r="B253" t="s">
        <v>968</v>
      </c>
      <c r="C253" t="s">
        <v>6221</v>
      </c>
      <c r="D253" t="s">
        <v>6220</v>
      </c>
      <c r="E253">
        <v>33.020000000000003</v>
      </c>
      <c r="F253" t="s">
        <v>123</v>
      </c>
      <c r="G253" t="s">
        <v>125</v>
      </c>
      <c r="H253" t="s">
        <v>124</v>
      </c>
      <c r="I253" s="11">
        <v>46271</v>
      </c>
      <c r="J253" s="12">
        <v>46266</v>
      </c>
      <c r="K253" s="13">
        <f>INDEX(Assumptions!$B$4:$B$23,MATCH(F253,Assumptions!$A$4:$A$23,0))</f>
        <v>0.10526315789473679</v>
      </c>
      <c r="L253" s="14">
        <f t="shared" si="6"/>
        <v>3.4757894736842094</v>
      </c>
      <c r="M253" t="str">
        <f t="shared" si="7"/>
        <v>Yes</v>
      </c>
    </row>
    <row r="254" spans="1:13" x14ac:dyDescent="0.25">
      <c r="A254">
        <v>339387</v>
      </c>
      <c r="B254" t="s">
        <v>970</v>
      </c>
      <c r="C254" t="s">
        <v>971</v>
      </c>
      <c r="D254" t="s">
        <v>6220</v>
      </c>
      <c r="E254">
        <v>3.74</v>
      </c>
      <c r="F254" t="s">
        <v>50</v>
      </c>
      <c r="G254" t="s">
        <v>961</v>
      </c>
      <c r="H254" t="s">
        <v>973</v>
      </c>
      <c r="I254" s="11">
        <v>46298</v>
      </c>
      <c r="J254" s="12">
        <v>46296</v>
      </c>
      <c r="K254" s="13">
        <f>INDEX(Assumptions!$B$4:$B$23,MATCH(F254,Assumptions!$A$4:$A$23,0))</f>
        <v>1.0869565217391299</v>
      </c>
      <c r="L254" s="14">
        <f t="shared" si="6"/>
        <v>4.0652173913043459</v>
      </c>
      <c r="M254" t="str">
        <f t="shared" si="7"/>
        <v>No</v>
      </c>
    </row>
    <row r="255" spans="1:13" x14ac:dyDescent="0.25">
      <c r="A255">
        <v>339386</v>
      </c>
      <c r="B255" t="s">
        <v>975</v>
      </c>
      <c r="C255" t="s">
        <v>976</v>
      </c>
      <c r="D255" t="s">
        <v>6220</v>
      </c>
      <c r="E255">
        <v>3.97</v>
      </c>
      <c r="F255" t="s">
        <v>50</v>
      </c>
      <c r="G255" t="s">
        <v>961</v>
      </c>
      <c r="H255" t="s">
        <v>973</v>
      </c>
      <c r="I255" s="11">
        <v>46298</v>
      </c>
      <c r="J255" s="12">
        <v>46296</v>
      </c>
      <c r="K255" s="13">
        <f>INDEX(Assumptions!$B$4:$B$23,MATCH(F255,Assumptions!$A$4:$A$23,0))</f>
        <v>1.0869565217391299</v>
      </c>
      <c r="L255" s="14">
        <f t="shared" si="6"/>
        <v>4.3152173913043459</v>
      </c>
      <c r="M255" t="str">
        <f t="shared" si="7"/>
        <v>No</v>
      </c>
    </row>
    <row r="256" spans="1:13" x14ac:dyDescent="0.25">
      <c r="A256">
        <v>339385</v>
      </c>
      <c r="B256" t="s">
        <v>979</v>
      </c>
      <c r="C256" t="s">
        <v>980</v>
      </c>
      <c r="D256" t="s">
        <v>6220</v>
      </c>
      <c r="E256">
        <v>3.95</v>
      </c>
      <c r="F256" t="s">
        <v>50</v>
      </c>
      <c r="G256" t="s">
        <v>961</v>
      </c>
      <c r="H256" t="s">
        <v>973</v>
      </c>
      <c r="I256" s="11">
        <v>46298</v>
      </c>
      <c r="J256" s="12">
        <v>46296</v>
      </c>
      <c r="K256" s="13">
        <f>INDEX(Assumptions!$B$4:$B$23,MATCH(F256,Assumptions!$A$4:$A$23,0))</f>
        <v>1.0869565217391299</v>
      </c>
      <c r="L256" s="14">
        <f t="shared" si="6"/>
        <v>4.2934782608695636</v>
      </c>
      <c r="M256" t="str">
        <f t="shared" si="7"/>
        <v>No</v>
      </c>
    </row>
    <row r="257" spans="1:13" x14ac:dyDescent="0.25">
      <c r="A257">
        <v>339384</v>
      </c>
      <c r="B257" t="s">
        <v>983</v>
      </c>
      <c r="C257" t="s">
        <v>984</v>
      </c>
      <c r="D257" t="s">
        <v>6220</v>
      </c>
      <c r="E257">
        <v>4.55</v>
      </c>
      <c r="F257" t="s">
        <v>50</v>
      </c>
      <c r="G257" t="s">
        <v>961</v>
      </c>
      <c r="H257" t="s">
        <v>973</v>
      </c>
      <c r="I257" s="11">
        <v>46298</v>
      </c>
      <c r="J257" s="12">
        <v>46296</v>
      </c>
      <c r="K257" s="13">
        <f>INDEX(Assumptions!$B$4:$B$23,MATCH(F257,Assumptions!$A$4:$A$23,0))</f>
        <v>1.0869565217391299</v>
      </c>
      <c r="L257" s="14">
        <f t="shared" si="6"/>
        <v>4.9456521739130412</v>
      </c>
      <c r="M257" t="str">
        <f t="shared" si="7"/>
        <v>No</v>
      </c>
    </row>
    <row r="258" spans="1:13" x14ac:dyDescent="0.25">
      <c r="A258">
        <v>339383</v>
      </c>
      <c r="B258" t="s">
        <v>987</v>
      </c>
      <c r="C258" t="s">
        <v>6221</v>
      </c>
      <c r="D258" t="s">
        <v>6220</v>
      </c>
      <c r="E258">
        <v>2.59</v>
      </c>
      <c r="F258" t="s">
        <v>50</v>
      </c>
      <c r="G258" t="s">
        <v>961</v>
      </c>
      <c r="H258" t="s">
        <v>960</v>
      </c>
      <c r="I258" s="11">
        <v>46298</v>
      </c>
      <c r="J258" s="12">
        <v>46296</v>
      </c>
      <c r="K258" s="13">
        <f>INDEX(Assumptions!$B$4:$B$23,MATCH(F258,Assumptions!$A$4:$A$23,0))</f>
        <v>1.0869565217391299</v>
      </c>
      <c r="L258" s="14">
        <f t="shared" ref="L258:L321" si="8">E258*K258</f>
        <v>2.8152173913043463</v>
      </c>
      <c r="M258" t="str">
        <f t="shared" ref="M258:M321" si="9">IF(C258="Unnamed product","Yes","No")</f>
        <v>Yes</v>
      </c>
    </row>
    <row r="259" spans="1:13" x14ac:dyDescent="0.25">
      <c r="A259">
        <v>339382</v>
      </c>
      <c r="B259" t="s">
        <v>989</v>
      </c>
      <c r="C259" t="s">
        <v>6221</v>
      </c>
      <c r="D259" t="s">
        <v>6220</v>
      </c>
      <c r="E259">
        <v>3.95</v>
      </c>
      <c r="F259" t="s">
        <v>50</v>
      </c>
      <c r="G259" t="s">
        <v>961</v>
      </c>
      <c r="H259" t="s">
        <v>990</v>
      </c>
      <c r="I259" s="11">
        <v>46298</v>
      </c>
      <c r="J259" s="12">
        <v>46296</v>
      </c>
      <c r="K259" s="13">
        <f>INDEX(Assumptions!$B$4:$B$23,MATCH(F259,Assumptions!$A$4:$A$23,0))</f>
        <v>1.0869565217391299</v>
      </c>
      <c r="L259" s="14">
        <f t="shared" si="8"/>
        <v>4.2934782608695636</v>
      </c>
      <c r="M259" t="str">
        <f t="shared" si="9"/>
        <v>Yes</v>
      </c>
    </row>
    <row r="260" spans="1:13" x14ac:dyDescent="0.25">
      <c r="A260">
        <v>339381</v>
      </c>
      <c r="B260" t="s">
        <v>992</v>
      </c>
      <c r="C260" t="s">
        <v>993</v>
      </c>
      <c r="D260" t="s">
        <v>6220</v>
      </c>
      <c r="E260">
        <v>3.64</v>
      </c>
      <c r="F260" t="s">
        <v>50</v>
      </c>
      <c r="G260" t="s">
        <v>961</v>
      </c>
      <c r="H260" t="s">
        <v>973</v>
      </c>
      <c r="I260" s="11">
        <v>46298</v>
      </c>
      <c r="J260" s="12">
        <v>46296</v>
      </c>
      <c r="K260" s="13">
        <f>INDEX(Assumptions!$B$4:$B$23,MATCH(F260,Assumptions!$A$4:$A$23,0))</f>
        <v>1.0869565217391299</v>
      </c>
      <c r="L260" s="14">
        <f t="shared" si="8"/>
        <v>3.9565217391304333</v>
      </c>
      <c r="M260" t="str">
        <f t="shared" si="9"/>
        <v>No</v>
      </c>
    </row>
    <row r="261" spans="1:13" x14ac:dyDescent="0.25">
      <c r="A261">
        <v>339380</v>
      </c>
      <c r="B261" t="s">
        <v>996</v>
      </c>
      <c r="C261" t="s">
        <v>6221</v>
      </c>
      <c r="D261" t="s">
        <v>6220</v>
      </c>
      <c r="E261">
        <v>3.35</v>
      </c>
      <c r="F261" t="s">
        <v>50</v>
      </c>
      <c r="G261" t="s">
        <v>945</v>
      </c>
      <c r="H261" t="s">
        <v>998</v>
      </c>
      <c r="I261" s="11">
        <v>46298</v>
      </c>
      <c r="J261" s="12">
        <v>46296</v>
      </c>
      <c r="K261" s="13">
        <f>INDEX(Assumptions!$B$4:$B$23,MATCH(F261,Assumptions!$A$4:$A$23,0))</f>
        <v>1.0869565217391299</v>
      </c>
      <c r="L261" s="14">
        <f t="shared" si="8"/>
        <v>3.6413043478260856</v>
      </c>
      <c r="M261" t="str">
        <f t="shared" si="9"/>
        <v>Yes</v>
      </c>
    </row>
    <row r="262" spans="1:13" x14ac:dyDescent="0.25">
      <c r="A262">
        <v>339379</v>
      </c>
      <c r="B262" t="s">
        <v>1000</v>
      </c>
      <c r="C262" t="s">
        <v>1001</v>
      </c>
      <c r="D262" t="s">
        <v>6220</v>
      </c>
      <c r="E262">
        <v>3.39</v>
      </c>
      <c r="F262" t="s">
        <v>50</v>
      </c>
      <c r="G262" t="s">
        <v>961</v>
      </c>
      <c r="H262" t="s">
        <v>973</v>
      </c>
      <c r="I262" s="11">
        <v>46298</v>
      </c>
      <c r="J262" s="12">
        <v>46296</v>
      </c>
      <c r="K262" s="13">
        <f>INDEX(Assumptions!$B$4:$B$23,MATCH(F262,Assumptions!$A$4:$A$23,0))</f>
        <v>1.0869565217391299</v>
      </c>
      <c r="L262" s="14">
        <f t="shared" si="8"/>
        <v>3.6847826086956506</v>
      </c>
      <c r="M262" t="str">
        <f t="shared" si="9"/>
        <v>No</v>
      </c>
    </row>
    <row r="263" spans="1:13" x14ac:dyDescent="0.25">
      <c r="A263">
        <v>339378</v>
      </c>
      <c r="B263" t="s">
        <v>1003</v>
      </c>
      <c r="C263" t="s">
        <v>1004</v>
      </c>
      <c r="D263" t="s">
        <v>6220</v>
      </c>
      <c r="E263">
        <v>3.39</v>
      </c>
      <c r="F263" t="s">
        <v>50</v>
      </c>
      <c r="G263" t="s">
        <v>961</v>
      </c>
      <c r="H263" t="s">
        <v>973</v>
      </c>
      <c r="I263" s="11">
        <v>46298</v>
      </c>
      <c r="J263" s="12">
        <v>46296</v>
      </c>
      <c r="K263" s="13">
        <f>INDEX(Assumptions!$B$4:$B$23,MATCH(F263,Assumptions!$A$4:$A$23,0))</f>
        <v>1.0869565217391299</v>
      </c>
      <c r="L263" s="14">
        <f t="shared" si="8"/>
        <v>3.6847826086956506</v>
      </c>
      <c r="M263" t="str">
        <f t="shared" si="9"/>
        <v>No</v>
      </c>
    </row>
    <row r="264" spans="1:13" x14ac:dyDescent="0.25">
      <c r="A264">
        <v>339377</v>
      </c>
      <c r="B264" t="s">
        <v>1003</v>
      </c>
      <c r="C264" t="s">
        <v>1006</v>
      </c>
      <c r="D264" t="s">
        <v>6220</v>
      </c>
      <c r="E264">
        <v>3.39</v>
      </c>
      <c r="F264" t="s">
        <v>50</v>
      </c>
      <c r="G264" t="s">
        <v>961</v>
      </c>
      <c r="H264" t="s">
        <v>973</v>
      </c>
      <c r="I264" s="11">
        <v>46298</v>
      </c>
      <c r="J264" s="12">
        <v>46296</v>
      </c>
      <c r="K264" s="13">
        <f>INDEX(Assumptions!$B$4:$B$23,MATCH(F264,Assumptions!$A$4:$A$23,0))</f>
        <v>1.0869565217391299</v>
      </c>
      <c r="L264" s="14">
        <f t="shared" si="8"/>
        <v>3.6847826086956506</v>
      </c>
      <c r="M264" t="str">
        <f t="shared" si="9"/>
        <v>No</v>
      </c>
    </row>
    <row r="265" spans="1:13" x14ac:dyDescent="0.25">
      <c r="A265">
        <v>339376</v>
      </c>
      <c r="B265" t="s">
        <v>1008</v>
      </c>
      <c r="C265" t="s">
        <v>6221</v>
      </c>
      <c r="D265" t="s">
        <v>6220</v>
      </c>
      <c r="E265">
        <v>3.59</v>
      </c>
      <c r="F265" t="s">
        <v>50</v>
      </c>
      <c r="G265" t="s">
        <v>961</v>
      </c>
      <c r="H265" t="s">
        <v>990</v>
      </c>
      <c r="I265" s="11">
        <v>46298</v>
      </c>
      <c r="J265" s="12">
        <v>46296</v>
      </c>
      <c r="K265" s="13">
        <f>INDEX(Assumptions!$B$4:$B$23,MATCH(F265,Assumptions!$A$4:$A$23,0))</f>
        <v>1.0869565217391299</v>
      </c>
      <c r="L265" s="14">
        <f t="shared" si="8"/>
        <v>3.9021739130434763</v>
      </c>
      <c r="M265" t="str">
        <f t="shared" si="9"/>
        <v>Yes</v>
      </c>
    </row>
    <row r="266" spans="1:13" x14ac:dyDescent="0.25">
      <c r="A266">
        <v>339375</v>
      </c>
      <c r="B266" t="s">
        <v>1010</v>
      </c>
      <c r="C266" t="s">
        <v>6221</v>
      </c>
      <c r="D266" t="s">
        <v>6220</v>
      </c>
      <c r="E266">
        <v>3.55</v>
      </c>
      <c r="F266" t="s">
        <v>50</v>
      </c>
      <c r="G266" t="s">
        <v>961</v>
      </c>
      <c r="H266" t="s">
        <v>1011</v>
      </c>
      <c r="I266" s="11">
        <v>46298</v>
      </c>
      <c r="J266" s="12">
        <v>46296</v>
      </c>
      <c r="K266" s="13">
        <f>INDEX(Assumptions!$B$4:$B$23,MATCH(F266,Assumptions!$A$4:$A$23,0))</f>
        <v>1.0869565217391299</v>
      </c>
      <c r="L266" s="14">
        <f t="shared" si="8"/>
        <v>3.8586956521739109</v>
      </c>
      <c r="M266" t="str">
        <f t="shared" si="9"/>
        <v>Yes</v>
      </c>
    </row>
    <row r="267" spans="1:13" x14ac:dyDescent="0.25">
      <c r="A267">
        <v>339374</v>
      </c>
      <c r="B267" t="s">
        <v>1013</v>
      </c>
      <c r="C267" t="s">
        <v>6221</v>
      </c>
      <c r="D267" t="s">
        <v>6220</v>
      </c>
      <c r="E267">
        <v>2.95</v>
      </c>
      <c r="F267" t="s">
        <v>50</v>
      </c>
      <c r="G267" t="s">
        <v>961</v>
      </c>
      <c r="H267" t="s">
        <v>1011</v>
      </c>
      <c r="I267" s="11">
        <v>46298</v>
      </c>
      <c r="J267" s="12">
        <v>46296</v>
      </c>
      <c r="K267" s="13">
        <f>INDEX(Assumptions!$B$4:$B$23,MATCH(F267,Assumptions!$A$4:$A$23,0))</f>
        <v>1.0869565217391299</v>
      </c>
      <c r="L267" s="14">
        <f t="shared" si="8"/>
        <v>3.2065217391304337</v>
      </c>
      <c r="M267" t="str">
        <f t="shared" si="9"/>
        <v>Yes</v>
      </c>
    </row>
    <row r="268" spans="1:13" x14ac:dyDescent="0.25">
      <c r="A268">
        <v>339373</v>
      </c>
      <c r="B268" t="s">
        <v>1016</v>
      </c>
      <c r="C268" t="s">
        <v>6221</v>
      </c>
      <c r="D268" t="s">
        <v>6220</v>
      </c>
      <c r="E268">
        <v>2.99</v>
      </c>
      <c r="F268" t="s">
        <v>50</v>
      </c>
      <c r="G268" t="s">
        <v>961</v>
      </c>
      <c r="H268" t="s">
        <v>990</v>
      </c>
      <c r="I268" s="11">
        <v>46298</v>
      </c>
      <c r="J268" s="12">
        <v>46296</v>
      </c>
      <c r="K268" s="13">
        <f>INDEX(Assumptions!$B$4:$B$23,MATCH(F268,Assumptions!$A$4:$A$23,0))</f>
        <v>1.0869565217391299</v>
      </c>
      <c r="L268" s="14">
        <f t="shared" si="8"/>
        <v>3.2499999999999987</v>
      </c>
      <c r="M268" t="str">
        <f t="shared" si="9"/>
        <v>Yes</v>
      </c>
    </row>
    <row r="269" spans="1:13" x14ac:dyDescent="0.25">
      <c r="A269">
        <v>339372</v>
      </c>
      <c r="B269" t="s">
        <v>1018</v>
      </c>
      <c r="C269" t="s">
        <v>1019</v>
      </c>
      <c r="D269" t="s">
        <v>6220</v>
      </c>
      <c r="E269">
        <v>8.2899999999999991</v>
      </c>
      <c r="F269" t="s">
        <v>50</v>
      </c>
      <c r="G269" t="s">
        <v>961</v>
      </c>
      <c r="H269" t="s">
        <v>960</v>
      </c>
      <c r="I269" s="11">
        <v>46298</v>
      </c>
      <c r="J269" s="12">
        <v>46296</v>
      </c>
      <c r="K269" s="13">
        <f>INDEX(Assumptions!$B$4:$B$23,MATCH(F269,Assumptions!$A$4:$A$23,0))</f>
        <v>1.0869565217391299</v>
      </c>
      <c r="L269" s="14">
        <f t="shared" si="8"/>
        <v>9.0108695652173854</v>
      </c>
      <c r="M269" t="str">
        <f t="shared" si="9"/>
        <v>No</v>
      </c>
    </row>
    <row r="270" spans="1:13" x14ac:dyDescent="0.25">
      <c r="A270">
        <v>339371</v>
      </c>
      <c r="B270" t="s">
        <v>1022</v>
      </c>
      <c r="C270" t="s">
        <v>1023</v>
      </c>
      <c r="D270" t="s">
        <v>6220</v>
      </c>
      <c r="E270">
        <v>3.75</v>
      </c>
      <c r="F270" t="s">
        <v>50</v>
      </c>
      <c r="G270" t="s">
        <v>961</v>
      </c>
      <c r="H270" t="s">
        <v>960</v>
      </c>
      <c r="I270" s="11">
        <v>46298</v>
      </c>
      <c r="J270" s="12">
        <v>46296</v>
      </c>
      <c r="K270" s="13">
        <f>INDEX(Assumptions!$B$4:$B$23,MATCH(F270,Assumptions!$A$4:$A$23,0))</f>
        <v>1.0869565217391299</v>
      </c>
      <c r="L270" s="14">
        <f t="shared" si="8"/>
        <v>4.0760869565217375</v>
      </c>
      <c r="M270" t="str">
        <f t="shared" si="9"/>
        <v>No</v>
      </c>
    </row>
    <row r="271" spans="1:13" x14ac:dyDescent="0.25">
      <c r="A271">
        <v>339370</v>
      </c>
      <c r="B271" t="s">
        <v>1026</v>
      </c>
      <c r="C271" t="s">
        <v>1027</v>
      </c>
      <c r="D271" t="s">
        <v>6220</v>
      </c>
      <c r="E271">
        <v>2.5</v>
      </c>
      <c r="F271" t="s">
        <v>50</v>
      </c>
      <c r="G271" t="s">
        <v>961</v>
      </c>
      <c r="H271" t="s">
        <v>960</v>
      </c>
      <c r="I271" s="11">
        <v>46298</v>
      </c>
      <c r="J271" s="12">
        <v>46296</v>
      </c>
      <c r="K271" s="13">
        <f>INDEX(Assumptions!$B$4:$B$23,MATCH(F271,Assumptions!$A$4:$A$23,0))</f>
        <v>1.0869565217391299</v>
      </c>
      <c r="L271" s="14">
        <f t="shared" si="8"/>
        <v>2.7173913043478248</v>
      </c>
      <c r="M271" t="str">
        <f t="shared" si="9"/>
        <v>No</v>
      </c>
    </row>
    <row r="272" spans="1:13" x14ac:dyDescent="0.25">
      <c r="A272">
        <v>339369</v>
      </c>
      <c r="B272" t="s">
        <v>1030</v>
      </c>
      <c r="C272" t="s">
        <v>1031</v>
      </c>
      <c r="D272" t="s">
        <v>6220</v>
      </c>
      <c r="E272">
        <v>3.79</v>
      </c>
      <c r="F272" t="s">
        <v>50</v>
      </c>
      <c r="G272" t="s">
        <v>961</v>
      </c>
      <c r="H272" t="s">
        <v>960</v>
      </c>
      <c r="I272" s="11">
        <v>46298</v>
      </c>
      <c r="J272" s="12">
        <v>46296</v>
      </c>
      <c r="K272" s="13">
        <f>INDEX(Assumptions!$B$4:$B$23,MATCH(F272,Assumptions!$A$4:$A$23,0))</f>
        <v>1.0869565217391299</v>
      </c>
      <c r="L272" s="14">
        <f t="shared" si="8"/>
        <v>4.1195652173913029</v>
      </c>
      <c r="M272" t="str">
        <f t="shared" si="9"/>
        <v>No</v>
      </c>
    </row>
    <row r="273" spans="1:13" x14ac:dyDescent="0.25">
      <c r="A273">
        <v>339368</v>
      </c>
      <c r="B273" t="s">
        <v>1034</v>
      </c>
      <c r="C273" t="s">
        <v>1035</v>
      </c>
      <c r="D273" t="s">
        <v>6220</v>
      </c>
      <c r="E273">
        <v>2.85</v>
      </c>
      <c r="F273" t="s">
        <v>50</v>
      </c>
      <c r="G273" t="s">
        <v>961</v>
      </c>
      <c r="H273" t="s">
        <v>960</v>
      </c>
      <c r="I273" s="11">
        <v>46298</v>
      </c>
      <c r="J273" s="12">
        <v>46296</v>
      </c>
      <c r="K273" s="13">
        <f>INDEX(Assumptions!$B$4:$B$23,MATCH(F273,Assumptions!$A$4:$A$23,0))</f>
        <v>1.0869565217391299</v>
      </c>
      <c r="L273" s="14">
        <f t="shared" si="8"/>
        <v>3.0978260869565206</v>
      </c>
      <c r="M273" t="str">
        <f t="shared" si="9"/>
        <v>No</v>
      </c>
    </row>
    <row r="274" spans="1:13" x14ac:dyDescent="0.25">
      <c r="A274">
        <v>339367</v>
      </c>
      <c r="B274" t="s">
        <v>1038</v>
      </c>
      <c r="C274" t="s">
        <v>1039</v>
      </c>
      <c r="D274" t="s">
        <v>6220</v>
      </c>
      <c r="E274">
        <v>3.65</v>
      </c>
      <c r="F274" t="s">
        <v>50</v>
      </c>
      <c r="G274" t="s">
        <v>961</v>
      </c>
      <c r="H274" t="s">
        <v>960</v>
      </c>
      <c r="I274" s="11">
        <v>46298</v>
      </c>
      <c r="J274" s="12">
        <v>46296</v>
      </c>
      <c r="K274" s="13">
        <f>INDEX(Assumptions!$B$4:$B$23,MATCH(F274,Assumptions!$A$4:$A$23,0))</f>
        <v>1.0869565217391299</v>
      </c>
      <c r="L274" s="14">
        <f t="shared" si="8"/>
        <v>3.9673913043478239</v>
      </c>
      <c r="M274" t="str">
        <f t="shared" si="9"/>
        <v>No</v>
      </c>
    </row>
    <row r="275" spans="1:13" x14ac:dyDescent="0.25">
      <c r="A275">
        <v>339366</v>
      </c>
      <c r="B275" t="s">
        <v>1042</v>
      </c>
      <c r="C275" t="s">
        <v>1043</v>
      </c>
      <c r="D275" t="s">
        <v>6220</v>
      </c>
      <c r="E275">
        <v>3.35</v>
      </c>
      <c r="F275" t="s">
        <v>50</v>
      </c>
      <c r="G275" t="s">
        <v>961</v>
      </c>
      <c r="H275" t="s">
        <v>960</v>
      </c>
      <c r="I275" s="11">
        <v>46298</v>
      </c>
      <c r="J275" s="12">
        <v>46296</v>
      </c>
      <c r="K275" s="13">
        <f>INDEX(Assumptions!$B$4:$B$23,MATCH(F275,Assumptions!$A$4:$A$23,0))</f>
        <v>1.0869565217391299</v>
      </c>
      <c r="L275" s="14">
        <f t="shared" si="8"/>
        <v>3.6413043478260856</v>
      </c>
      <c r="M275" t="str">
        <f t="shared" si="9"/>
        <v>No</v>
      </c>
    </row>
    <row r="276" spans="1:13" x14ac:dyDescent="0.25">
      <c r="A276">
        <v>339365</v>
      </c>
      <c r="B276" t="s">
        <v>1045</v>
      </c>
      <c r="C276" t="s">
        <v>1046</v>
      </c>
      <c r="D276" t="s">
        <v>6220</v>
      </c>
      <c r="E276">
        <v>4.79</v>
      </c>
      <c r="F276" t="s">
        <v>50</v>
      </c>
      <c r="G276" t="s">
        <v>961</v>
      </c>
      <c r="H276" t="s">
        <v>960</v>
      </c>
      <c r="I276" s="11">
        <v>46298</v>
      </c>
      <c r="J276" s="12">
        <v>46296</v>
      </c>
      <c r="K276" s="13">
        <f>INDEX(Assumptions!$B$4:$B$23,MATCH(F276,Assumptions!$A$4:$A$23,0))</f>
        <v>1.0869565217391299</v>
      </c>
      <c r="L276" s="14">
        <f t="shared" si="8"/>
        <v>5.2065217391304328</v>
      </c>
      <c r="M276" t="str">
        <f t="shared" si="9"/>
        <v>No</v>
      </c>
    </row>
    <row r="277" spans="1:13" x14ac:dyDescent="0.25">
      <c r="A277">
        <v>339364</v>
      </c>
      <c r="B277" t="s">
        <v>1049</v>
      </c>
      <c r="C277" t="s">
        <v>1050</v>
      </c>
      <c r="D277" t="s">
        <v>6220</v>
      </c>
      <c r="E277">
        <v>3.45</v>
      </c>
      <c r="F277" t="s">
        <v>50</v>
      </c>
      <c r="G277" t="s">
        <v>961</v>
      </c>
      <c r="H277" t="s">
        <v>960</v>
      </c>
      <c r="I277" s="11">
        <v>46298</v>
      </c>
      <c r="J277" s="12">
        <v>46296</v>
      </c>
      <c r="K277" s="13">
        <f>INDEX(Assumptions!$B$4:$B$23,MATCH(F277,Assumptions!$A$4:$A$23,0))</f>
        <v>1.0869565217391299</v>
      </c>
      <c r="L277" s="14">
        <f t="shared" si="8"/>
        <v>3.7499999999999987</v>
      </c>
      <c r="M277" t="str">
        <f t="shared" si="9"/>
        <v>No</v>
      </c>
    </row>
    <row r="278" spans="1:13" x14ac:dyDescent="0.25">
      <c r="A278">
        <v>339363</v>
      </c>
      <c r="B278" t="s">
        <v>1052</v>
      </c>
      <c r="C278" t="s">
        <v>1053</v>
      </c>
      <c r="D278" t="s">
        <v>6220</v>
      </c>
      <c r="E278">
        <v>2.75</v>
      </c>
      <c r="F278" t="s">
        <v>50</v>
      </c>
      <c r="G278" t="s">
        <v>961</v>
      </c>
      <c r="H278" t="s">
        <v>960</v>
      </c>
      <c r="I278" s="11">
        <v>46298</v>
      </c>
      <c r="J278" s="12">
        <v>46296</v>
      </c>
      <c r="K278" s="13">
        <f>INDEX(Assumptions!$B$4:$B$23,MATCH(F278,Assumptions!$A$4:$A$23,0))</f>
        <v>1.0869565217391299</v>
      </c>
      <c r="L278" s="14">
        <f t="shared" si="8"/>
        <v>2.9891304347826075</v>
      </c>
      <c r="M278" t="str">
        <f t="shared" si="9"/>
        <v>No</v>
      </c>
    </row>
    <row r="279" spans="1:13" x14ac:dyDescent="0.25">
      <c r="A279">
        <v>339362</v>
      </c>
      <c r="B279" t="s">
        <v>1052</v>
      </c>
      <c r="C279" t="s">
        <v>1053</v>
      </c>
      <c r="D279" t="s">
        <v>6220</v>
      </c>
      <c r="E279">
        <v>2.75</v>
      </c>
      <c r="F279" t="s">
        <v>50</v>
      </c>
      <c r="G279" t="s">
        <v>961</v>
      </c>
      <c r="H279" t="s">
        <v>960</v>
      </c>
      <c r="I279" s="11">
        <v>46298</v>
      </c>
      <c r="J279" s="12">
        <v>46296</v>
      </c>
      <c r="K279" s="13">
        <f>INDEX(Assumptions!$B$4:$B$23,MATCH(F279,Assumptions!$A$4:$A$23,0))</f>
        <v>1.0869565217391299</v>
      </c>
      <c r="L279" s="14">
        <f t="shared" si="8"/>
        <v>2.9891304347826075</v>
      </c>
      <c r="M279" t="str">
        <f t="shared" si="9"/>
        <v>No</v>
      </c>
    </row>
    <row r="280" spans="1:13" x14ac:dyDescent="0.25">
      <c r="A280">
        <v>339361</v>
      </c>
      <c r="B280" t="s">
        <v>1057</v>
      </c>
      <c r="C280" t="s">
        <v>1058</v>
      </c>
      <c r="D280" t="s">
        <v>6220</v>
      </c>
      <c r="E280">
        <v>2.39</v>
      </c>
      <c r="F280" t="s">
        <v>50</v>
      </c>
      <c r="G280" t="s">
        <v>961</v>
      </c>
      <c r="H280" t="s">
        <v>960</v>
      </c>
      <c r="I280" s="11">
        <v>46298</v>
      </c>
      <c r="J280" s="12">
        <v>46296</v>
      </c>
      <c r="K280" s="13">
        <f>INDEX(Assumptions!$B$4:$B$23,MATCH(F280,Assumptions!$A$4:$A$23,0))</f>
        <v>1.0869565217391299</v>
      </c>
      <c r="L280" s="14">
        <f t="shared" si="8"/>
        <v>2.5978260869565206</v>
      </c>
      <c r="M280" t="str">
        <f t="shared" si="9"/>
        <v>No</v>
      </c>
    </row>
    <row r="281" spans="1:13" x14ac:dyDescent="0.25">
      <c r="A281">
        <v>339360</v>
      </c>
      <c r="B281" t="s">
        <v>1061</v>
      </c>
      <c r="C281" t="s">
        <v>6221</v>
      </c>
      <c r="D281" t="s">
        <v>6220</v>
      </c>
      <c r="E281">
        <v>3.95</v>
      </c>
      <c r="F281" t="s">
        <v>50</v>
      </c>
      <c r="G281" t="s">
        <v>961</v>
      </c>
      <c r="H281" t="s">
        <v>990</v>
      </c>
      <c r="I281" s="11">
        <v>46298</v>
      </c>
      <c r="J281" s="12">
        <v>46296</v>
      </c>
      <c r="K281" s="13">
        <f>INDEX(Assumptions!$B$4:$B$23,MATCH(F281,Assumptions!$A$4:$A$23,0))</f>
        <v>1.0869565217391299</v>
      </c>
      <c r="L281" s="14">
        <f t="shared" si="8"/>
        <v>4.2934782608695636</v>
      </c>
      <c r="M281" t="str">
        <f t="shared" si="9"/>
        <v>Yes</v>
      </c>
    </row>
    <row r="282" spans="1:13" x14ac:dyDescent="0.25">
      <c r="A282">
        <v>339359</v>
      </c>
      <c r="B282" t="s">
        <v>1063</v>
      </c>
      <c r="C282" t="s">
        <v>6221</v>
      </c>
      <c r="D282" t="s">
        <v>6220</v>
      </c>
      <c r="E282">
        <v>3.69</v>
      </c>
      <c r="F282" t="s">
        <v>50</v>
      </c>
      <c r="G282" t="s">
        <v>961</v>
      </c>
      <c r="H282" t="s">
        <v>1011</v>
      </c>
      <c r="I282" s="11">
        <v>46298</v>
      </c>
      <c r="J282" s="12">
        <v>46296</v>
      </c>
      <c r="K282" s="13">
        <f>INDEX(Assumptions!$B$4:$B$23,MATCH(F282,Assumptions!$A$4:$A$23,0))</f>
        <v>1.0869565217391299</v>
      </c>
      <c r="L282" s="14">
        <f t="shared" si="8"/>
        <v>4.0108695652173898</v>
      </c>
      <c r="M282" t="str">
        <f t="shared" si="9"/>
        <v>Yes</v>
      </c>
    </row>
    <row r="283" spans="1:13" x14ac:dyDescent="0.25">
      <c r="A283">
        <v>339358</v>
      </c>
      <c r="B283" t="s">
        <v>1065</v>
      </c>
      <c r="C283" t="s">
        <v>6221</v>
      </c>
      <c r="D283" t="s">
        <v>6220</v>
      </c>
      <c r="E283">
        <v>2.29</v>
      </c>
      <c r="F283" t="s">
        <v>50</v>
      </c>
      <c r="G283" t="s">
        <v>961</v>
      </c>
      <c r="H283" t="s">
        <v>990</v>
      </c>
      <c r="I283" s="11">
        <v>46298</v>
      </c>
      <c r="J283" s="12">
        <v>46296</v>
      </c>
      <c r="K283" s="13">
        <f>INDEX(Assumptions!$B$4:$B$23,MATCH(F283,Assumptions!$A$4:$A$23,0))</f>
        <v>1.0869565217391299</v>
      </c>
      <c r="L283" s="14">
        <f t="shared" si="8"/>
        <v>2.4891304347826075</v>
      </c>
      <c r="M283" t="str">
        <f t="shared" si="9"/>
        <v>Yes</v>
      </c>
    </row>
    <row r="284" spans="1:13" x14ac:dyDescent="0.25">
      <c r="A284">
        <v>339357</v>
      </c>
      <c r="B284" t="s">
        <v>1068</v>
      </c>
      <c r="C284" t="s">
        <v>1069</v>
      </c>
      <c r="D284" t="s">
        <v>6220</v>
      </c>
      <c r="E284">
        <v>7.69</v>
      </c>
      <c r="F284" t="s">
        <v>50</v>
      </c>
      <c r="G284" t="s">
        <v>961</v>
      </c>
      <c r="H284" t="s">
        <v>960</v>
      </c>
      <c r="I284" s="11">
        <v>46298</v>
      </c>
      <c r="J284" s="12">
        <v>46296</v>
      </c>
      <c r="K284" s="13">
        <f>INDEX(Assumptions!$B$4:$B$23,MATCH(F284,Assumptions!$A$4:$A$23,0))</f>
        <v>1.0869565217391299</v>
      </c>
      <c r="L284" s="14">
        <f t="shared" si="8"/>
        <v>8.3586956521739104</v>
      </c>
      <c r="M284" t="str">
        <f t="shared" si="9"/>
        <v>No</v>
      </c>
    </row>
    <row r="285" spans="1:13" x14ac:dyDescent="0.25">
      <c r="A285">
        <v>339356</v>
      </c>
      <c r="B285" t="s">
        <v>1072</v>
      </c>
      <c r="C285" t="s">
        <v>1073</v>
      </c>
      <c r="D285" t="s">
        <v>6220</v>
      </c>
      <c r="E285">
        <v>4.59</v>
      </c>
      <c r="F285" t="s">
        <v>50</v>
      </c>
      <c r="G285" t="s">
        <v>961</v>
      </c>
      <c r="H285" t="s">
        <v>960</v>
      </c>
      <c r="I285" s="11">
        <v>46298</v>
      </c>
      <c r="J285" s="12">
        <v>46296</v>
      </c>
      <c r="K285" s="13">
        <f>INDEX(Assumptions!$B$4:$B$23,MATCH(F285,Assumptions!$A$4:$A$23,0))</f>
        <v>1.0869565217391299</v>
      </c>
      <c r="L285" s="14">
        <f t="shared" si="8"/>
        <v>4.9891304347826066</v>
      </c>
      <c r="M285" t="str">
        <f t="shared" si="9"/>
        <v>No</v>
      </c>
    </row>
    <row r="286" spans="1:13" x14ac:dyDescent="0.25">
      <c r="A286">
        <v>339355</v>
      </c>
      <c r="B286" t="s">
        <v>1076</v>
      </c>
      <c r="C286" t="s">
        <v>1077</v>
      </c>
      <c r="D286" t="s">
        <v>6220</v>
      </c>
      <c r="E286">
        <v>3.95</v>
      </c>
      <c r="F286" t="s">
        <v>50</v>
      </c>
      <c r="G286" t="s">
        <v>961</v>
      </c>
      <c r="H286" t="s">
        <v>960</v>
      </c>
      <c r="I286" s="11">
        <v>46298</v>
      </c>
      <c r="J286" s="12">
        <v>46296</v>
      </c>
      <c r="K286" s="13">
        <f>INDEX(Assumptions!$B$4:$B$23,MATCH(F286,Assumptions!$A$4:$A$23,0))</f>
        <v>1.0869565217391299</v>
      </c>
      <c r="L286" s="14">
        <f t="shared" si="8"/>
        <v>4.2934782608695636</v>
      </c>
      <c r="M286" t="str">
        <f t="shared" si="9"/>
        <v>No</v>
      </c>
    </row>
    <row r="287" spans="1:13" x14ac:dyDescent="0.25">
      <c r="A287">
        <v>339354</v>
      </c>
      <c r="B287" t="s">
        <v>1079</v>
      </c>
      <c r="C287" t="s">
        <v>1080</v>
      </c>
      <c r="D287" t="s">
        <v>6220</v>
      </c>
      <c r="E287">
        <v>3.25</v>
      </c>
      <c r="F287" t="s">
        <v>50</v>
      </c>
      <c r="G287" t="s">
        <v>961</v>
      </c>
      <c r="H287" t="s">
        <v>960</v>
      </c>
      <c r="I287" s="11">
        <v>46298</v>
      </c>
      <c r="J287" s="12">
        <v>46296</v>
      </c>
      <c r="K287" s="13">
        <f>INDEX(Assumptions!$B$4:$B$23,MATCH(F287,Assumptions!$A$4:$A$23,0))</f>
        <v>1.0869565217391299</v>
      </c>
      <c r="L287" s="14">
        <f t="shared" si="8"/>
        <v>3.5326086956521721</v>
      </c>
      <c r="M287" t="str">
        <f t="shared" si="9"/>
        <v>No</v>
      </c>
    </row>
    <row r="288" spans="1:13" x14ac:dyDescent="0.25">
      <c r="A288">
        <v>339353</v>
      </c>
      <c r="B288" t="s">
        <v>1083</v>
      </c>
      <c r="C288" t="s">
        <v>1084</v>
      </c>
      <c r="D288" t="s">
        <v>6220</v>
      </c>
      <c r="E288">
        <v>4.6500000000000004</v>
      </c>
      <c r="F288" t="s">
        <v>50</v>
      </c>
      <c r="G288" t="s">
        <v>961</v>
      </c>
      <c r="H288" t="s">
        <v>960</v>
      </c>
      <c r="I288" s="11">
        <v>46298</v>
      </c>
      <c r="J288" s="12">
        <v>46296</v>
      </c>
      <c r="K288" s="13">
        <f>INDEX(Assumptions!$B$4:$B$23,MATCH(F288,Assumptions!$A$4:$A$23,0))</f>
        <v>1.0869565217391299</v>
      </c>
      <c r="L288" s="14">
        <f t="shared" si="8"/>
        <v>5.0543478260869543</v>
      </c>
      <c r="M288" t="str">
        <f t="shared" si="9"/>
        <v>No</v>
      </c>
    </row>
    <row r="289" spans="1:13" x14ac:dyDescent="0.25">
      <c r="A289">
        <v>339352</v>
      </c>
      <c r="B289" t="s">
        <v>1087</v>
      </c>
      <c r="C289" t="s">
        <v>1088</v>
      </c>
      <c r="D289" t="s">
        <v>6220</v>
      </c>
      <c r="E289">
        <v>5.85</v>
      </c>
      <c r="F289" t="s">
        <v>50</v>
      </c>
      <c r="G289" t="s">
        <v>961</v>
      </c>
      <c r="H289" t="s">
        <v>960</v>
      </c>
      <c r="I289" s="11">
        <v>46298</v>
      </c>
      <c r="J289" s="12">
        <v>46296</v>
      </c>
      <c r="K289" s="13">
        <f>INDEX(Assumptions!$B$4:$B$23,MATCH(F289,Assumptions!$A$4:$A$23,0))</f>
        <v>1.0869565217391299</v>
      </c>
      <c r="L289" s="14">
        <f t="shared" si="8"/>
        <v>6.3586956521739095</v>
      </c>
      <c r="M289" t="str">
        <f t="shared" si="9"/>
        <v>No</v>
      </c>
    </row>
    <row r="290" spans="1:13" x14ac:dyDescent="0.25">
      <c r="A290">
        <v>339351</v>
      </c>
      <c r="B290" t="s">
        <v>1091</v>
      </c>
      <c r="C290" t="s">
        <v>6221</v>
      </c>
      <c r="D290" t="s">
        <v>6220</v>
      </c>
      <c r="E290">
        <v>3.75</v>
      </c>
      <c r="F290" t="s">
        <v>50</v>
      </c>
      <c r="G290" t="s">
        <v>961</v>
      </c>
      <c r="H290" t="s">
        <v>990</v>
      </c>
      <c r="I290" s="11">
        <v>46298</v>
      </c>
      <c r="J290" s="12">
        <v>46296</v>
      </c>
      <c r="K290" s="13">
        <f>INDEX(Assumptions!$B$4:$B$23,MATCH(F290,Assumptions!$A$4:$A$23,0))</f>
        <v>1.0869565217391299</v>
      </c>
      <c r="L290" s="14">
        <f t="shared" si="8"/>
        <v>4.0760869565217375</v>
      </c>
      <c r="M290" t="str">
        <f t="shared" si="9"/>
        <v>Yes</v>
      </c>
    </row>
    <row r="291" spans="1:13" x14ac:dyDescent="0.25">
      <c r="A291">
        <v>339350</v>
      </c>
      <c r="B291" t="s">
        <v>1093</v>
      </c>
      <c r="C291" t="s">
        <v>1094</v>
      </c>
      <c r="D291" t="s">
        <v>6220</v>
      </c>
      <c r="E291">
        <v>3</v>
      </c>
      <c r="F291" t="s">
        <v>50</v>
      </c>
      <c r="G291" t="s">
        <v>961</v>
      </c>
      <c r="H291" t="s">
        <v>973</v>
      </c>
      <c r="I291" s="11">
        <v>46298</v>
      </c>
      <c r="J291" s="12">
        <v>46296</v>
      </c>
      <c r="K291" s="13">
        <f>INDEX(Assumptions!$B$4:$B$23,MATCH(F291,Assumptions!$A$4:$A$23,0))</f>
        <v>1.0869565217391299</v>
      </c>
      <c r="L291" s="14">
        <f t="shared" si="8"/>
        <v>3.2608695652173898</v>
      </c>
      <c r="M291" t="str">
        <f t="shared" si="9"/>
        <v>No</v>
      </c>
    </row>
    <row r="292" spans="1:13" x14ac:dyDescent="0.25">
      <c r="A292">
        <v>339349</v>
      </c>
      <c r="B292" t="s">
        <v>1097</v>
      </c>
      <c r="C292" t="s">
        <v>1098</v>
      </c>
      <c r="D292" t="s">
        <v>6220</v>
      </c>
      <c r="E292">
        <v>4.55</v>
      </c>
      <c r="F292" t="s">
        <v>50</v>
      </c>
      <c r="G292" t="s">
        <v>961</v>
      </c>
      <c r="H292" t="s">
        <v>973</v>
      </c>
      <c r="I292" s="11">
        <v>46298</v>
      </c>
      <c r="J292" s="12">
        <v>46296</v>
      </c>
      <c r="K292" s="13">
        <f>INDEX(Assumptions!$B$4:$B$23,MATCH(F292,Assumptions!$A$4:$A$23,0))</f>
        <v>1.0869565217391299</v>
      </c>
      <c r="L292" s="14">
        <f t="shared" si="8"/>
        <v>4.9456521739130412</v>
      </c>
      <c r="M292" t="str">
        <f t="shared" si="9"/>
        <v>No</v>
      </c>
    </row>
    <row r="293" spans="1:13" x14ac:dyDescent="0.25">
      <c r="A293">
        <v>339348</v>
      </c>
      <c r="B293" t="s">
        <v>1100</v>
      </c>
      <c r="C293" t="s">
        <v>1101</v>
      </c>
      <c r="D293" t="s">
        <v>6220</v>
      </c>
      <c r="E293">
        <v>2.95</v>
      </c>
      <c r="F293" t="s">
        <v>50</v>
      </c>
      <c r="G293" t="s">
        <v>961</v>
      </c>
      <c r="H293" t="s">
        <v>973</v>
      </c>
      <c r="I293" s="11">
        <v>46298</v>
      </c>
      <c r="J293" s="12">
        <v>46296</v>
      </c>
      <c r="K293" s="13">
        <f>INDEX(Assumptions!$B$4:$B$23,MATCH(F293,Assumptions!$A$4:$A$23,0))</f>
        <v>1.0869565217391299</v>
      </c>
      <c r="L293" s="14">
        <f t="shared" si="8"/>
        <v>3.2065217391304337</v>
      </c>
      <c r="M293" t="str">
        <f t="shared" si="9"/>
        <v>No</v>
      </c>
    </row>
    <row r="294" spans="1:13" x14ac:dyDescent="0.25">
      <c r="A294">
        <v>339347</v>
      </c>
      <c r="B294" t="s">
        <v>1103</v>
      </c>
      <c r="C294" t="s">
        <v>1104</v>
      </c>
      <c r="D294" t="s">
        <v>6220</v>
      </c>
      <c r="E294">
        <v>4.0599999999999996</v>
      </c>
      <c r="F294" t="s">
        <v>50</v>
      </c>
      <c r="G294" t="s">
        <v>961</v>
      </c>
      <c r="H294" t="s">
        <v>973</v>
      </c>
      <c r="I294" s="11">
        <v>46298</v>
      </c>
      <c r="J294" s="12">
        <v>46296</v>
      </c>
      <c r="K294" s="13">
        <f>INDEX(Assumptions!$B$4:$B$23,MATCH(F294,Assumptions!$A$4:$A$23,0))</f>
        <v>1.0869565217391299</v>
      </c>
      <c r="L294" s="14">
        <f t="shared" si="8"/>
        <v>4.4130434782608674</v>
      </c>
      <c r="M294" t="str">
        <f t="shared" si="9"/>
        <v>No</v>
      </c>
    </row>
    <row r="295" spans="1:13" x14ac:dyDescent="0.25">
      <c r="A295">
        <v>339346</v>
      </c>
      <c r="B295" t="s">
        <v>1107</v>
      </c>
      <c r="C295" t="s">
        <v>1108</v>
      </c>
      <c r="D295" t="s">
        <v>6220</v>
      </c>
      <c r="E295">
        <v>3.82</v>
      </c>
      <c r="F295" t="s">
        <v>50</v>
      </c>
      <c r="G295" t="s">
        <v>961</v>
      </c>
      <c r="H295" t="s">
        <v>973</v>
      </c>
      <c r="I295" s="11">
        <v>46298</v>
      </c>
      <c r="J295" s="12">
        <v>46296</v>
      </c>
      <c r="K295" s="13">
        <f>INDEX(Assumptions!$B$4:$B$23,MATCH(F295,Assumptions!$A$4:$A$23,0))</f>
        <v>1.0869565217391299</v>
      </c>
      <c r="L295" s="14">
        <f t="shared" si="8"/>
        <v>4.1521739130434758</v>
      </c>
      <c r="M295" t="str">
        <f t="shared" si="9"/>
        <v>No</v>
      </c>
    </row>
    <row r="296" spans="1:13" x14ac:dyDescent="0.25">
      <c r="A296">
        <v>339345</v>
      </c>
      <c r="B296" t="s">
        <v>1111</v>
      </c>
      <c r="C296" t="s">
        <v>1112</v>
      </c>
      <c r="D296" t="s">
        <v>6220</v>
      </c>
      <c r="E296">
        <v>4.1900000000000004</v>
      </c>
      <c r="F296" t="s">
        <v>50</v>
      </c>
      <c r="G296" t="s">
        <v>961</v>
      </c>
      <c r="H296" t="s">
        <v>973</v>
      </c>
      <c r="I296" s="11">
        <v>46298</v>
      </c>
      <c r="J296" s="12">
        <v>46296</v>
      </c>
      <c r="K296" s="13">
        <f>INDEX(Assumptions!$B$4:$B$23,MATCH(F296,Assumptions!$A$4:$A$23,0))</f>
        <v>1.0869565217391299</v>
      </c>
      <c r="L296" s="14">
        <f t="shared" si="8"/>
        <v>4.5543478260869552</v>
      </c>
      <c r="M296" t="str">
        <f t="shared" si="9"/>
        <v>No</v>
      </c>
    </row>
    <row r="297" spans="1:13" x14ac:dyDescent="0.25">
      <c r="A297">
        <v>339344</v>
      </c>
      <c r="B297" t="s">
        <v>1115</v>
      </c>
      <c r="C297" t="s">
        <v>1116</v>
      </c>
      <c r="D297" t="s">
        <v>6220</v>
      </c>
      <c r="E297">
        <v>4.45</v>
      </c>
      <c r="F297" t="s">
        <v>50</v>
      </c>
      <c r="G297" t="s">
        <v>961</v>
      </c>
      <c r="H297" t="s">
        <v>973</v>
      </c>
      <c r="I297" s="11">
        <v>46298</v>
      </c>
      <c r="J297" s="12">
        <v>46296</v>
      </c>
      <c r="K297" s="13">
        <f>INDEX(Assumptions!$B$4:$B$23,MATCH(F297,Assumptions!$A$4:$A$23,0))</f>
        <v>1.0869565217391299</v>
      </c>
      <c r="L297" s="14">
        <f t="shared" si="8"/>
        <v>4.8369565217391282</v>
      </c>
      <c r="M297" t="str">
        <f t="shared" si="9"/>
        <v>No</v>
      </c>
    </row>
    <row r="298" spans="1:13" x14ac:dyDescent="0.25">
      <c r="A298">
        <v>339343</v>
      </c>
      <c r="B298" t="s">
        <v>1119</v>
      </c>
      <c r="C298" t="s">
        <v>1120</v>
      </c>
      <c r="D298" t="s">
        <v>6220</v>
      </c>
      <c r="E298">
        <v>7.75</v>
      </c>
      <c r="F298" t="s">
        <v>50</v>
      </c>
      <c r="G298" t="s">
        <v>961</v>
      </c>
      <c r="H298" t="s">
        <v>960</v>
      </c>
      <c r="I298" s="11">
        <v>46298</v>
      </c>
      <c r="J298" s="12">
        <v>46296</v>
      </c>
      <c r="K298" s="13">
        <f>INDEX(Assumptions!$B$4:$B$23,MATCH(F298,Assumptions!$A$4:$A$23,0))</f>
        <v>1.0869565217391299</v>
      </c>
      <c r="L298" s="14">
        <f t="shared" si="8"/>
        <v>8.4239130434782563</v>
      </c>
      <c r="M298" t="str">
        <f t="shared" si="9"/>
        <v>No</v>
      </c>
    </row>
    <row r="299" spans="1:13" x14ac:dyDescent="0.25">
      <c r="A299">
        <v>339342</v>
      </c>
      <c r="B299" t="s">
        <v>1123</v>
      </c>
      <c r="C299" t="s">
        <v>1124</v>
      </c>
      <c r="D299" t="s">
        <v>6220</v>
      </c>
      <c r="E299">
        <v>7.75</v>
      </c>
      <c r="F299" t="s">
        <v>50</v>
      </c>
      <c r="G299" t="s">
        <v>961</v>
      </c>
      <c r="H299" t="s">
        <v>960</v>
      </c>
      <c r="I299" s="11">
        <v>46298</v>
      </c>
      <c r="J299" s="12">
        <v>46296</v>
      </c>
      <c r="K299" s="13">
        <f>INDEX(Assumptions!$B$4:$B$23,MATCH(F299,Assumptions!$A$4:$A$23,0))</f>
        <v>1.0869565217391299</v>
      </c>
      <c r="L299" s="14">
        <f t="shared" si="8"/>
        <v>8.4239130434782563</v>
      </c>
      <c r="M299" t="str">
        <f t="shared" si="9"/>
        <v>No</v>
      </c>
    </row>
    <row r="300" spans="1:13" x14ac:dyDescent="0.25">
      <c r="A300">
        <v>339341</v>
      </c>
      <c r="B300" t="s">
        <v>1126</v>
      </c>
      <c r="C300" t="s">
        <v>6221</v>
      </c>
      <c r="D300" t="s">
        <v>6220</v>
      </c>
      <c r="E300">
        <v>2.4900000000000002</v>
      </c>
      <c r="F300" t="s">
        <v>50</v>
      </c>
      <c r="G300" t="s">
        <v>961</v>
      </c>
      <c r="H300" t="s">
        <v>990</v>
      </c>
      <c r="I300" s="11">
        <v>46298</v>
      </c>
      <c r="J300" s="12">
        <v>46296</v>
      </c>
      <c r="K300" s="13">
        <f>INDEX(Assumptions!$B$4:$B$23,MATCH(F300,Assumptions!$A$4:$A$23,0))</f>
        <v>1.0869565217391299</v>
      </c>
      <c r="L300" s="14">
        <f t="shared" si="8"/>
        <v>2.7065217391304337</v>
      </c>
      <c r="M300" t="str">
        <f t="shared" si="9"/>
        <v>Yes</v>
      </c>
    </row>
    <row r="301" spans="1:13" x14ac:dyDescent="0.25">
      <c r="A301">
        <v>339340</v>
      </c>
      <c r="B301" t="s">
        <v>1129</v>
      </c>
      <c r="C301" t="s">
        <v>1130</v>
      </c>
      <c r="D301" t="s">
        <v>6220</v>
      </c>
      <c r="E301">
        <v>3.89</v>
      </c>
      <c r="F301" t="s">
        <v>50</v>
      </c>
      <c r="G301" t="s">
        <v>961</v>
      </c>
      <c r="H301" t="s">
        <v>973</v>
      </c>
      <c r="I301" s="11">
        <v>46298</v>
      </c>
      <c r="J301" s="12">
        <v>46296</v>
      </c>
      <c r="K301" s="13">
        <f>INDEX(Assumptions!$B$4:$B$23,MATCH(F301,Assumptions!$A$4:$A$23,0))</f>
        <v>1.0869565217391299</v>
      </c>
      <c r="L301" s="14">
        <f t="shared" si="8"/>
        <v>4.228260869565216</v>
      </c>
      <c r="M301" t="str">
        <f t="shared" si="9"/>
        <v>No</v>
      </c>
    </row>
    <row r="302" spans="1:13" x14ac:dyDescent="0.25">
      <c r="A302">
        <v>339339</v>
      </c>
      <c r="B302" t="s">
        <v>1133</v>
      </c>
      <c r="C302" t="s">
        <v>6221</v>
      </c>
      <c r="D302" t="s">
        <v>6220</v>
      </c>
      <c r="E302">
        <v>3.75</v>
      </c>
      <c r="F302" t="s">
        <v>50</v>
      </c>
      <c r="G302" t="s">
        <v>961</v>
      </c>
      <c r="H302" t="s">
        <v>1011</v>
      </c>
      <c r="I302" s="11">
        <v>46298</v>
      </c>
      <c r="J302" s="12">
        <v>46296</v>
      </c>
      <c r="K302" s="13">
        <f>INDEX(Assumptions!$B$4:$B$23,MATCH(F302,Assumptions!$A$4:$A$23,0))</f>
        <v>1.0869565217391299</v>
      </c>
      <c r="L302" s="14">
        <f t="shared" si="8"/>
        <v>4.0760869565217375</v>
      </c>
      <c r="M302" t="str">
        <f t="shared" si="9"/>
        <v>Yes</v>
      </c>
    </row>
    <row r="303" spans="1:13" x14ac:dyDescent="0.25">
      <c r="A303">
        <v>339338</v>
      </c>
      <c r="B303" t="s">
        <v>1135</v>
      </c>
      <c r="C303" t="s">
        <v>1136</v>
      </c>
      <c r="D303" t="s">
        <v>6220</v>
      </c>
      <c r="E303">
        <v>4.45</v>
      </c>
      <c r="F303" t="s">
        <v>50</v>
      </c>
      <c r="G303" t="s">
        <v>961</v>
      </c>
      <c r="H303" t="s">
        <v>973</v>
      </c>
      <c r="I303" s="11">
        <v>46298</v>
      </c>
      <c r="J303" s="12">
        <v>46296</v>
      </c>
      <c r="K303" s="13">
        <f>INDEX(Assumptions!$B$4:$B$23,MATCH(F303,Assumptions!$A$4:$A$23,0))</f>
        <v>1.0869565217391299</v>
      </c>
      <c r="L303" s="14">
        <f t="shared" si="8"/>
        <v>4.8369565217391282</v>
      </c>
      <c r="M303" t="str">
        <f t="shared" si="9"/>
        <v>No</v>
      </c>
    </row>
    <row r="304" spans="1:13" x14ac:dyDescent="0.25">
      <c r="A304">
        <v>339337</v>
      </c>
      <c r="B304" t="s">
        <v>1138</v>
      </c>
      <c r="C304" t="s">
        <v>1139</v>
      </c>
      <c r="D304" t="s">
        <v>6220</v>
      </c>
      <c r="E304">
        <v>3.99</v>
      </c>
      <c r="F304" t="s">
        <v>50</v>
      </c>
      <c r="G304" t="s">
        <v>961</v>
      </c>
      <c r="H304" t="s">
        <v>973</v>
      </c>
      <c r="I304" s="11">
        <v>46298</v>
      </c>
      <c r="J304" s="12">
        <v>46296</v>
      </c>
      <c r="K304" s="13">
        <f>INDEX(Assumptions!$B$4:$B$23,MATCH(F304,Assumptions!$A$4:$A$23,0))</f>
        <v>1.0869565217391299</v>
      </c>
      <c r="L304" s="14">
        <f t="shared" si="8"/>
        <v>4.336956521739129</v>
      </c>
      <c r="M304" t="str">
        <f t="shared" si="9"/>
        <v>No</v>
      </c>
    </row>
    <row r="305" spans="1:13" x14ac:dyDescent="0.25">
      <c r="A305">
        <v>339336</v>
      </c>
      <c r="B305" t="s">
        <v>1142</v>
      </c>
      <c r="C305" t="s">
        <v>1143</v>
      </c>
      <c r="D305" t="s">
        <v>6220</v>
      </c>
      <c r="E305">
        <v>2.79</v>
      </c>
      <c r="F305" t="s">
        <v>50</v>
      </c>
      <c r="G305" t="s">
        <v>961</v>
      </c>
      <c r="H305" t="s">
        <v>973</v>
      </c>
      <c r="I305" s="11">
        <v>46298</v>
      </c>
      <c r="J305" s="12">
        <v>46296</v>
      </c>
      <c r="K305" s="13">
        <f>INDEX(Assumptions!$B$4:$B$23,MATCH(F305,Assumptions!$A$4:$A$23,0))</f>
        <v>1.0869565217391299</v>
      </c>
      <c r="L305" s="14">
        <f t="shared" si="8"/>
        <v>3.0326086956521725</v>
      </c>
      <c r="M305" t="str">
        <f t="shared" si="9"/>
        <v>No</v>
      </c>
    </row>
    <row r="306" spans="1:13" x14ac:dyDescent="0.25">
      <c r="A306">
        <v>339335</v>
      </c>
      <c r="B306" t="s">
        <v>1145</v>
      </c>
      <c r="C306" t="s">
        <v>1146</v>
      </c>
      <c r="D306" t="s">
        <v>6220</v>
      </c>
      <c r="E306">
        <v>2.99</v>
      </c>
      <c r="F306" t="s">
        <v>50</v>
      </c>
      <c r="G306" t="s">
        <v>961</v>
      </c>
      <c r="H306" t="s">
        <v>973</v>
      </c>
      <c r="I306" s="11">
        <v>46298</v>
      </c>
      <c r="J306" s="12">
        <v>46296</v>
      </c>
      <c r="K306" s="13">
        <f>INDEX(Assumptions!$B$4:$B$23,MATCH(F306,Assumptions!$A$4:$A$23,0))</f>
        <v>1.0869565217391299</v>
      </c>
      <c r="L306" s="14">
        <f t="shared" si="8"/>
        <v>3.2499999999999987</v>
      </c>
      <c r="M306" t="str">
        <f t="shared" si="9"/>
        <v>No</v>
      </c>
    </row>
    <row r="307" spans="1:13" x14ac:dyDescent="0.25">
      <c r="A307">
        <v>339334</v>
      </c>
      <c r="B307" t="s">
        <v>1148</v>
      </c>
      <c r="C307" t="s">
        <v>1149</v>
      </c>
      <c r="D307" t="s">
        <v>6220</v>
      </c>
      <c r="E307">
        <v>4.8899999999999997</v>
      </c>
      <c r="F307" t="s">
        <v>50</v>
      </c>
      <c r="G307" t="s">
        <v>961</v>
      </c>
      <c r="H307" t="s">
        <v>973</v>
      </c>
      <c r="I307" s="11">
        <v>46298</v>
      </c>
      <c r="J307" s="12">
        <v>46296</v>
      </c>
      <c r="K307" s="13">
        <f>INDEX(Assumptions!$B$4:$B$23,MATCH(F307,Assumptions!$A$4:$A$23,0))</f>
        <v>1.0869565217391299</v>
      </c>
      <c r="L307" s="14">
        <f t="shared" si="8"/>
        <v>5.315217391304345</v>
      </c>
      <c r="M307" t="str">
        <f t="shared" si="9"/>
        <v>No</v>
      </c>
    </row>
    <row r="308" spans="1:13" x14ac:dyDescent="0.25">
      <c r="A308">
        <v>339333</v>
      </c>
      <c r="B308" t="s">
        <v>1152</v>
      </c>
      <c r="C308" t="s">
        <v>6221</v>
      </c>
      <c r="D308" t="s">
        <v>6220</v>
      </c>
      <c r="E308">
        <v>3.99</v>
      </c>
      <c r="F308" t="s">
        <v>50</v>
      </c>
      <c r="G308" t="s">
        <v>961</v>
      </c>
      <c r="H308" t="s">
        <v>1011</v>
      </c>
      <c r="I308" s="11">
        <v>46298</v>
      </c>
      <c r="J308" s="12">
        <v>46296</v>
      </c>
      <c r="K308" s="13">
        <f>INDEX(Assumptions!$B$4:$B$23,MATCH(F308,Assumptions!$A$4:$A$23,0))</f>
        <v>1.0869565217391299</v>
      </c>
      <c r="L308" s="14">
        <f t="shared" si="8"/>
        <v>4.336956521739129</v>
      </c>
      <c r="M308" t="str">
        <f t="shared" si="9"/>
        <v>Yes</v>
      </c>
    </row>
    <row r="309" spans="1:13" x14ac:dyDescent="0.25">
      <c r="A309">
        <v>339332</v>
      </c>
      <c r="B309" t="s">
        <v>1154</v>
      </c>
      <c r="C309" t="s">
        <v>1155</v>
      </c>
      <c r="D309" t="s">
        <v>6220</v>
      </c>
      <c r="E309">
        <v>4.55</v>
      </c>
      <c r="F309" t="s">
        <v>50</v>
      </c>
      <c r="G309" t="s">
        <v>961</v>
      </c>
      <c r="H309" t="s">
        <v>1156</v>
      </c>
      <c r="I309" s="11">
        <v>46298</v>
      </c>
      <c r="J309" s="12">
        <v>46296</v>
      </c>
      <c r="K309" s="13">
        <f>INDEX(Assumptions!$B$4:$B$23,MATCH(F309,Assumptions!$A$4:$A$23,0))</f>
        <v>1.0869565217391299</v>
      </c>
      <c r="L309" s="14">
        <f t="shared" si="8"/>
        <v>4.9456521739130412</v>
      </c>
      <c r="M309" t="str">
        <f t="shared" si="9"/>
        <v>No</v>
      </c>
    </row>
    <row r="310" spans="1:13" x14ac:dyDescent="0.25">
      <c r="A310">
        <v>339331</v>
      </c>
      <c r="B310" t="s">
        <v>1158</v>
      </c>
      <c r="C310" t="s">
        <v>1159</v>
      </c>
      <c r="D310" t="s">
        <v>6220</v>
      </c>
      <c r="E310">
        <v>3.49</v>
      </c>
      <c r="F310" t="s">
        <v>50</v>
      </c>
      <c r="G310" t="s">
        <v>961</v>
      </c>
      <c r="H310" t="s">
        <v>960</v>
      </c>
      <c r="I310" s="11">
        <v>46298</v>
      </c>
      <c r="J310" s="12">
        <v>46296</v>
      </c>
      <c r="K310" s="13">
        <f>INDEX(Assumptions!$B$4:$B$23,MATCH(F310,Assumptions!$A$4:$A$23,0))</f>
        <v>1.0869565217391299</v>
      </c>
      <c r="L310" s="14">
        <f t="shared" si="8"/>
        <v>3.7934782608695636</v>
      </c>
      <c r="M310" t="str">
        <f t="shared" si="9"/>
        <v>No</v>
      </c>
    </row>
    <row r="311" spans="1:13" x14ac:dyDescent="0.25">
      <c r="A311">
        <v>339330</v>
      </c>
      <c r="B311" t="s">
        <v>1162</v>
      </c>
      <c r="C311" t="s">
        <v>1163</v>
      </c>
      <c r="D311" t="s">
        <v>6220</v>
      </c>
      <c r="E311">
        <v>5.35</v>
      </c>
      <c r="F311" t="s">
        <v>50</v>
      </c>
      <c r="G311" t="s">
        <v>961</v>
      </c>
      <c r="H311" t="s">
        <v>1156</v>
      </c>
      <c r="I311" s="11">
        <v>46298</v>
      </c>
      <c r="J311" s="12">
        <v>46296</v>
      </c>
      <c r="K311" s="13">
        <f>INDEX(Assumptions!$B$4:$B$23,MATCH(F311,Assumptions!$A$4:$A$23,0))</f>
        <v>1.0869565217391299</v>
      </c>
      <c r="L311" s="14">
        <f t="shared" si="8"/>
        <v>5.815217391304345</v>
      </c>
      <c r="M311" t="str">
        <f t="shared" si="9"/>
        <v>No</v>
      </c>
    </row>
    <row r="312" spans="1:13" x14ac:dyDescent="0.25">
      <c r="A312">
        <v>339329</v>
      </c>
      <c r="B312" t="s">
        <v>1000</v>
      </c>
      <c r="C312" t="s">
        <v>1001</v>
      </c>
      <c r="D312" t="s">
        <v>6220</v>
      </c>
      <c r="E312">
        <v>3.39</v>
      </c>
      <c r="F312" t="s">
        <v>50</v>
      </c>
      <c r="G312" t="s">
        <v>961</v>
      </c>
      <c r="H312" t="s">
        <v>960</v>
      </c>
      <c r="I312" s="11">
        <v>46298</v>
      </c>
      <c r="J312" s="12">
        <v>46296</v>
      </c>
      <c r="K312" s="13">
        <f>INDEX(Assumptions!$B$4:$B$23,MATCH(F312,Assumptions!$A$4:$A$23,0))</f>
        <v>1.0869565217391299</v>
      </c>
      <c r="L312" s="14">
        <f t="shared" si="8"/>
        <v>3.6847826086956506</v>
      </c>
      <c r="M312" t="str">
        <f t="shared" si="9"/>
        <v>No</v>
      </c>
    </row>
    <row r="313" spans="1:13" x14ac:dyDescent="0.25">
      <c r="A313">
        <v>339328</v>
      </c>
      <c r="B313" t="s">
        <v>1166</v>
      </c>
      <c r="C313" t="s">
        <v>1167</v>
      </c>
      <c r="D313" t="s">
        <v>6220</v>
      </c>
      <c r="E313">
        <v>4.09</v>
      </c>
      <c r="F313" t="s">
        <v>50</v>
      </c>
      <c r="G313" t="s">
        <v>961</v>
      </c>
      <c r="H313" t="s">
        <v>960</v>
      </c>
      <c r="I313" s="11">
        <v>46298</v>
      </c>
      <c r="J313" s="12">
        <v>46296</v>
      </c>
      <c r="K313" s="13">
        <f>INDEX(Assumptions!$B$4:$B$23,MATCH(F313,Assumptions!$A$4:$A$23,0))</f>
        <v>1.0869565217391299</v>
      </c>
      <c r="L313" s="14">
        <f t="shared" si="8"/>
        <v>4.4456521739130412</v>
      </c>
      <c r="M313" t="str">
        <f t="shared" si="9"/>
        <v>No</v>
      </c>
    </row>
    <row r="314" spans="1:13" x14ac:dyDescent="0.25">
      <c r="A314">
        <v>339327</v>
      </c>
      <c r="B314" t="s">
        <v>1170</v>
      </c>
      <c r="C314" t="s">
        <v>1171</v>
      </c>
      <c r="D314" t="s">
        <v>6220</v>
      </c>
      <c r="E314">
        <v>3.99</v>
      </c>
      <c r="F314" t="s">
        <v>50</v>
      </c>
      <c r="G314" t="s">
        <v>961</v>
      </c>
      <c r="H314" t="s">
        <v>973</v>
      </c>
      <c r="I314" s="11">
        <v>46298</v>
      </c>
      <c r="J314" s="12">
        <v>46296</v>
      </c>
      <c r="K314" s="13">
        <f>INDEX(Assumptions!$B$4:$B$23,MATCH(F314,Assumptions!$A$4:$A$23,0))</f>
        <v>1.0869565217391299</v>
      </c>
      <c r="L314" s="14">
        <f t="shared" si="8"/>
        <v>4.336956521739129</v>
      </c>
      <c r="M314" t="str">
        <f t="shared" si="9"/>
        <v>No</v>
      </c>
    </row>
    <row r="315" spans="1:13" x14ac:dyDescent="0.25">
      <c r="A315">
        <v>339326</v>
      </c>
      <c r="B315" t="s">
        <v>1173</v>
      </c>
      <c r="C315" t="s">
        <v>1174</v>
      </c>
      <c r="D315" t="s">
        <v>6220</v>
      </c>
      <c r="E315">
        <v>3.99</v>
      </c>
      <c r="F315" t="s">
        <v>50</v>
      </c>
      <c r="G315" t="s">
        <v>961</v>
      </c>
      <c r="H315" t="s">
        <v>973</v>
      </c>
      <c r="I315" s="11">
        <v>46298</v>
      </c>
      <c r="J315" s="12">
        <v>46296</v>
      </c>
      <c r="K315" s="13">
        <f>INDEX(Assumptions!$B$4:$B$23,MATCH(F315,Assumptions!$A$4:$A$23,0))</f>
        <v>1.0869565217391299</v>
      </c>
      <c r="L315" s="14">
        <f t="shared" si="8"/>
        <v>4.336956521739129</v>
      </c>
      <c r="M315" t="str">
        <f t="shared" si="9"/>
        <v>No</v>
      </c>
    </row>
    <row r="316" spans="1:13" x14ac:dyDescent="0.25">
      <c r="A316">
        <v>339325</v>
      </c>
      <c r="B316" t="s">
        <v>1154</v>
      </c>
      <c r="C316" t="s">
        <v>1155</v>
      </c>
      <c r="D316" t="s">
        <v>6220</v>
      </c>
      <c r="E316">
        <v>4.55</v>
      </c>
      <c r="F316" t="s">
        <v>50</v>
      </c>
      <c r="G316" t="s">
        <v>961</v>
      </c>
      <c r="H316" t="s">
        <v>973</v>
      </c>
      <c r="I316" s="11">
        <v>46298</v>
      </c>
      <c r="J316" s="12">
        <v>46296</v>
      </c>
      <c r="K316" s="13">
        <f>INDEX(Assumptions!$B$4:$B$23,MATCH(F316,Assumptions!$A$4:$A$23,0))</f>
        <v>1.0869565217391299</v>
      </c>
      <c r="L316" s="14">
        <f t="shared" si="8"/>
        <v>4.9456521739130412</v>
      </c>
      <c r="M316" t="str">
        <f t="shared" si="9"/>
        <v>No</v>
      </c>
    </row>
    <row r="317" spans="1:13" x14ac:dyDescent="0.25">
      <c r="A317">
        <v>339324</v>
      </c>
      <c r="B317" t="s">
        <v>1177</v>
      </c>
      <c r="C317" t="s">
        <v>1178</v>
      </c>
      <c r="D317" t="s">
        <v>6220</v>
      </c>
      <c r="E317">
        <v>3.99</v>
      </c>
      <c r="F317" t="s">
        <v>50</v>
      </c>
      <c r="G317" t="s">
        <v>961</v>
      </c>
      <c r="H317" t="s">
        <v>973</v>
      </c>
      <c r="I317" s="11">
        <v>46298</v>
      </c>
      <c r="J317" s="12">
        <v>46296</v>
      </c>
      <c r="K317" s="13">
        <f>INDEX(Assumptions!$B$4:$B$23,MATCH(F317,Assumptions!$A$4:$A$23,0))</f>
        <v>1.0869565217391299</v>
      </c>
      <c r="L317" s="14">
        <f t="shared" si="8"/>
        <v>4.336956521739129</v>
      </c>
      <c r="M317" t="str">
        <f t="shared" si="9"/>
        <v>No</v>
      </c>
    </row>
    <row r="318" spans="1:13" x14ac:dyDescent="0.25">
      <c r="A318">
        <v>339323</v>
      </c>
      <c r="B318" t="s">
        <v>619</v>
      </c>
      <c r="C318" t="s">
        <v>1180</v>
      </c>
      <c r="D318" t="s">
        <v>6220</v>
      </c>
      <c r="E318">
        <v>4.55</v>
      </c>
      <c r="F318" t="s">
        <v>50</v>
      </c>
      <c r="G318" t="s">
        <v>961</v>
      </c>
      <c r="H318" t="s">
        <v>1156</v>
      </c>
      <c r="I318" s="11">
        <v>46298</v>
      </c>
      <c r="J318" s="12">
        <v>46296</v>
      </c>
      <c r="K318" s="13">
        <f>INDEX(Assumptions!$B$4:$B$23,MATCH(F318,Assumptions!$A$4:$A$23,0))</f>
        <v>1.0869565217391299</v>
      </c>
      <c r="L318" s="14">
        <f t="shared" si="8"/>
        <v>4.9456521739130412</v>
      </c>
      <c r="M318" t="str">
        <f t="shared" si="9"/>
        <v>No</v>
      </c>
    </row>
    <row r="319" spans="1:13" x14ac:dyDescent="0.25">
      <c r="A319">
        <v>339322</v>
      </c>
      <c r="B319" t="s">
        <v>1003</v>
      </c>
      <c r="C319" t="s">
        <v>1182</v>
      </c>
      <c r="D319" t="s">
        <v>6220</v>
      </c>
      <c r="E319">
        <v>3.39</v>
      </c>
      <c r="F319" t="s">
        <v>50</v>
      </c>
      <c r="G319" t="s">
        <v>961</v>
      </c>
      <c r="H319" t="s">
        <v>1156</v>
      </c>
      <c r="I319" s="11">
        <v>46298</v>
      </c>
      <c r="J319" s="12">
        <v>46296</v>
      </c>
      <c r="K319" s="13">
        <f>INDEX(Assumptions!$B$4:$B$23,MATCH(F319,Assumptions!$A$4:$A$23,0))</f>
        <v>1.0869565217391299</v>
      </c>
      <c r="L319" s="14">
        <f t="shared" si="8"/>
        <v>3.6847826086956506</v>
      </c>
      <c r="M319" t="str">
        <f t="shared" si="9"/>
        <v>No</v>
      </c>
    </row>
    <row r="320" spans="1:13" x14ac:dyDescent="0.25">
      <c r="A320">
        <v>339321</v>
      </c>
      <c r="B320" t="s">
        <v>619</v>
      </c>
      <c r="C320" t="s">
        <v>1180</v>
      </c>
      <c r="D320" t="s">
        <v>6220</v>
      </c>
      <c r="E320">
        <v>4.55</v>
      </c>
      <c r="F320" t="s">
        <v>50</v>
      </c>
      <c r="G320" t="s">
        <v>961</v>
      </c>
      <c r="H320" t="s">
        <v>973</v>
      </c>
      <c r="I320" s="11">
        <v>46298</v>
      </c>
      <c r="J320" s="12">
        <v>46296</v>
      </c>
      <c r="K320" s="13">
        <f>INDEX(Assumptions!$B$4:$B$23,MATCH(F320,Assumptions!$A$4:$A$23,0))</f>
        <v>1.0869565217391299</v>
      </c>
      <c r="L320" s="14">
        <f t="shared" si="8"/>
        <v>4.9456521739130412</v>
      </c>
      <c r="M320" t="str">
        <f t="shared" si="9"/>
        <v>No</v>
      </c>
    </row>
    <row r="321" spans="1:13" x14ac:dyDescent="0.25">
      <c r="A321">
        <v>339320</v>
      </c>
      <c r="B321" t="s">
        <v>1177</v>
      </c>
      <c r="C321" t="s">
        <v>1178</v>
      </c>
      <c r="D321" t="s">
        <v>6220</v>
      </c>
      <c r="E321">
        <v>3.99</v>
      </c>
      <c r="F321" t="s">
        <v>50</v>
      </c>
      <c r="G321" t="s">
        <v>961</v>
      </c>
      <c r="H321" t="s">
        <v>973</v>
      </c>
      <c r="I321" s="11">
        <v>46298</v>
      </c>
      <c r="J321" s="12">
        <v>46296</v>
      </c>
      <c r="K321" s="13">
        <f>INDEX(Assumptions!$B$4:$B$23,MATCH(F321,Assumptions!$A$4:$A$23,0))</f>
        <v>1.0869565217391299</v>
      </c>
      <c r="L321" s="14">
        <f t="shared" si="8"/>
        <v>4.336956521739129</v>
      </c>
      <c r="M321" t="str">
        <f t="shared" si="9"/>
        <v>No</v>
      </c>
    </row>
    <row r="322" spans="1:13" x14ac:dyDescent="0.25">
      <c r="A322">
        <v>339319</v>
      </c>
      <c r="B322" t="s">
        <v>1186</v>
      </c>
      <c r="C322" t="s">
        <v>6221</v>
      </c>
      <c r="D322" t="s">
        <v>6220</v>
      </c>
      <c r="E322">
        <v>3.59</v>
      </c>
      <c r="F322" t="s">
        <v>50</v>
      </c>
      <c r="G322" t="s">
        <v>961</v>
      </c>
      <c r="H322" t="s">
        <v>990</v>
      </c>
      <c r="I322" s="11">
        <v>46298</v>
      </c>
      <c r="J322" s="12">
        <v>46296</v>
      </c>
      <c r="K322" s="13">
        <f>INDEX(Assumptions!$B$4:$B$23,MATCH(F322,Assumptions!$A$4:$A$23,0))</f>
        <v>1.0869565217391299</v>
      </c>
      <c r="L322" s="14">
        <f t="shared" ref="L322:L385" si="10">E322*K322</f>
        <v>3.9021739130434763</v>
      </c>
      <c r="M322" t="str">
        <f t="shared" ref="M322:M385" si="11">IF(C322="Unnamed product","Yes","No")</f>
        <v>Yes</v>
      </c>
    </row>
    <row r="323" spans="1:13" x14ac:dyDescent="0.25">
      <c r="A323">
        <v>339318</v>
      </c>
      <c r="B323" t="s">
        <v>1188</v>
      </c>
      <c r="C323" t="s">
        <v>6221</v>
      </c>
      <c r="D323" t="s">
        <v>6220</v>
      </c>
      <c r="E323">
        <v>4.3899999999999997</v>
      </c>
      <c r="F323" t="s">
        <v>50</v>
      </c>
      <c r="G323" t="s">
        <v>961</v>
      </c>
      <c r="H323" t="s">
        <v>1011</v>
      </c>
      <c r="I323" s="11">
        <v>46298</v>
      </c>
      <c r="J323" s="12">
        <v>46296</v>
      </c>
      <c r="K323" s="13">
        <f>INDEX(Assumptions!$B$4:$B$23,MATCH(F323,Assumptions!$A$4:$A$23,0))</f>
        <v>1.0869565217391299</v>
      </c>
      <c r="L323" s="14">
        <f t="shared" si="10"/>
        <v>4.7717391304347805</v>
      </c>
      <c r="M323" t="str">
        <f t="shared" si="11"/>
        <v>Yes</v>
      </c>
    </row>
    <row r="324" spans="1:13" x14ac:dyDescent="0.25">
      <c r="A324">
        <v>339317</v>
      </c>
      <c r="B324" t="s">
        <v>1191</v>
      </c>
      <c r="C324" t="s">
        <v>1192</v>
      </c>
      <c r="D324" t="s">
        <v>6220</v>
      </c>
      <c r="E324">
        <v>3.29</v>
      </c>
      <c r="F324" t="s">
        <v>50</v>
      </c>
      <c r="G324" t="s">
        <v>961</v>
      </c>
      <c r="H324" t="s">
        <v>973</v>
      </c>
      <c r="I324" s="11">
        <v>46298</v>
      </c>
      <c r="J324" s="12">
        <v>46296</v>
      </c>
      <c r="K324" s="13">
        <f>INDEX(Assumptions!$B$4:$B$23,MATCH(F324,Assumptions!$A$4:$A$23,0))</f>
        <v>1.0869565217391299</v>
      </c>
      <c r="L324" s="14">
        <f t="shared" si="10"/>
        <v>3.5760869565217375</v>
      </c>
      <c r="M324" t="str">
        <f t="shared" si="11"/>
        <v>No</v>
      </c>
    </row>
    <row r="325" spans="1:13" x14ac:dyDescent="0.25">
      <c r="A325">
        <v>339316</v>
      </c>
      <c r="B325" t="s">
        <v>1194</v>
      </c>
      <c r="C325" t="s">
        <v>1195</v>
      </c>
      <c r="D325" t="s">
        <v>6220</v>
      </c>
      <c r="E325">
        <v>3</v>
      </c>
      <c r="F325" t="s">
        <v>50</v>
      </c>
      <c r="G325" t="s">
        <v>961</v>
      </c>
      <c r="H325" t="s">
        <v>973</v>
      </c>
      <c r="I325" s="11">
        <v>46298</v>
      </c>
      <c r="J325" s="12">
        <v>46296</v>
      </c>
      <c r="K325" s="13">
        <f>INDEX(Assumptions!$B$4:$B$23,MATCH(F325,Assumptions!$A$4:$A$23,0))</f>
        <v>1.0869565217391299</v>
      </c>
      <c r="L325" s="14">
        <f t="shared" si="10"/>
        <v>3.2608695652173898</v>
      </c>
      <c r="M325" t="str">
        <f t="shared" si="11"/>
        <v>No</v>
      </c>
    </row>
    <row r="326" spans="1:13" x14ac:dyDescent="0.25">
      <c r="A326">
        <v>339315</v>
      </c>
      <c r="B326" t="s">
        <v>1003</v>
      </c>
      <c r="C326" t="s">
        <v>1006</v>
      </c>
      <c r="D326" t="s">
        <v>6220</v>
      </c>
      <c r="E326">
        <v>3.39</v>
      </c>
      <c r="F326" t="s">
        <v>50</v>
      </c>
      <c r="G326" t="s">
        <v>961</v>
      </c>
      <c r="H326" t="s">
        <v>960</v>
      </c>
      <c r="I326" s="11">
        <v>46298</v>
      </c>
      <c r="J326" s="12">
        <v>46296</v>
      </c>
      <c r="K326" s="13">
        <f>INDEX(Assumptions!$B$4:$B$23,MATCH(F326,Assumptions!$A$4:$A$23,0))</f>
        <v>1.0869565217391299</v>
      </c>
      <c r="L326" s="14">
        <f t="shared" si="10"/>
        <v>3.6847826086956506</v>
      </c>
      <c r="M326" t="str">
        <f t="shared" si="11"/>
        <v>No</v>
      </c>
    </row>
    <row r="327" spans="1:13" x14ac:dyDescent="0.25">
      <c r="A327">
        <v>339314</v>
      </c>
      <c r="B327" t="s">
        <v>1198</v>
      </c>
      <c r="C327" t="s">
        <v>1199</v>
      </c>
      <c r="D327" t="s">
        <v>6220</v>
      </c>
      <c r="E327">
        <v>3.85</v>
      </c>
      <c r="F327" t="s">
        <v>50</v>
      </c>
      <c r="G327" t="s">
        <v>961</v>
      </c>
      <c r="H327" t="s">
        <v>973</v>
      </c>
      <c r="I327" s="11">
        <v>46298</v>
      </c>
      <c r="J327" s="12">
        <v>46296</v>
      </c>
      <c r="K327" s="13">
        <f>INDEX(Assumptions!$B$4:$B$23,MATCH(F327,Assumptions!$A$4:$A$23,0))</f>
        <v>1.0869565217391299</v>
      </c>
      <c r="L327" s="14">
        <f t="shared" si="10"/>
        <v>4.1847826086956506</v>
      </c>
      <c r="M327" t="str">
        <f t="shared" si="11"/>
        <v>No</v>
      </c>
    </row>
    <row r="328" spans="1:13" x14ac:dyDescent="0.25">
      <c r="A328">
        <v>339313</v>
      </c>
      <c r="B328" t="s">
        <v>1202</v>
      </c>
      <c r="C328" t="s">
        <v>1203</v>
      </c>
      <c r="D328" t="s">
        <v>6220</v>
      </c>
      <c r="E328">
        <v>4.6100000000000003</v>
      </c>
      <c r="F328" t="s">
        <v>50</v>
      </c>
      <c r="G328" t="s">
        <v>961</v>
      </c>
      <c r="H328" t="s">
        <v>960</v>
      </c>
      <c r="I328" s="11">
        <v>46298</v>
      </c>
      <c r="J328" s="12">
        <v>46296</v>
      </c>
      <c r="K328" s="13">
        <f>INDEX(Assumptions!$B$4:$B$23,MATCH(F328,Assumptions!$A$4:$A$23,0))</f>
        <v>1.0869565217391299</v>
      </c>
      <c r="L328" s="14">
        <f t="shared" si="10"/>
        <v>5.0108695652173889</v>
      </c>
      <c r="M328" t="str">
        <f t="shared" si="11"/>
        <v>No</v>
      </c>
    </row>
    <row r="329" spans="1:13" x14ac:dyDescent="0.25">
      <c r="A329">
        <v>339312</v>
      </c>
      <c r="B329" t="s">
        <v>1206</v>
      </c>
      <c r="C329" t="s">
        <v>1207</v>
      </c>
      <c r="D329" t="s">
        <v>6220</v>
      </c>
      <c r="E329">
        <v>2.37</v>
      </c>
      <c r="F329" t="s">
        <v>50</v>
      </c>
      <c r="G329" t="s">
        <v>961</v>
      </c>
      <c r="H329" t="s">
        <v>973</v>
      </c>
      <c r="I329" s="11">
        <v>46298</v>
      </c>
      <c r="J329" s="12">
        <v>46296</v>
      </c>
      <c r="K329" s="13">
        <f>INDEX(Assumptions!$B$4:$B$23,MATCH(F329,Assumptions!$A$4:$A$23,0))</f>
        <v>1.0869565217391299</v>
      </c>
      <c r="L329" s="14">
        <f t="shared" si="10"/>
        <v>2.5760869565217379</v>
      </c>
      <c r="M329" t="str">
        <f t="shared" si="11"/>
        <v>No</v>
      </c>
    </row>
    <row r="330" spans="1:13" x14ac:dyDescent="0.25">
      <c r="A330">
        <v>339311</v>
      </c>
      <c r="B330" t="s">
        <v>1209</v>
      </c>
      <c r="C330" t="s">
        <v>1210</v>
      </c>
      <c r="D330" t="s">
        <v>6220</v>
      </c>
      <c r="E330">
        <v>4.99</v>
      </c>
      <c r="F330" t="s">
        <v>50</v>
      </c>
      <c r="G330" t="s">
        <v>961</v>
      </c>
      <c r="H330" t="s">
        <v>973</v>
      </c>
      <c r="I330" s="11">
        <v>46298</v>
      </c>
      <c r="J330" s="12">
        <v>46296</v>
      </c>
      <c r="K330" s="13">
        <f>INDEX(Assumptions!$B$4:$B$23,MATCH(F330,Assumptions!$A$4:$A$23,0))</f>
        <v>1.0869565217391299</v>
      </c>
      <c r="L330" s="14">
        <f t="shared" si="10"/>
        <v>5.423913043478259</v>
      </c>
      <c r="M330" t="str">
        <f t="shared" si="11"/>
        <v>No</v>
      </c>
    </row>
    <row r="331" spans="1:13" x14ac:dyDescent="0.25">
      <c r="A331">
        <v>339310</v>
      </c>
      <c r="B331" t="s">
        <v>1212</v>
      </c>
      <c r="C331" t="s">
        <v>1213</v>
      </c>
      <c r="D331" t="s">
        <v>6220</v>
      </c>
      <c r="E331">
        <v>4.6500000000000004</v>
      </c>
      <c r="F331" t="s">
        <v>50</v>
      </c>
      <c r="G331" t="s">
        <v>961</v>
      </c>
      <c r="H331" t="s">
        <v>973</v>
      </c>
      <c r="I331" s="11">
        <v>46298</v>
      </c>
      <c r="J331" s="12">
        <v>46296</v>
      </c>
      <c r="K331" s="13">
        <f>INDEX(Assumptions!$B$4:$B$23,MATCH(F331,Assumptions!$A$4:$A$23,0))</f>
        <v>1.0869565217391299</v>
      </c>
      <c r="L331" s="14">
        <f t="shared" si="10"/>
        <v>5.0543478260869543</v>
      </c>
      <c r="M331" t="str">
        <f t="shared" si="11"/>
        <v>No</v>
      </c>
    </row>
    <row r="332" spans="1:13" x14ac:dyDescent="0.25">
      <c r="A332">
        <v>339309</v>
      </c>
      <c r="B332" t="s">
        <v>1215</v>
      </c>
      <c r="C332" t="s">
        <v>6221</v>
      </c>
      <c r="D332" t="s">
        <v>6220</v>
      </c>
      <c r="E332">
        <v>3.19</v>
      </c>
      <c r="F332" t="s">
        <v>50</v>
      </c>
      <c r="G332" t="s">
        <v>961</v>
      </c>
      <c r="H332" t="s">
        <v>1011</v>
      </c>
      <c r="I332" s="11">
        <v>46298</v>
      </c>
      <c r="J332" s="12">
        <v>46296</v>
      </c>
      <c r="K332" s="13">
        <f>INDEX(Assumptions!$B$4:$B$23,MATCH(F332,Assumptions!$A$4:$A$23,0))</f>
        <v>1.0869565217391299</v>
      </c>
      <c r="L332" s="14">
        <f t="shared" si="10"/>
        <v>3.4673913043478244</v>
      </c>
      <c r="M332" t="str">
        <f t="shared" si="11"/>
        <v>Yes</v>
      </c>
    </row>
    <row r="333" spans="1:13" x14ac:dyDescent="0.25">
      <c r="A333">
        <v>339308</v>
      </c>
      <c r="B333" t="s">
        <v>1217</v>
      </c>
      <c r="C333" t="s">
        <v>1218</v>
      </c>
      <c r="D333" t="s">
        <v>6220</v>
      </c>
      <c r="E333">
        <v>4.45</v>
      </c>
      <c r="F333" t="s">
        <v>50</v>
      </c>
      <c r="G333" t="s">
        <v>961</v>
      </c>
      <c r="H333" t="s">
        <v>973</v>
      </c>
      <c r="I333" s="11">
        <v>46298</v>
      </c>
      <c r="J333" s="12">
        <v>46296</v>
      </c>
      <c r="K333" s="13">
        <f>INDEX(Assumptions!$B$4:$B$23,MATCH(F333,Assumptions!$A$4:$A$23,0))</f>
        <v>1.0869565217391299</v>
      </c>
      <c r="L333" s="14">
        <f t="shared" si="10"/>
        <v>4.8369565217391282</v>
      </c>
      <c r="M333" t="str">
        <f t="shared" si="11"/>
        <v>No</v>
      </c>
    </row>
    <row r="334" spans="1:13" x14ac:dyDescent="0.25">
      <c r="A334">
        <v>339307</v>
      </c>
      <c r="B334" t="s">
        <v>1220</v>
      </c>
      <c r="C334" t="s">
        <v>1221</v>
      </c>
      <c r="D334" t="s">
        <v>6220</v>
      </c>
      <c r="E334">
        <v>3.55</v>
      </c>
      <c r="F334" t="s">
        <v>50</v>
      </c>
      <c r="G334" t="s">
        <v>961</v>
      </c>
      <c r="H334" t="s">
        <v>973</v>
      </c>
      <c r="I334" s="11">
        <v>46298</v>
      </c>
      <c r="J334" s="12">
        <v>46296</v>
      </c>
      <c r="K334" s="13">
        <f>INDEX(Assumptions!$B$4:$B$23,MATCH(F334,Assumptions!$A$4:$A$23,0))</f>
        <v>1.0869565217391299</v>
      </c>
      <c r="L334" s="14">
        <f t="shared" si="10"/>
        <v>3.8586956521739109</v>
      </c>
      <c r="M334" t="str">
        <f t="shared" si="11"/>
        <v>No</v>
      </c>
    </row>
    <row r="335" spans="1:13" x14ac:dyDescent="0.25">
      <c r="A335">
        <v>339306</v>
      </c>
      <c r="B335" t="s">
        <v>1223</v>
      </c>
      <c r="C335" t="s">
        <v>1224</v>
      </c>
      <c r="D335" t="s">
        <v>6220</v>
      </c>
      <c r="E335">
        <v>4.3899999999999997</v>
      </c>
      <c r="F335" t="s">
        <v>50</v>
      </c>
      <c r="G335" t="s">
        <v>961</v>
      </c>
      <c r="H335" t="s">
        <v>973</v>
      </c>
      <c r="I335" s="11">
        <v>46298</v>
      </c>
      <c r="J335" s="12">
        <v>46296</v>
      </c>
      <c r="K335" s="13">
        <f>INDEX(Assumptions!$B$4:$B$23,MATCH(F335,Assumptions!$A$4:$A$23,0))</f>
        <v>1.0869565217391299</v>
      </c>
      <c r="L335" s="14">
        <f t="shared" si="10"/>
        <v>4.7717391304347805</v>
      </c>
      <c r="M335" t="str">
        <f t="shared" si="11"/>
        <v>No</v>
      </c>
    </row>
    <row r="336" spans="1:13" x14ac:dyDescent="0.25">
      <c r="A336">
        <v>339305</v>
      </c>
      <c r="B336" t="s">
        <v>174</v>
      </c>
      <c r="C336" t="s">
        <v>1226</v>
      </c>
      <c r="D336" t="s">
        <v>6220</v>
      </c>
      <c r="E336">
        <v>4.55</v>
      </c>
      <c r="F336" t="s">
        <v>50</v>
      </c>
      <c r="G336" t="s">
        <v>961</v>
      </c>
      <c r="H336" t="s">
        <v>973</v>
      </c>
      <c r="I336" s="11">
        <v>46298</v>
      </c>
      <c r="J336" s="12">
        <v>46296</v>
      </c>
      <c r="K336" s="13">
        <f>INDEX(Assumptions!$B$4:$B$23,MATCH(F336,Assumptions!$A$4:$A$23,0))</f>
        <v>1.0869565217391299</v>
      </c>
      <c r="L336" s="14">
        <f t="shared" si="10"/>
        <v>4.9456521739130412</v>
      </c>
      <c r="M336" t="str">
        <f t="shared" si="11"/>
        <v>No</v>
      </c>
    </row>
    <row r="337" spans="1:13" x14ac:dyDescent="0.25">
      <c r="A337">
        <v>339304</v>
      </c>
      <c r="B337" t="s">
        <v>1129</v>
      </c>
      <c r="C337" t="s">
        <v>1130</v>
      </c>
      <c r="D337" t="s">
        <v>6220</v>
      </c>
      <c r="E337">
        <v>3.89</v>
      </c>
      <c r="F337" t="s">
        <v>50</v>
      </c>
      <c r="G337" t="s">
        <v>961</v>
      </c>
      <c r="H337" t="s">
        <v>973</v>
      </c>
      <c r="I337" s="11">
        <v>46298</v>
      </c>
      <c r="J337" s="12">
        <v>46296</v>
      </c>
      <c r="K337" s="13">
        <f>INDEX(Assumptions!$B$4:$B$23,MATCH(F337,Assumptions!$A$4:$A$23,0))</f>
        <v>1.0869565217391299</v>
      </c>
      <c r="L337" s="14">
        <f t="shared" si="10"/>
        <v>4.228260869565216</v>
      </c>
      <c r="M337" t="str">
        <f t="shared" si="11"/>
        <v>No</v>
      </c>
    </row>
    <row r="338" spans="1:13" x14ac:dyDescent="0.25">
      <c r="A338">
        <v>339303</v>
      </c>
      <c r="B338" t="s">
        <v>1229</v>
      </c>
      <c r="C338" t="s">
        <v>1230</v>
      </c>
      <c r="D338" t="s">
        <v>6220</v>
      </c>
      <c r="E338">
        <v>4.25</v>
      </c>
      <c r="F338" t="s">
        <v>50</v>
      </c>
      <c r="G338" t="s">
        <v>961</v>
      </c>
      <c r="H338" t="s">
        <v>973</v>
      </c>
      <c r="I338" s="11">
        <v>46298</v>
      </c>
      <c r="J338" s="12">
        <v>46296</v>
      </c>
      <c r="K338" s="13">
        <f>INDEX(Assumptions!$B$4:$B$23,MATCH(F338,Assumptions!$A$4:$A$23,0))</f>
        <v>1.0869565217391299</v>
      </c>
      <c r="L338" s="14">
        <f t="shared" si="10"/>
        <v>4.619565217391302</v>
      </c>
      <c r="M338" t="str">
        <f t="shared" si="11"/>
        <v>No</v>
      </c>
    </row>
    <row r="339" spans="1:13" x14ac:dyDescent="0.25">
      <c r="A339">
        <v>339302</v>
      </c>
      <c r="B339" t="s">
        <v>1233</v>
      </c>
      <c r="C339" t="s">
        <v>6221</v>
      </c>
      <c r="D339" t="s">
        <v>6220</v>
      </c>
      <c r="E339">
        <v>3.19</v>
      </c>
      <c r="F339" t="s">
        <v>50</v>
      </c>
      <c r="G339" t="s">
        <v>961</v>
      </c>
      <c r="H339" t="s">
        <v>990</v>
      </c>
      <c r="I339" s="11">
        <v>46298</v>
      </c>
      <c r="J339" s="12">
        <v>46296</v>
      </c>
      <c r="K339" s="13">
        <f>INDEX(Assumptions!$B$4:$B$23,MATCH(F339,Assumptions!$A$4:$A$23,0))</f>
        <v>1.0869565217391299</v>
      </c>
      <c r="L339" s="14">
        <f t="shared" si="10"/>
        <v>3.4673913043478244</v>
      </c>
      <c r="M339" t="str">
        <f t="shared" si="11"/>
        <v>Yes</v>
      </c>
    </row>
    <row r="340" spans="1:13" x14ac:dyDescent="0.25">
      <c r="A340">
        <v>339301</v>
      </c>
      <c r="B340" t="s">
        <v>1235</v>
      </c>
      <c r="C340" t="s">
        <v>1236</v>
      </c>
      <c r="D340" t="s">
        <v>6220</v>
      </c>
      <c r="E340">
        <v>3.99</v>
      </c>
      <c r="F340" t="s">
        <v>50</v>
      </c>
      <c r="G340" t="s">
        <v>961</v>
      </c>
      <c r="H340" t="s">
        <v>973</v>
      </c>
      <c r="I340" s="11">
        <v>46298</v>
      </c>
      <c r="J340" s="12">
        <v>46296</v>
      </c>
      <c r="K340" s="13">
        <f>INDEX(Assumptions!$B$4:$B$23,MATCH(F340,Assumptions!$A$4:$A$23,0))</f>
        <v>1.0869565217391299</v>
      </c>
      <c r="L340" s="14">
        <f t="shared" si="10"/>
        <v>4.336956521739129</v>
      </c>
      <c r="M340" t="str">
        <f t="shared" si="11"/>
        <v>No</v>
      </c>
    </row>
    <row r="341" spans="1:13" x14ac:dyDescent="0.25">
      <c r="A341">
        <v>339300</v>
      </c>
      <c r="B341" t="s">
        <v>1235</v>
      </c>
      <c r="C341" t="s">
        <v>1236</v>
      </c>
      <c r="D341" t="s">
        <v>6220</v>
      </c>
      <c r="E341">
        <v>3.99</v>
      </c>
      <c r="F341" t="s">
        <v>50</v>
      </c>
      <c r="G341" t="s">
        <v>961</v>
      </c>
      <c r="H341" t="s">
        <v>973</v>
      </c>
      <c r="I341" s="11">
        <v>46298</v>
      </c>
      <c r="J341" s="12">
        <v>46296</v>
      </c>
      <c r="K341" s="13">
        <f>INDEX(Assumptions!$B$4:$B$23,MATCH(F341,Assumptions!$A$4:$A$23,0))</f>
        <v>1.0869565217391299</v>
      </c>
      <c r="L341" s="14">
        <f t="shared" si="10"/>
        <v>4.336956521739129</v>
      </c>
      <c r="M341" t="str">
        <f t="shared" si="11"/>
        <v>No</v>
      </c>
    </row>
    <row r="342" spans="1:13" x14ac:dyDescent="0.25">
      <c r="A342">
        <v>339299</v>
      </c>
      <c r="B342" t="s">
        <v>320</v>
      </c>
      <c r="C342" t="s">
        <v>1239</v>
      </c>
      <c r="D342" t="s">
        <v>6220</v>
      </c>
      <c r="E342">
        <v>4.55</v>
      </c>
      <c r="F342" t="s">
        <v>50</v>
      </c>
      <c r="G342" t="s">
        <v>961</v>
      </c>
      <c r="H342" t="s">
        <v>973</v>
      </c>
      <c r="I342" s="11">
        <v>46298</v>
      </c>
      <c r="J342" s="12">
        <v>46296</v>
      </c>
      <c r="K342" s="13">
        <f>INDEX(Assumptions!$B$4:$B$23,MATCH(F342,Assumptions!$A$4:$A$23,0))</f>
        <v>1.0869565217391299</v>
      </c>
      <c r="L342" s="14">
        <f t="shared" si="10"/>
        <v>4.9456521739130412</v>
      </c>
      <c r="M342" t="str">
        <f t="shared" si="11"/>
        <v>No</v>
      </c>
    </row>
    <row r="343" spans="1:13" x14ac:dyDescent="0.25">
      <c r="A343">
        <v>339298</v>
      </c>
      <c r="B343" t="s">
        <v>1241</v>
      </c>
      <c r="C343" t="s">
        <v>1242</v>
      </c>
      <c r="D343" t="s">
        <v>6220</v>
      </c>
      <c r="E343">
        <v>4.25</v>
      </c>
      <c r="F343" t="s">
        <v>50</v>
      </c>
      <c r="G343" t="s">
        <v>961</v>
      </c>
      <c r="H343" t="s">
        <v>973</v>
      </c>
      <c r="I343" s="11">
        <v>46298</v>
      </c>
      <c r="J343" s="12">
        <v>46296</v>
      </c>
      <c r="K343" s="13">
        <f>INDEX(Assumptions!$B$4:$B$23,MATCH(F343,Assumptions!$A$4:$A$23,0))</f>
        <v>1.0869565217391299</v>
      </c>
      <c r="L343" s="14">
        <f t="shared" si="10"/>
        <v>4.619565217391302</v>
      </c>
      <c r="M343" t="str">
        <f t="shared" si="11"/>
        <v>No</v>
      </c>
    </row>
    <row r="344" spans="1:13" x14ac:dyDescent="0.25">
      <c r="A344">
        <v>339297</v>
      </c>
      <c r="B344" t="s">
        <v>1244</v>
      </c>
      <c r="C344" t="s">
        <v>1245</v>
      </c>
      <c r="D344" t="s">
        <v>6220</v>
      </c>
      <c r="E344">
        <v>4.6500000000000004</v>
      </c>
      <c r="F344" t="s">
        <v>50</v>
      </c>
      <c r="G344" t="s">
        <v>961</v>
      </c>
      <c r="H344" t="s">
        <v>973</v>
      </c>
      <c r="I344" s="11">
        <v>46298</v>
      </c>
      <c r="J344" s="12">
        <v>46296</v>
      </c>
      <c r="K344" s="13">
        <f>INDEX(Assumptions!$B$4:$B$23,MATCH(F344,Assumptions!$A$4:$A$23,0))</f>
        <v>1.0869565217391299</v>
      </c>
      <c r="L344" s="14">
        <f t="shared" si="10"/>
        <v>5.0543478260869543</v>
      </c>
      <c r="M344" t="str">
        <f t="shared" si="11"/>
        <v>No</v>
      </c>
    </row>
    <row r="345" spans="1:13" x14ac:dyDescent="0.25">
      <c r="A345">
        <v>339296</v>
      </c>
      <c r="B345" t="s">
        <v>1247</v>
      </c>
      <c r="C345" t="s">
        <v>6221</v>
      </c>
      <c r="D345" t="s">
        <v>6220</v>
      </c>
      <c r="E345">
        <v>2.75</v>
      </c>
      <c r="F345" t="s">
        <v>50</v>
      </c>
      <c r="G345" t="s">
        <v>961</v>
      </c>
      <c r="H345" t="s">
        <v>990</v>
      </c>
      <c r="I345" s="11">
        <v>46298</v>
      </c>
      <c r="J345" s="12">
        <v>46296</v>
      </c>
      <c r="K345" s="13">
        <f>INDEX(Assumptions!$B$4:$B$23,MATCH(F345,Assumptions!$A$4:$A$23,0))</f>
        <v>1.0869565217391299</v>
      </c>
      <c r="L345" s="14">
        <f t="shared" si="10"/>
        <v>2.9891304347826075</v>
      </c>
      <c r="M345" t="str">
        <f t="shared" si="11"/>
        <v>Yes</v>
      </c>
    </row>
    <row r="346" spans="1:13" x14ac:dyDescent="0.25">
      <c r="A346">
        <v>339295</v>
      </c>
      <c r="B346" t="s">
        <v>1249</v>
      </c>
      <c r="C346" t="s">
        <v>6221</v>
      </c>
      <c r="D346" t="s">
        <v>6220</v>
      </c>
      <c r="E346">
        <v>3.35</v>
      </c>
      <c r="F346" t="s">
        <v>50</v>
      </c>
      <c r="G346" t="s">
        <v>961</v>
      </c>
      <c r="H346" t="s">
        <v>990</v>
      </c>
      <c r="I346" s="11">
        <v>46298</v>
      </c>
      <c r="J346" s="12">
        <v>46296</v>
      </c>
      <c r="K346" s="13">
        <f>INDEX(Assumptions!$B$4:$B$23,MATCH(F346,Assumptions!$A$4:$A$23,0))</f>
        <v>1.0869565217391299</v>
      </c>
      <c r="L346" s="14">
        <f t="shared" si="10"/>
        <v>3.6413043478260856</v>
      </c>
      <c r="M346" t="str">
        <f t="shared" si="11"/>
        <v>Yes</v>
      </c>
    </row>
    <row r="347" spans="1:13" x14ac:dyDescent="0.25">
      <c r="A347">
        <v>339294</v>
      </c>
      <c r="B347" t="s">
        <v>1251</v>
      </c>
      <c r="C347" t="s">
        <v>6221</v>
      </c>
      <c r="D347" t="s">
        <v>6220</v>
      </c>
      <c r="E347">
        <v>4.3899999999999997</v>
      </c>
      <c r="F347" t="s">
        <v>50</v>
      </c>
      <c r="G347" t="s">
        <v>961</v>
      </c>
      <c r="H347" t="s">
        <v>990</v>
      </c>
      <c r="I347" s="11">
        <v>46298</v>
      </c>
      <c r="J347" s="12">
        <v>46296</v>
      </c>
      <c r="K347" s="13">
        <f>INDEX(Assumptions!$B$4:$B$23,MATCH(F347,Assumptions!$A$4:$A$23,0))</f>
        <v>1.0869565217391299</v>
      </c>
      <c r="L347" s="14">
        <f t="shared" si="10"/>
        <v>4.7717391304347805</v>
      </c>
      <c r="M347" t="str">
        <f t="shared" si="11"/>
        <v>Yes</v>
      </c>
    </row>
    <row r="348" spans="1:13" x14ac:dyDescent="0.25">
      <c r="A348">
        <v>339293</v>
      </c>
      <c r="B348" t="s">
        <v>1253</v>
      </c>
      <c r="C348" t="s">
        <v>6221</v>
      </c>
      <c r="D348" t="s">
        <v>6220</v>
      </c>
      <c r="E348">
        <v>1.79</v>
      </c>
      <c r="F348" t="s">
        <v>50</v>
      </c>
      <c r="G348" t="s">
        <v>961</v>
      </c>
      <c r="H348" t="s">
        <v>990</v>
      </c>
      <c r="I348" s="11">
        <v>46298</v>
      </c>
      <c r="J348" s="12">
        <v>46296</v>
      </c>
      <c r="K348" s="13">
        <f>INDEX(Assumptions!$B$4:$B$23,MATCH(F348,Assumptions!$A$4:$A$23,0))</f>
        <v>1.0869565217391299</v>
      </c>
      <c r="L348" s="14">
        <f t="shared" si="10"/>
        <v>1.9456521739130426</v>
      </c>
      <c r="M348" t="str">
        <f t="shared" si="11"/>
        <v>Yes</v>
      </c>
    </row>
    <row r="349" spans="1:13" x14ac:dyDescent="0.25">
      <c r="A349">
        <v>339292</v>
      </c>
      <c r="B349" t="s">
        <v>1255</v>
      </c>
      <c r="C349" t="s">
        <v>6221</v>
      </c>
      <c r="D349" t="s">
        <v>6220</v>
      </c>
      <c r="E349">
        <v>4.8499999999999996</v>
      </c>
      <c r="F349" t="s">
        <v>50</v>
      </c>
      <c r="G349" t="s">
        <v>961</v>
      </c>
      <c r="H349" t="s">
        <v>1011</v>
      </c>
      <c r="I349" s="11">
        <v>46298</v>
      </c>
      <c r="J349" s="12">
        <v>46296</v>
      </c>
      <c r="K349" s="13">
        <f>INDEX(Assumptions!$B$4:$B$23,MATCH(F349,Assumptions!$A$4:$A$23,0))</f>
        <v>1.0869565217391299</v>
      </c>
      <c r="L349" s="14">
        <f t="shared" si="10"/>
        <v>5.2717391304347796</v>
      </c>
      <c r="M349" t="str">
        <f t="shared" si="11"/>
        <v>Yes</v>
      </c>
    </row>
    <row r="350" spans="1:13" x14ac:dyDescent="0.25">
      <c r="A350">
        <v>339291</v>
      </c>
      <c r="B350" t="s">
        <v>1258</v>
      </c>
      <c r="C350" t="s">
        <v>6221</v>
      </c>
      <c r="D350" t="s">
        <v>6220</v>
      </c>
      <c r="E350">
        <v>2.79</v>
      </c>
      <c r="F350" t="s">
        <v>50</v>
      </c>
      <c r="G350" t="s">
        <v>961</v>
      </c>
      <c r="H350" t="s">
        <v>990</v>
      </c>
      <c r="I350" s="11">
        <v>46298</v>
      </c>
      <c r="J350" s="12">
        <v>46296</v>
      </c>
      <c r="K350" s="13">
        <f>INDEX(Assumptions!$B$4:$B$23,MATCH(F350,Assumptions!$A$4:$A$23,0))</f>
        <v>1.0869565217391299</v>
      </c>
      <c r="L350" s="14">
        <f t="shared" si="10"/>
        <v>3.0326086956521725</v>
      </c>
      <c r="M350" t="str">
        <f t="shared" si="11"/>
        <v>Yes</v>
      </c>
    </row>
    <row r="351" spans="1:13" x14ac:dyDescent="0.25">
      <c r="A351">
        <v>339290</v>
      </c>
      <c r="B351" t="s">
        <v>1260</v>
      </c>
      <c r="C351" t="s">
        <v>6221</v>
      </c>
      <c r="D351" t="s">
        <v>6220</v>
      </c>
      <c r="E351">
        <v>3.75</v>
      </c>
      <c r="F351" t="s">
        <v>50</v>
      </c>
      <c r="G351" t="s">
        <v>961</v>
      </c>
      <c r="H351" t="s">
        <v>990</v>
      </c>
      <c r="I351" s="11">
        <v>46298</v>
      </c>
      <c r="J351" s="12">
        <v>46296</v>
      </c>
      <c r="K351" s="13">
        <f>INDEX(Assumptions!$B$4:$B$23,MATCH(F351,Assumptions!$A$4:$A$23,0))</f>
        <v>1.0869565217391299</v>
      </c>
      <c r="L351" s="14">
        <f t="shared" si="10"/>
        <v>4.0760869565217375</v>
      </c>
      <c r="M351" t="str">
        <f t="shared" si="11"/>
        <v>Yes</v>
      </c>
    </row>
    <row r="352" spans="1:13" x14ac:dyDescent="0.25">
      <c r="A352">
        <v>339289</v>
      </c>
      <c r="B352" t="s">
        <v>1262</v>
      </c>
      <c r="C352" t="s">
        <v>6221</v>
      </c>
      <c r="D352" t="s">
        <v>6220</v>
      </c>
      <c r="E352">
        <v>2.59</v>
      </c>
      <c r="F352" t="s">
        <v>50</v>
      </c>
      <c r="G352" t="s">
        <v>961</v>
      </c>
      <c r="H352" t="s">
        <v>990</v>
      </c>
      <c r="I352" s="11">
        <v>46298</v>
      </c>
      <c r="J352" s="12">
        <v>46296</v>
      </c>
      <c r="K352" s="13">
        <f>INDEX(Assumptions!$B$4:$B$23,MATCH(F352,Assumptions!$A$4:$A$23,0))</f>
        <v>1.0869565217391299</v>
      </c>
      <c r="L352" s="14">
        <f t="shared" si="10"/>
        <v>2.8152173913043463</v>
      </c>
      <c r="M352" t="str">
        <f t="shared" si="11"/>
        <v>Yes</v>
      </c>
    </row>
    <row r="353" spans="1:13" x14ac:dyDescent="0.25">
      <c r="A353">
        <v>339288</v>
      </c>
      <c r="B353" t="s">
        <v>174</v>
      </c>
      <c r="C353" t="s">
        <v>6221</v>
      </c>
      <c r="D353" t="s">
        <v>6220</v>
      </c>
      <c r="E353">
        <v>4.55</v>
      </c>
      <c r="F353" t="s">
        <v>50</v>
      </c>
      <c r="G353" t="s">
        <v>961</v>
      </c>
      <c r="H353" t="s">
        <v>973</v>
      </c>
      <c r="I353" s="11">
        <v>46298</v>
      </c>
      <c r="J353" s="12">
        <v>46296</v>
      </c>
      <c r="K353" s="13">
        <f>INDEX(Assumptions!$B$4:$B$23,MATCH(F353,Assumptions!$A$4:$A$23,0))</f>
        <v>1.0869565217391299</v>
      </c>
      <c r="L353" s="14">
        <f t="shared" si="10"/>
        <v>4.9456521739130412</v>
      </c>
      <c r="M353" t="str">
        <f t="shared" si="11"/>
        <v>Yes</v>
      </c>
    </row>
    <row r="354" spans="1:13" x14ac:dyDescent="0.25">
      <c r="A354">
        <v>339287</v>
      </c>
      <c r="B354" t="s">
        <v>1265</v>
      </c>
      <c r="C354" t="s">
        <v>6221</v>
      </c>
      <c r="D354" t="s">
        <v>6220</v>
      </c>
      <c r="E354">
        <v>1.79</v>
      </c>
      <c r="F354" t="s">
        <v>50</v>
      </c>
      <c r="G354" t="s">
        <v>961</v>
      </c>
      <c r="H354" t="s">
        <v>990</v>
      </c>
      <c r="I354" s="11">
        <v>46298</v>
      </c>
      <c r="J354" s="12">
        <v>46296</v>
      </c>
      <c r="K354" s="13">
        <f>INDEX(Assumptions!$B$4:$B$23,MATCH(F354,Assumptions!$A$4:$A$23,0))</f>
        <v>1.0869565217391299</v>
      </c>
      <c r="L354" s="14">
        <f t="shared" si="10"/>
        <v>1.9456521739130426</v>
      </c>
      <c r="M354" t="str">
        <f t="shared" si="11"/>
        <v>Yes</v>
      </c>
    </row>
    <row r="355" spans="1:13" x14ac:dyDescent="0.25">
      <c r="A355">
        <v>339286</v>
      </c>
      <c r="B355" t="s">
        <v>619</v>
      </c>
      <c r="C355" t="s">
        <v>6221</v>
      </c>
      <c r="D355" t="s">
        <v>6220</v>
      </c>
      <c r="E355">
        <v>4.55</v>
      </c>
      <c r="F355" t="s">
        <v>50</v>
      </c>
      <c r="G355" t="s">
        <v>961</v>
      </c>
      <c r="H355" t="s">
        <v>973</v>
      </c>
      <c r="I355" s="11">
        <v>46298</v>
      </c>
      <c r="J355" s="12">
        <v>46296</v>
      </c>
      <c r="K355" s="13">
        <f>INDEX(Assumptions!$B$4:$B$23,MATCH(F355,Assumptions!$A$4:$A$23,0))</f>
        <v>1.0869565217391299</v>
      </c>
      <c r="L355" s="14">
        <f t="shared" si="10"/>
        <v>4.9456521739130412</v>
      </c>
      <c r="M355" t="str">
        <f t="shared" si="11"/>
        <v>Yes</v>
      </c>
    </row>
    <row r="356" spans="1:13" x14ac:dyDescent="0.25">
      <c r="A356">
        <v>339285</v>
      </c>
      <c r="B356" t="s">
        <v>1268</v>
      </c>
      <c r="C356" t="s">
        <v>6221</v>
      </c>
      <c r="D356" t="s">
        <v>6220</v>
      </c>
      <c r="E356">
        <v>3.99</v>
      </c>
      <c r="F356" t="s">
        <v>50</v>
      </c>
      <c r="G356" t="s">
        <v>1270</v>
      </c>
      <c r="H356" t="s">
        <v>1269</v>
      </c>
      <c r="I356" s="11">
        <v>46297</v>
      </c>
      <c r="J356" s="12">
        <v>46296</v>
      </c>
      <c r="K356" s="13">
        <f>INDEX(Assumptions!$B$4:$B$23,MATCH(F356,Assumptions!$A$4:$A$23,0))</f>
        <v>1.0869565217391299</v>
      </c>
      <c r="L356" s="14">
        <f t="shared" si="10"/>
        <v>4.336956521739129</v>
      </c>
      <c r="M356" t="str">
        <f t="shared" si="11"/>
        <v>Yes</v>
      </c>
    </row>
    <row r="357" spans="1:13" x14ac:dyDescent="0.25">
      <c r="A357">
        <v>339284</v>
      </c>
      <c r="B357" t="s">
        <v>1273</v>
      </c>
      <c r="C357" t="s">
        <v>6221</v>
      </c>
      <c r="D357" t="s">
        <v>6220</v>
      </c>
      <c r="E357">
        <v>3.35</v>
      </c>
      <c r="F357" t="s">
        <v>50</v>
      </c>
      <c r="G357" t="s">
        <v>961</v>
      </c>
      <c r="H357" t="s">
        <v>990</v>
      </c>
      <c r="I357" s="11">
        <v>46298</v>
      </c>
      <c r="J357" s="12">
        <v>46296</v>
      </c>
      <c r="K357" s="13">
        <f>INDEX(Assumptions!$B$4:$B$23,MATCH(F357,Assumptions!$A$4:$A$23,0))</f>
        <v>1.0869565217391299</v>
      </c>
      <c r="L357" s="14">
        <f t="shared" si="10"/>
        <v>3.6413043478260856</v>
      </c>
      <c r="M357" t="str">
        <f t="shared" si="11"/>
        <v>Yes</v>
      </c>
    </row>
    <row r="358" spans="1:13" x14ac:dyDescent="0.25">
      <c r="A358">
        <v>339283</v>
      </c>
      <c r="B358" t="s">
        <v>320</v>
      </c>
      <c r="C358" t="s">
        <v>6221</v>
      </c>
      <c r="D358" t="s">
        <v>6220</v>
      </c>
      <c r="E358">
        <v>4.55</v>
      </c>
      <c r="F358" t="s">
        <v>50</v>
      </c>
      <c r="G358" t="s">
        <v>961</v>
      </c>
      <c r="H358" t="s">
        <v>973</v>
      </c>
      <c r="I358" s="11">
        <v>46298</v>
      </c>
      <c r="J358" s="12">
        <v>46296</v>
      </c>
      <c r="K358" s="13">
        <f>INDEX(Assumptions!$B$4:$B$23,MATCH(F358,Assumptions!$A$4:$A$23,0))</f>
        <v>1.0869565217391299</v>
      </c>
      <c r="L358" s="14">
        <f t="shared" si="10"/>
        <v>4.9456521739130412</v>
      </c>
      <c r="M358" t="str">
        <f t="shared" si="11"/>
        <v>Yes</v>
      </c>
    </row>
    <row r="359" spans="1:13" x14ac:dyDescent="0.25">
      <c r="A359">
        <v>339282</v>
      </c>
      <c r="B359" t="s">
        <v>1276</v>
      </c>
      <c r="C359" t="s">
        <v>6221</v>
      </c>
      <c r="D359" t="s">
        <v>6220</v>
      </c>
      <c r="E359">
        <v>5.39</v>
      </c>
      <c r="F359" t="s">
        <v>50</v>
      </c>
      <c r="G359" t="s">
        <v>961</v>
      </c>
      <c r="H359" t="s">
        <v>1277</v>
      </c>
      <c r="I359" s="11">
        <v>46298</v>
      </c>
      <c r="J359" s="12">
        <v>46296</v>
      </c>
      <c r="K359" s="13">
        <f>INDEX(Assumptions!$B$4:$B$23,MATCH(F359,Assumptions!$A$4:$A$23,0))</f>
        <v>1.0869565217391299</v>
      </c>
      <c r="L359" s="14">
        <f t="shared" si="10"/>
        <v>5.8586956521739104</v>
      </c>
      <c r="M359" t="str">
        <f t="shared" si="11"/>
        <v>Yes</v>
      </c>
    </row>
    <row r="360" spans="1:13" x14ac:dyDescent="0.25">
      <c r="A360">
        <v>339281</v>
      </c>
      <c r="B360" t="s">
        <v>1162</v>
      </c>
      <c r="C360" t="s">
        <v>6221</v>
      </c>
      <c r="D360" t="s">
        <v>6220</v>
      </c>
      <c r="E360">
        <v>5.35</v>
      </c>
      <c r="F360" t="s">
        <v>50</v>
      </c>
      <c r="G360" t="s">
        <v>961</v>
      </c>
      <c r="H360" t="s">
        <v>973</v>
      </c>
      <c r="I360" s="11">
        <v>46298</v>
      </c>
      <c r="J360" s="12">
        <v>46296</v>
      </c>
      <c r="K360" s="13">
        <f>INDEX(Assumptions!$B$4:$B$23,MATCH(F360,Assumptions!$A$4:$A$23,0))</f>
        <v>1.0869565217391299</v>
      </c>
      <c r="L360" s="14">
        <f t="shared" si="10"/>
        <v>5.815217391304345</v>
      </c>
      <c r="M360" t="str">
        <f t="shared" si="11"/>
        <v>Yes</v>
      </c>
    </row>
    <row r="361" spans="1:13" x14ac:dyDescent="0.25">
      <c r="A361">
        <v>339280</v>
      </c>
      <c r="B361" t="s">
        <v>1280</v>
      </c>
      <c r="C361" t="s">
        <v>6221</v>
      </c>
      <c r="D361" t="s">
        <v>6220</v>
      </c>
      <c r="E361">
        <v>5.55</v>
      </c>
      <c r="F361" t="s">
        <v>50</v>
      </c>
      <c r="G361" t="s">
        <v>961</v>
      </c>
      <c r="H361" t="s">
        <v>1011</v>
      </c>
      <c r="I361" s="11">
        <v>46298</v>
      </c>
      <c r="J361" s="12">
        <v>46296</v>
      </c>
      <c r="K361" s="13">
        <f>INDEX(Assumptions!$B$4:$B$23,MATCH(F361,Assumptions!$A$4:$A$23,0))</f>
        <v>1.0869565217391299</v>
      </c>
      <c r="L361" s="14">
        <f t="shared" si="10"/>
        <v>6.0326086956521712</v>
      </c>
      <c r="M361" t="str">
        <f t="shared" si="11"/>
        <v>Yes</v>
      </c>
    </row>
    <row r="362" spans="1:13" x14ac:dyDescent="0.25">
      <c r="A362">
        <v>339279</v>
      </c>
      <c r="B362" t="s">
        <v>1135</v>
      </c>
      <c r="C362" t="s">
        <v>6221</v>
      </c>
      <c r="D362" t="s">
        <v>6220</v>
      </c>
      <c r="E362">
        <v>4.45</v>
      </c>
      <c r="F362" t="s">
        <v>50</v>
      </c>
      <c r="G362" t="s">
        <v>961</v>
      </c>
      <c r="H362" t="s">
        <v>973</v>
      </c>
      <c r="I362" s="11">
        <v>46298</v>
      </c>
      <c r="J362" s="12">
        <v>46296</v>
      </c>
      <c r="K362" s="13">
        <f>INDEX(Assumptions!$B$4:$B$23,MATCH(F362,Assumptions!$A$4:$A$23,0))</f>
        <v>1.0869565217391299</v>
      </c>
      <c r="L362" s="14">
        <f t="shared" si="10"/>
        <v>4.8369565217391282</v>
      </c>
      <c r="M362" t="str">
        <f t="shared" si="11"/>
        <v>Yes</v>
      </c>
    </row>
    <row r="363" spans="1:13" x14ac:dyDescent="0.25">
      <c r="A363">
        <v>339278</v>
      </c>
      <c r="B363" t="s">
        <v>1154</v>
      </c>
      <c r="C363" t="s">
        <v>6221</v>
      </c>
      <c r="D363" t="s">
        <v>6220</v>
      </c>
      <c r="E363">
        <v>4.55</v>
      </c>
      <c r="F363" t="s">
        <v>50</v>
      </c>
      <c r="G363" t="s">
        <v>961</v>
      </c>
      <c r="H363" t="s">
        <v>973</v>
      </c>
      <c r="I363" s="11">
        <v>46298</v>
      </c>
      <c r="J363" s="12">
        <v>46296</v>
      </c>
      <c r="K363" s="13">
        <f>INDEX(Assumptions!$B$4:$B$23,MATCH(F363,Assumptions!$A$4:$A$23,0))</f>
        <v>1.0869565217391299</v>
      </c>
      <c r="L363" s="14">
        <f t="shared" si="10"/>
        <v>4.9456521739130412</v>
      </c>
      <c r="M363" t="str">
        <f t="shared" si="11"/>
        <v>Yes</v>
      </c>
    </row>
    <row r="364" spans="1:13" x14ac:dyDescent="0.25">
      <c r="A364">
        <v>339277</v>
      </c>
      <c r="B364" t="s">
        <v>1202</v>
      </c>
      <c r="C364" t="s">
        <v>6221</v>
      </c>
      <c r="D364" t="s">
        <v>6220</v>
      </c>
      <c r="E364">
        <v>4.6100000000000003</v>
      </c>
      <c r="F364" t="s">
        <v>50</v>
      </c>
      <c r="G364" t="s">
        <v>961</v>
      </c>
      <c r="H364" t="s">
        <v>973</v>
      </c>
      <c r="I364" s="11">
        <v>46298</v>
      </c>
      <c r="J364" s="12">
        <v>46296</v>
      </c>
      <c r="K364" s="13">
        <f>INDEX(Assumptions!$B$4:$B$23,MATCH(F364,Assumptions!$A$4:$A$23,0))</f>
        <v>1.0869565217391299</v>
      </c>
      <c r="L364" s="14">
        <f t="shared" si="10"/>
        <v>5.0108695652173889</v>
      </c>
      <c r="M364" t="str">
        <f t="shared" si="11"/>
        <v>Yes</v>
      </c>
    </row>
    <row r="365" spans="1:13" x14ac:dyDescent="0.25">
      <c r="A365">
        <v>339276</v>
      </c>
      <c r="B365" t="s">
        <v>1177</v>
      </c>
      <c r="C365" t="s">
        <v>6221</v>
      </c>
      <c r="D365" t="s">
        <v>6220</v>
      </c>
      <c r="E365">
        <v>3.99</v>
      </c>
      <c r="F365" t="s">
        <v>50</v>
      </c>
      <c r="G365" t="s">
        <v>961</v>
      </c>
      <c r="H365" t="s">
        <v>973</v>
      </c>
      <c r="I365" s="11">
        <v>46298</v>
      </c>
      <c r="J365" s="12">
        <v>46296</v>
      </c>
      <c r="K365" s="13">
        <f>INDEX(Assumptions!$B$4:$B$23,MATCH(F365,Assumptions!$A$4:$A$23,0))</f>
        <v>1.0869565217391299</v>
      </c>
      <c r="L365" s="14">
        <f t="shared" si="10"/>
        <v>4.336956521739129</v>
      </c>
      <c r="M365" t="str">
        <f t="shared" si="11"/>
        <v>Yes</v>
      </c>
    </row>
    <row r="366" spans="1:13" x14ac:dyDescent="0.25">
      <c r="A366">
        <v>339275</v>
      </c>
      <c r="B366" t="s">
        <v>1287</v>
      </c>
      <c r="C366" t="s">
        <v>6221</v>
      </c>
      <c r="D366" t="s">
        <v>6220</v>
      </c>
      <c r="E366">
        <v>4.1500000000000004</v>
      </c>
      <c r="F366" t="s">
        <v>50</v>
      </c>
      <c r="G366" t="s">
        <v>961</v>
      </c>
      <c r="H366" t="s">
        <v>1011</v>
      </c>
      <c r="I366" s="11">
        <v>46298</v>
      </c>
      <c r="J366" s="12">
        <v>46296</v>
      </c>
      <c r="K366" s="13">
        <f>INDEX(Assumptions!$B$4:$B$23,MATCH(F366,Assumptions!$A$4:$A$23,0))</f>
        <v>1.0869565217391299</v>
      </c>
      <c r="L366" s="14">
        <f t="shared" si="10"/>
        <v>4.5108695652173898</v>
      </c>
      <c r="M366" t="str">
        <f t="shared" si="11"/>
        <v>Yes</v>
      </c>
    </row>
    <row r="367" spans="1:13" x14ac:dyDescent="0.25">
      <c r="A367">
        <v>339274</v>
      </c>
      <c r="B367" t="s">
        <v>1289</v>
      </c>
      <c r="C367" t="s">
        <v>6221</v>
      </c>
      <c r="D367" t="s">
        <v>6220</v>
      </c>
      <c r="E367">
        <v>1.99</v>
      </c>
      <c r="F367" t="s">
        <v>50</v>
      </c>
      <c r="G367" t="s">
        <v>945</v>
      </c>
      <c r="H367" t="s">
        <v>1290</v>
      </c>
      <c r="I367" s="11">
        <v>46294</v>
      </c>
      <c r="J367" s="12">
        <v>46266</v>
      </c>
      <c r="K367" s="13">
        <f>INDEX(Assumptions!$B$4:$B$23,MATCH(F367,Assumptions!$A$4:$A$23,0))</f>
        <v>1.0869565217391299</v>
      </c>
      <c r="L367" s="14">
        <f t="shared" si="10"/>
        <v>2.1630434782608687</v>
      </c>
      <c r="M367" t="str">
        <f t="shared" si="11"/>
        <v>Yes</v>
      </c>
    </row>
    <row r="368" spans="1:13" x14ac:dyDescent="0.25">
      <c r="A368">
        <v>339273</v>
      </c>
      <c r="B368" t="s">
        <v>1293</v>
      </c>
      <c r="C368" t="s">
        <v>6221</v>
      </c>
      <c r="D368" t="s">
        <v>6220</v>
      </c>
      <c r="E368">
        <v>4.95</v>
      </c>
      <c r="F368" t="s">
        <v>50</v>
      </c>
      <c r="G368" t="s">
        <v>961</v>
      </c>
      <c r="H368" t="s">
        <v>1011</v>
      </c>
      <c r="I368" s="11">
        <v>46298</v>
      </c>
      <c r="J368" s="12">
        <v>46296</v>
      </c>
      <c r="K368" s="13">
        <f>INDEX(Assumptions!$B$4:$B$23,MATCH(F368,Assumptions!$A$4:$A$23,0))</f>
        <v>1.0869565217391299</v>
      </c>
      <c r="L368" s="14">
        <f t="shared" si="10"/>
        <v>5.3804347826086936</v>
      </c>
      <c r="M368" t="str">
        <f t="shared" si="11"/>
        <v>Yes</v>
      </c>
    </row>
    <row r="369" spans="1:13" x14ac:dyDescent="0.25">
      <c r="A369">
        <v>339272</v>
      </c>
      <c r="B369" t="s">
        <v>1296</v>
      </c>
      <c r="C369" t="s">
        <v>6221</v>
      </c>
      <c r="D369" t="s">
        <v>6220</v>
      </c>
      <c r="E369">
        <v>3.09</v>
      </c>
      <c r="F369" t="s">
        <v>50</v>
      </c>
      <c r="G369" t="s">
        <v>961</v>
      </c>
      <c r="H369" t="s">
        <v>960</v>
      </c>
      <c r="I369" s="11">
        <v>46298</v>
      </c>
      <c r="J369" s="12">
        <v>46296</v>
      </c>
      <c r="K369" s="13">
        <f>INDEX(Assumptions!$B$4:$B$23,MATCH(F369,Assumptions!$A$4:$A$23,0))</f>
        <v>1.0869565217391299</v>
      </c>
      <c r="L369" s="14">
        <f t="shared" si="10"/>
        <v>3.3586956521739113</v>
      </c>
      <c r="M369" t="str">
        <f t="shared" si="11"/>
        <v>Yes</v>
      </c>
    </row>
    <row r="370" spans="1:13" x14ac:dyDescent="0.25">
      <c r="A370">
        <v>339271</v>
      </c>
      <c r="B370" t="s">
        <v>1298</v>
      </c>
      <c r="C370" t="s">
        <v>6221</v>
      </c>
      <c r="D370" t="s">
        <v>6220</v>
      </c>
      <c r="E370">
        <v>3.89</v>
      </c>
      <c r="F370" t="s">
        <v>50</v>
      </c>
      <c r="G370" t="s">
        <v>961</v>
      </c>
      <c r="H370" t="s">
        <v>1277</v>
      </c>
      <c r="I370" s="11">
        <v>46298</v>
      </c>
      <c r="J370" s="12">
        <v>46296</v>
      </c>
      <c r="K370" s="13">
        <f>INDEX(Assumptions!$B$4:$B$23,MATCH(F370,Assumptions!$A$4:$A$23,0))</f>
        <v>1.0869565217391299</v>
      </c>
      <c r="L370" s="14">
        <f t="shared" si="10"/>
        <v>4.228260869565216</v>
      </c>
      <c r="M370" t="str">
        <f t="shared" si="11"/>
        <v>Yes</v>
      </c>
    </row>
    <row r="371" spans="1:13" x14ac:dyDescent="0.25">
      <c r="A371">
        <v>339270</v>
      </c>
      <c r="B371" t="s">
        <v>1300</v>
      </c>
      <c r="C371" t="s">
        <v>6221</v>
      </c>
      <c r="D371" t="s">
        <v>6220</v>
      </c>
      <c r="E371">
        <v>2.89</v>
      </c>
      <c r="F371" t="s">
        <v>50</v>
      </c>
      <c r="G371" t="s">
        <v>961</v>
      </c>
      <c r="H371" t="s">
        <v>960</v>
      </c>
      <c r="I371" s="11">
        <v>46298</v>
      </c>
      <c r="J371" s="12">
        <v>46296</v>
      </c>
      <c r="K371" s="13">
        <f>INDEX(Assumptions!$B$4:$B$23,MATCH(F371,Assumptions!$A$4:$A$23,0))</f>
        <v>1.0869565217391299</v>
      </c>
      <c r="L371" s="14">
        <f t="shared" si="10"/>
        <v>3.1413043478260856</v>
      </c>
      <c r="M371" t="str">
        <f t="shared" si="11"/>
        <v>Yes</v>
      </c>
    </row>
    <row r="372" spans="1:13" x14ac:dyDescent="0.25">
      <c r="A372">
        <v>339269</v>
      </c>
      <c r="B372" t="s">
        <v>121</v>
      </c>
      <c r="C372" t="s">
        <v>6221</v>
      </c>
      <c r="D372" t="s">
        <v>6220</v>
      </c>
      <c r="E372">
        <v>3.45</v>
      </c>
      <c r="F372" t="s">
        <v>50</v>
      </c>
      <c r="G372" t="s">
        <v>961</v>
      </c>
      <c r="H372" t="s">
        <v>960</v>
      </c>
      <c r="I372" s="11">
        <v>46298</v>
      </c>
      <c r="J372" s="12">
        <v>46296</v>
      </c>
      <c r="K372" s="13">
        <f>INDEX(Assumptions!$B$4:$B$23,MATCH(F372,Assumptions!$A$4:$A$23,0))</f>
        <v>1.0869565217391299</v>
      </c>
      <c r="L372" s="14">
        <f t="shared" si="10"/>
        <v>3.7499999999999987</v>
      </c>
      <c r="M372" t="str">
        <f t="shared" si="11"/>
        <v>Yes</v>
      </c>
    </row>
    <row r="373" spans="1:13" x14ac:dyDescent="0.25">
      <c r="A373">
        <v>339268</v>
      </c>
      <c r="B373" t="s">
        <v>1303</v>
      </c>
      <c r="C373" t="s">
        <v>6221</v>
      </c>
      <c r="D373" t="s">
        <v>6220</v>
      </c>
      <c r="E373">
        <v>2.89</v>
      </c>
      <c r="F373" t="s">
        <v>50</v>
      </c>
      <c r="G373" t="s">
        <v>961</v>
      </c>
      <c r="H373" t="s">
        <v>960</v>
      </c>
      <c r="I373" s="11">
        <v>46298</v>
      </c>
      <c r="J373" s="12">
        <v>46296</v>
      </c>
      <c r="K373" s="13">
        <f>INDEX(Assumptions!$B$4:$B$23,MATCH(F373,Assumptions!$A$4:$A$23,0))</f>
        <v>1.0869565217391299</v>
      </c>
      <c r="L373" s="14">
        <f t="shared" si="10"/>
        <v>3.1413043478260856</v>
      </c>
      <c r="M373" t="str">
        <f t="shared" si="11"/>
        <v>Yes</v>
      </c>
    </row>
    <row r="374" spans="1:13" x14ac:dyDescent="0.25">
      <c r="A374">
        <v>339267</v>
      </c>
      <c r="B374" t="s">
        <v>1305</v>
      </c>
      <c r="C374" t="s">
        <v>6221</v>
      </c>
      <c r="D374" t="s">
        <v>6220</v>
      </c>
      <c r="E374">
        <v>3.89</v>
      </c>
      <c r="F374" t="s">
        <v>50</v>
      </c>
      <c r="G374" t="s">
        <v>961</v>
      </c>
      <c r="H374" t="s">
        <v>1277</v>
      </c>
      <c r="I374" s="11">
        <v>46298</v>
      </c>
      <c r="J374" s="12">
        <v>46296</v>
      </c>
      <c r="K374" s="13">
        <f>INDEX(Assumptions!$B$4:$B$23,MATCH(F374,Assumptions!$A$4:$A$23,0))</f>
        <v>1.0869565217391299</v>
      </c>
      <c r="L374" s="14">
        <f t="shared" si="10"/>
        <v>4.228260869565216</v>
      </c>
      <c r="M374" t="str">
        <f t="shared" si="11"/>
        <v>Yes</v>
      </c>
    </row>
    <row r="375" spans="1:13" x14ac:dyDescent="0.25">
      <c r="A375">
        <v>339266</v>
      </c>
      <c r="B375" t="s">
        <v>1307</v>
      </c>
      <c r="C375" t="s">
        <v>6221</v>
      </c>
      <c r="D375" t="s">
        <v>6220</v>
      </c>
      <c r="E375">
        <v>3.08</v>
      </c>
      <c r="F375" t="s">
        <v>50</v>
      </c>
      <c r="G375" t="s">
        <v>961</v>
      </c>
      <c r="H375" t="s">
        <v>960</v>
      </c>
      <c r="I375" s="11">
        <v>46298</v>
      </c>
      <c r="J375" s="12">
        <v>46296</v>
      </c>
      <c r="K375" s="13">
        <f>INDEX(Assumptions!$B$4:$B$23,MATCH(F375,Assumptions!$A$4:$A$23,0))</f>
        <v>1.0869565217391299</v>
      </c>
      <c r="L375" s="14">
        <f t="shared" si="10"/>
        <v>3.3478260869565202</v>
      </c>
      <c r="M375" t="str">
        <f t="shared" si="11"/>
        <v>Yes</v>
      </c>
    </row>
    <row r="376" spans="1:13" x14ac:dyDescent="0.25">
      <c r="A376">
        <v>339265</v>
      </c>
      <c r="B376" t="s">
        <v>1309</v>
      </c>
      <c r="C376" t="s">
        <v>6221</v>
      </c>
      <c r="D376" t="s">
        <v>6220</v>
      </c>
      <c r="E376">
        <v>1.99</v>
      </c>
      <c r="F376" t="s">
        <v>50</v>
      </c>
      <c r="G376" t="s">
        <v>961</v>
      </c>
      <c r="H376" t="s">
        <v>960</v>
      </c>
      <c r="I376" s="11">
        <v>46298</v>
      </c>
      <c r="J376" s="12">
        <v>46296</v>
      </c>
      <c r="K376" s="13">
        <f>INDEX(Assumptions!$B$4:$B$23,MATCH(F376,Assumptions!$A$4:$A$23,0))</f>
        <v>1.0869565217391299</v>
      </c>
      <c r="L376" s="14">
        <f t="shared" si="10"/>
        <v>2.1630434782608687</v>
      </c>
      <c r="M376" t="str">
        <f t="shared" si="11"/>
        <v>Yes</v>
      </c>
    </row>
    <row r="377" spans="1:13" x14ac:dyDescent="0.25">
      <c r="A377">
        <v>339264</v>
      </c>
      <c r="B377" t="s">
        <v>1311</v>
      </c>
      <c r="C377" t="s">
        <v>6221</v>
      </c>
      <c r="D377" t="s">
        <v>6220</v>
      </c>
      <c r="E377">
        <v>1.85</v>
      </c>
      <c r="F377" t="s">
        <v>50</v>
      </c>
      <c r="G377" t="s">
        <v>961</v>
      </c>
      <c r="H377" t="s">
        <v>960</v>
      </c>
      <c r="I377" s="11">
        <v>46298</v>
      </c>
      <c r="J377" s="12">
        <v>46296</v>
      </c>
      <c r="K377" s="13">
        <f>INDEX(Assumptions!$B$4:$B$23,MATCH(F377,Assumptions!$A$4:$A$23,0))</f>
        <v>1.0869565217391299</v>
      </c>
      <c r="L377" s="14">
        <f t="shared" si="10"/>
        <v>2.0108695652173907</v>
      </c>
      <c r="M377" t="str">
        <f t="shared" si="11"/>
        <v>Yes</v>
      </c>
    </row>
    <row r="378" spans="1:13" x14ac:dyDescent="0.25">
      <c r="A378">
        <v>339263</v>
      </c>
      <c r="B378" t="s">
        <v>1313</v>
      </c>
      <c r="C378" t="s">
        <v>6221</v>
      </c>
      <c r="D378" t="s">
        <v>6220</v>
      </c>
      <c r="E378">
        <v>4.13</v>
      </c>
      <c r="F378" t="s">
        <v>50</v>
      </c>
      <c r="G378" t="s">
        <v>1316</v>
      </c>
      <c r="H378" t="s">
        <v>1315</v>
      </c>
      <c r="I378" s="11">
        <v>46298</v>
      </c>
      <c r="J378" s="12">
        <v>46296</v>
      </c>
      <c r="K378" s="13">
        <f>INDEX(Assumptions!$B$4:$B$23,MATCH(F378,Assumptions!$A$4:$A$23,0))</f>
        <v>1.0869565217391299</v>
      </c>
      <c r="L378" s="14">
        <f t="shared" si="10"/>
        <v>4.4891304347826066</v>
      </c>
      <c r="M378" t="str">
        <f t="shared" si="11"/>
        <v>Yes</v>
      </c>
    </row>
    <row r="379" spans="1:13" x14ac:dyDescent="0.25">
      <c r="A379">
        <v>339262</v>
      </c>
      <c r="B379" t="s">
        <v>1318</v>
      </c>
      <c r="C379" t="s">
        <v>6221</v>
      </c>
      <c r="D379" t="s">
        <v>6220</v>
      </c>
      <c r="E379">
        <v>1.59</v>
      </c>
      <c r="F379" t="s">
        <v>50</v>
      </c>
      <c r="G379" t="s">
        <v>1316</v>
      </c>
      <c r="H379" t="s">
        <v>1315</v>
      </c>
      <c r="I379" s="11">
        <v>46298</v>
      </c>
      <c r="J379" s="12">
        <v>46296</v>
      </c>
      <c r="K379" s="13">
        <f>INDEX(Assumptions!$B$4:$B$23,MATCH(F379,Assumptions!$A$4:$A$23,0))</f>
        <v>1.0869565217391299</v>
      </c>
      <c r="L379" s="14">
        <f t="shared" si="10"/>
        <v>1.7282608695652166</v>
      </c>
      <c r="M379" t="str">
        <f t="shared" si="11"/>
        <v>Yes</v>
      </c>
    </row>
    <row r="380" spans="1:13" x14ac:dyDescent="0.25">
      <c r="A380">
        <v>339261</v>
      </c>
      <c r="B380" t="s">
        <v>1320</v>
      </c>
      <c r="C380" t="s">
        <v>6221</v>
      </c>
      <c r="D380" t="s">
        <v>6220</v>
      </c>
      <c r="E380">
        <v>2.99</v>
      </c>
      <c r="F380" t="s">
        <v>50</v>
      </c>
      <c r="G380" t="s">
        <v>1316</v>
      </c>
      <c r="H380" t="s">
        <v>1315</v>
      </c>
      <c r="I380" s="11">
        <v>46298</v>
      </c>
      <c r="J380" s="12">
        <v>46296</v>
      </c>
      <c r="K380" s="13">
        <f>INDEX(Assumptions!$B$4:$B$23,MATCH(F380,Assumptions!$A$4:$A$23,0))</f>
        <v>1.0869565217391299</v>
      </c>
      <c r="L380" s="14">
        <f t="shared" si="10"/>
        <v>3.2499999999999987</v>
      </c>
      <c r="M380" t="str">
        <f t="shared" si="11"/>
        <v>Yes</v>
      </c>
    </row>
    <row r="381" spans="1:13" x14ac:dyDescent="0.25">
      <c r="A381">
        <v>339260</v>
      </c>
      <c r="B381" t="s">
        <v>1322</v>
      </c>
      <c r="C381" t="s">
        <v>6221</v>
      </c>
      <c r="D381" t="s">
        <v>6220</v>
      </c>
      <c r="E381">
        <v>2.4500000000000002</v>
      </c>
      <c r="F381" t="s">
        <v>50</v>
      </c>
      <c r="G381" t="s">
        <v>1316</v>
      </c>
      <c r="H381" t="s">
        <v>1315</v>
      </c>
      <c r="I381" s="11">
        <v>46298</v>
      </c>
      <c r="J381" s="12">
        <v>46296</v>
      </c>
      <c r="K381" s="13">
        <f>INDEX(Assumptions!$B$4:$B$23,MATCH(F381,Assumptions!$A$4:$A$23,0))</f>
        <v>1.0869565217391299</v>
      </c>
      <c r="L381" s="14">
        <f t="shared" si="10"/>
        <v>2.6630434782608687</v>
      </c>
      <c r="M381" t="str">
        <f t="shared" si="11"/>
        <v>Yes</v>
      </c>
    </row>
    <row r="382" spans="1:13" x14ac:dyDescent="0.25">
      <c r="A382">
        <v>339259</v>
      </c>
      <c r="B382" t="s">
        <v>1324</v>
      </c>
      <c r="C382" t="s">
        <v>6221</v>
      </c>
      <c r="D382" t="s">
        <v>6220</v>
      </c>
      <c r="E382">
        <v>1.45</v>
      </c>
      <c r="F382" t="s">
        <v>50</v>
      </c>
      <c r="G382" t="s">
        <v>1316</v>
      </c>
      <c r="H382" t="s">
        <v>1315</v>
      </c>
      <c r="I382" s="11">
        <v>46298</v>
      </c>
      <c r="J382" s="12">
        <v>46296</v>
      </c>
      <c r="K382" s="13">
        <f>INDEX(Assumptions!$B$4:$B$23,MATCH(F382,Assumptions!$A$4:$A$23,0))</f>
        <v>1.0869565217391299</v>
      </c>
      <c r="L382" s="14">
        <f t="shared" si="10"/>
        <v>1.5760869565217384</v>
      </c>
      <c r="M382" t="str">
        <f t="shared" si="11"/>
        <v>Yes</v>
      </c>
    </row>
    <row r="383" spans="1:13" x14ac:dyDescent="0.25">
      <c r="A383">
        <v>339258</v>
      </c>
      <c r="B383" t="s">
        <v>1326</v>
      </c>
      <c r="C383" t="s">
        <v>6221</v>
      </c>
      <c r="D383" t="s">
        <v>6220</v>
      </c>
      <c r="E383">
        <v>4.29</v>
      </c>
      <c r="F383" t="s">
        <v>50</v>
      </c>
      <c r="G383" t="s">
        <v>1316</v>
      </c>
      <c r="H383" t="s">
        <v>1315</v>
      </c>
      <c r="I383" s="11">
        <v>46298</v>
      </c>
      <c r="J383" s="12">
        <v>46296</v>
      </c>
      <c r="K383" s="13">
        <f>INDEX(Assumptions!$B$4:$B$23,MATCH(F383,Assumptions!$A$4:$A$23,0))</f>
        <v>1.0869565217391299</v>
      </c>
      <c r="L383" s="14">
        <f t="shared" si="10"/>
        <v>4.6630434782608674</v>
      </c>
      <c r="M383" t="str">
        <f t="shared" si="11"/>
        <v>Yes</v>
      </c>
    </row>
    <row r="384" spans="1:13" x14ac:dyDescent="0.25">
      <c r="A384">
        <v>339257</v>
      </c>
      <c r="B384" t="s">
        <v>1329</v>
      </c>
      <c r="C384" t="s">
        <v>6221</v>
      </c>
      <c r="D384" t="s">
        <v>6220</v>
      </c>
      <c r="E384">
        <v>2.65</v>
      </c>
      <c r="F384" t="s">
        <v>50</v>
      </c>
      <c r="G384" t="s">
        <v>961</v>
      </c>
      <c r="H384" t="s">
        <v>960</v>
      </c>
      <c r="I384" s="11">
        <v>46298</v>
      </c>
      <c r="J384" s="12">
        <v>46296</v>
      </c>
      <c r="K384" s="13">
        <f>INDEX(Assumptions!$B$4:$B$23,MATCH(F384,Assumptions!$A$4:$A$23,0))</f>
        <v>1.0869565217391299</v>
      </c>
      <c r="L384" s="14">
        <f t="shared" si="10"/>
        <v>2.880434782608694</v>
      </c>
      <c r="M384" t="str">
        <f t="shared" si="11"/>
        <v>Yes</v>
      </c>
    </row>
    <row r="385" spans="1:13" x14ac:dyDescent="0.25">
      <c r="A385">
        <v>339256</v>
      </c>
      <c r="B385" t="s">
        <v>1332</v>
      </c>
      <c r="C385" t="s">
        <v>6221</v>
      </c>
      <c r="D385" t="s">
        <v>6220</v>
      </c>
      <c r="E385">
        <v>2.04</v>
      </c>
      <c r="F385" t="s">
        <v>50</v>
      </c>
      <c r="G385" t="s">
        <v>1316</v>
      </c>
      <c r="H385" t="s">
        <v>1315</v>
      </c>
      <c r="I385" s="11">
        <v>46298</v>
      </c>
      <c r="J385" s="12">
        <v>46296</v>
      </c>
      <c r="K385" s="13">
        <f>INDEX(Assumptions!$B$4:$B$23,MATCH(F385,Assumptions!$A$4:$A$23,0))</f>
        <v>1.0869565217391299</v>
      </c>
      <c r="L385" s="14">
        <f t="shared" si="10"/>
        <v>2.2173913043478253</v>
      </c>
      <c r="M385" t="str">
        <f t="shared" si="11"/>
        <v>Yes</v>
      </c>
    </row>
    <row r="386" spans="1:13" x14ac:dyDescent="0.25">
      <c r="A386">
        <v>339255</v>
      </c>
      <c r="B386" t="s">
        <v>1334</v>
      </c>
      <c r="C386" t="s">
        <v>6221</v>
      </c>
      <c r="D386" t="s">
        <v>6220</v>
      </c>
      <c r="E386">
        <v>4.09</v>
      </c>
      <c r="F386" t="s">
        <v>50</v>
      </c>
      <c r="G386" t="s">
        <v>1316</v>
      </c>
      <c r="H386" t="s">
        <v>1315</v>
      </c>
      <c r="I386" s="11">
        <v>46298</v>
      </c>
      <c r="J386" s="12">
        <v>46296</v>
      </c>
      <c r="K386" s="13">
        <f>INDEX(Assumptions!$B$4:$B$23,MATCH(F386,Assumptions!$A$4:$A$23,0))</f>
        <v>1.0869565217391299</v>
      </c>
      <c r="L386" s="14">
        <f t="shared" ref="L386:L449" si="12">E386*K386</f>
        <v>4.4456521739130412</v>
      </c>
      <c r="M386" t="str">
        <f t="shared" ref="M386:M449" si="13">IF(C386="Unnamed product","Yes","No")</f>
        <v>Yes</v>
      </c>
    </row>
    <row r="387" spans="1:13" x14ac:dyDescent="0.25">
      <c r="A387">
        <v>339254</v>
      </c>
      <c r="B387" t="s">
        <v>1336</v>
      </c>
      <c r="C387" t="s">
        <v>6221</v>
      </c>
      <c r="D387" t="s">
        <v>6220</v>
      </c>
      <c r="E387">
        <v>1.99</v>
      </c>
      <c r="F387" t="s">
        <v>50</v>
      </c>
      <c r="G387" t="s">
        <v>1316</v>
      </c>
      <c r="H387" t="s">
        <v>1315</v>
      </c>
      <c r="I387" s="11">
        <v>46298</v>
      </c>
      <c r="J387" s="12">
        <v>46296</v>
      </c>
      <c r="K387" s="13">
        <f>INDEX(Assumptions!$B$4:$B$23,MATCH(F387,Assumptions!$A$4:$A$23,0))</f>
        <v>1.0869565217391299</v>
      </c>
      <c r="L387" s="14">
        <f t="shared" si="12"/>
        <v>2.1630434782608687</v>
      </c>
      <c r="M387" t="str">
        <f t="shared" si="13"/>
        <v>Yes</v>
      </c>
    </row>
    <row r="388" spans="1:13" x14ac:dyDescent="0.25">
      <c r="A388">
        <v>339253</v>
      </c>
      <c r="B388" t="s">
        <v>1338</v>
      </c>
      <c r="C388" t="s">
        <v>6221</v>
      </c>
      <c r="D388" t="s">
        <v>6220</v>
      </c>
      <c r="E388">
        <v>5.29</v>
      </c>
      <c r="F388" t="s">
        <v>50</v>
      </c>
      <c r="G388" t="s">
        <v>1316</v>
      </c>
      <c r="H388" t="s">
        <v>1315</v>
      </c>
      <c r="I388" s="11">
        <v>46298</v>
      </c>
      <c r="J388" s="12">
        <v>46296</v>
      </c>
      <c r="K388" s="13">
        <f>INDEX(Assumptions!$B$4:$B$23,MATCH(F388,Assumptions!$A$4:$A$23,0))</f>
        <v>1.0869565217391299</v>
      </c>
      <c r="L388" s="14">
        <f t="shared" si="12"/>
        <v>5.7499999999999973</v>
      </c>
      <c r="M388" t="str">
        <f t="shared" si="13"/>
        <v>Yes</v>
      </c>
    </row>
    <row r="389" spans="1:13" x14ac:dyDescent="0.25">
      <c r="A389">
        <v>339252</v>
      </c>
      <c r="B389" t="s">
        <v>1341</v>
      </c>
      <c r="C389" t="s">
        <v>6221</v>
      </c>
      <c r="D389" t="s">
        <v>6220</v>
      </c>
      <c r="E389">
        <v>0.99</v>
      </c>
      <c r="F389" t="s">
        <v>50</v>
      </c>
      <c r="G389" t="s">
        <v>1316</v>
      </c>
      <c r="H389" t="s">
        <v>1315</v>
      </c>
      <c r="I389" s="11">
        <v>46298</v>
      </c>
      <c r="J389" s="12">
        <v>46296</v>
      </c>
      <c r="K389" s="13">
        <f>INDEX(Assumptions!$B$4:$B$23,MATCH(F389,Assumptions!$A$4:$A$23,0))</f>
        <v>1.0869565217391299</v>
      </c>
      <c r="L389" s="14">
        <f t="shared" si="12"/>
        <v>1.0760869565217386</v>
      </c>
      <c r="M389" t="str">
        <f t="shared" si="13"/>
        <v>Yes</v>
      </c>
    </row>
    <row r="390" spans="1:13" x14ac:dyDescent="0.25">
      <c r="A390">
        <v>339251</v>
      </c>
      <c r="B390" t="s">
        <v>1343</v>
      </c>
      <c r="C390" t="s">
        <v>6221</v>
      </c>
      <c r="D390" t="s">
        <v>6220</v>
      </c>
      <c r="E390">
        <v>3.59</v>
      </c>
      <c r="F390" t="s">
        <v>50</v>
      </c>
      <c r="G390" t="s">
        <v>1316</v>
      </c>
      <c r="H390" t="s">
        <v>1315</v>
      </c>
      <c r="I390" s="11">
        <v>46298</v>
      </c>
      <c r="J390" s="12">
        <v>46296</v>
      </c>
      <c r="K390" s="13">
        <f>INDEX(Assumptions!$B$4:$B$23,MATCH(F390,Assumptions!$A$4:$A$23,0))</f>
        <v>1.0869565217391299</v>
      </c>
      <c r="L390" s="14">
        <f t="shared" si="12"/>
        <v>3.9021739130434763</v>
      </c>
      <c r="M390" t="str">
        <f t="shared" si="13"/>
        <v>Yes</v>
      </c>
    </row>
    <row r="391" spans="1:13" x14ac:dyDescent="0.25">
      <c r="A391">
        <v>339250</v>
      </c>
      <c r="B391" t="s">
        <v>1345</v>
      </c>
      <c r="C391" t="s">
        <v>6221</v>
      </c>
      <c r="D391" t="s">
        <v>6220</v>
      </c>
      <c r="E391">
        <v>3.19</v>
      </c>
      <c r="F391" t="s">
        <v>50</v>
      </c>
      <c r="G391" t="s">
        <v>961</v>
      </c>
      <c r="H391" t="s">
        <v>960</v>
      </c>
      <c r="I391" s="11">
        <v>46298</v>
      </c>
      <c r="J391" s="12">
        <v>46296</v>
      </c>
      <c r="K391" s="13">
        <f>INDEX(Assumptions!$B$4:$B$23,MATCH(F391,Assumptions!$A$4:$A$23,0))</f>
        <v>1.0869565217391299</v>
      </c>
      <c r="L391" s="14">
        <f t="shared" si="12"/>
        <v>3.4673913043478244</v>
      </c>
      <c r="M391" t="str">
        <f t="shared" si="13"/>
        <v>Yes</v>
      </c>
    </row>
    <row r="392" spans="1:13" x14ac:dyDescent="0.25">
      <c r="A392">
        <v>339249</v>
      </c>
      <c r="B392" t="s">
        <v>1347</v>
      </c>
      <c r="C392" t="s">
        <v>6221</v>
      </c>
      <c r="D392" t="s">
        <v>6220</v>
      </c>
      <c r="E392">
        <v>2.4900000000000002</v>
      </c>
      <c r="F392" t="s">
        <v>50</v>
      </c>
      <c r="G392" t="s">
        <v>1316</v>
      </c>
      <c r="H392" t="s">
        <v>1315</v>
      </c>
      <c r="I392" s="11">
        <v>46298</v>
      </c>
      <c r="J392" s="12">
        <v>46296</v>
      </c>
      <c r="K392" s="13">
        <f>INDEX(Assumptions!$B$4:$B$23,MATCH(F392,Assumptions!$A$4:$A$23,0))</f>
        <v>1.0869565217391299</v>
      </c>
      <c r="L392" s="14">
        <f t="shared" si="12"/>
        <v>2.7065217391304337</v>
      </c>
      <c r="M392" t="str">
        <f t="shared" si="13"/>
        <v>Yes</v>
      </c>
    </row>
    <row r="393" spans="1:13" x14ac:dyDescent="0.25">
      <c r="A393">
        <v>339248</v>
      </c>
      <c r="B393" t="s">
        <v>1349</v>
      </c>
      <c r="C393" t="s">
        <v>6221</v>
      </c>
      <c r="D393" t="s">
        <v>6220</v>
      </c>
      <c r="E393">
        <v>28.29</v>
      </c>
      <c r="F393" t="s">
        <v>123</v>
      </c>
      <c r="G393" t="s">
        <v>125</v>
      </c>
      <c r="H393" t="s">
        <v>124</v>
      </c>
      <c r="I393" s="11">
        <v>46271</v>
      </c>
      <c r="J393" s="12">
        <v>46266</v>
      </c>
      <c r="K393" s="13">
        <f>INDEX(Assumptions!$B$4:$B$23,MATCH(F393,Assumptions!$A$4:$A$23,0))</f>
        <v>0.10526315789473679</v>
      </c>
      <c r="L393" s="14">
        <f t="shared" si="12"/>
        <v>2.9778947368421038</v>
      </c>
      <c r="M393" t="str">
        <f t="shared" si="13"/>
        <v>Yes</v>
      </c>
    </row>
    <row r="394" spans="1:13" x14ac:dyDescent="0.25">
      <c r="A394">
        <v>339247</v>
      </c>
      <c r="B394" t="s">
        <v>1351</v>
      </c>
      <c r="C394" t="s">
        <v>6221</v>
      </c>
      <c r="D394" t="s">
        <v>6220</v>
      </c>
      <c r="E394">
        <v>2.59</v>
      </c>
      <c r="F394" t="s">
        <v>50</v>
      </c>
      <c r="G394" t="s">
        <v>1316</v>
      </c>
      <c r="H394" t="s">
        <v>1315</v>
      </c>
      <c r="I394" s="11">
        <v>46298</v>
      </c>
      <c r="J394" s="12">
        <v>46296</v>
      </c>
      <c r="K394" s="13">
        <f>INDEX(Assumptions!$B$4:$B$23,MATCH(F394,Assumptions!$A$4:$A$23,0))</f>
        <v>1.0869565217391299</v>
      </c>
      <c r="L394" s="14">
        <f t="shared" si="12"/>
        <v>2.8152173913043463</v>
      </c>
      <c r="M394" t="str">
        <f t="shared" si="13"/>
        <v>Yes</v>
      </c>
    </row>
    <row r="395" spans="1:13" x14ac:dyDescent="0.25">
      <c r="A395">
        <v>339246</v>
      </c>
      <c r="B395" t="s">
        <v>1353</v>
      </c>
      <c r="C395" t="s">
        <v>6221</v>
      </c>
      <c r="D395" t="s">
        <v>6220</v>
      </c>
      <c r="E395">
        <v>2.19</v>
      </c>
      <c r="F395" t="s">
        <v>50</v>
      </c>
      <c r="G395" t="s">
        <v>1316</v>
      </c>
      <c r="H395" t="s">
        <v>1315</v>
      </c>
      <c r="I395" s="11">
        <v>46298</v>
      </c>
      <c r="J395" s="12">
        <v>46296</v>
      </c>
      <c r="K395" s="13">
        <f>INDEX(Assumptions!$B$4:$B$23,MATCH(F395,Assumptions!$A$4:$A$23,0))</f>
        <v>1.0869565217391299</v>
      </c>
      <c r="L395" s="14">
        <f t="shared" si="12"/>
        <v>2.3804347826086945</v>
      </c>
      <c r="M395" t="str">
        <f t="shared" si="13"/>
        <v>Yes</v>
      </c>
    </row>
    <row r="396" spans="1:13" x14ac:dyDescent="0.25">
      <c r="A396">
        <v>339245</v>
      </c>
      <c r="B396" t="s">
        <v>1355</v>
      </c>
      <c r="C396" t="s">
        <v>6221</v>
      </c>
      <c r="D396" t="s">
        <v>6220</v>
      </c>
      <c r="E396">
        <v>4.5</v>
      </c>
      <c r="F396" t="s">
        <v>50</v>
      </c>
      <c r="G396" t="s">
        <v>1316</v>
      </c>
      <c r="H396" t="s">
        <v>1315</v>
      </c>
      <c r="I396" s="11">
        <v>46298</v>
      </c>
      <c r="J396" s="12">
        <v>46296</v>
      </c>
      <c r="K396" s="13">
        <f>INDEX(Assumptions!$B$4:$B$23,MATCH(F396,Assumptions!$A$4:$A$23,0))</f>
        <v>1.0869565217391299</v>
      </c>
      <c r="L396" s="14">
        <f t="shared" si="12"/>
        <v>4.8913043478260843</v>
      </c>
      <c r="M396" t="str">
        <f t="shared" si="13"/>
        <v>Yes</v>
      </c>
    </row>
    <row r="397" spans="1:13" x14ac:dyDescent="0.25">
      <c r="A397">
        <v>339244</v>
      </c>
      <c r="B397" t="s">
        <v>1358</v>
      </c>
      <c r="C397" t="s">
        <v>6221</v>
      </c>
      <c r="D397" t="s">
        <v>6220</v>
      </c>
      <c r="E397">
        <v>47.9</v>
      </c>
      <c r="F397" t="s">
        <v>123</v>
      </c>
      <c r="G397" t="s">
        <v>125</v>
      </c>
      <c r="H397" t="s">
        <v>124</v>
      </c>
      <c r="I397" s="11">
        <v>46271</v>
      </c>
      <c r="J397" s="12">
        <v>46266</v>
      </c>
      <c r="K397" s="13">
        <f>INDEX(Assumptions!$B$4:$B$23,MATCH(F397,Assumptions!$A$4:$A$23,0))</f>
        <v>0.10526315789473679</v>
      </c>
      <c r="L397" s="14">
        <f t="shared" si="12"/>
        <v>5.0421052631578922</v>
      </c>
      <c r="M397" t="str">
        <f t="shared" si="13"/>
        <v>Yes</v>
      </c>
    </row>
    <row r="398" spans="1:13" x14ac:dyDescent="0.25">
      <c r="A398">
        <v>339243</v>
      </c>
      <c r="B398" t="s">
        <v>1361</v>
      </c>
      <c r="C398" t="s">
        <v>6221</v>
      </c>
      <c r="D398" t="s">
        <v>6220</v>
      </c>
      <c r="E398">
        <v>22.9</v>
      </c>
      <c r="F398" t="s">
        <v>123</v>
      </c>
      <c r="G398" t="s">
        <v>125</v>
      </c>
      <c r="H398" t="s">
        <v>124</v>
      </c>
      <c r="I398" s="11">
        <v>46271</v>
      </c>
      <c r="J398" s="12">
        <v>46266</v>
      </c>
      <c r="K398" s="13">
        <f>INDEX(Assumptions!$B$4:$B$23,MATCH(F398,Assumptions!$A$4:$A$23,0))</f>
        <v>0.10526315789473679</v>
      </c>
      <c r="L398" s="14">
        <f t="shared" si="12"/>
        <v>2.4105263157894723</v>
      </c>
      <c r="M398" t="str">
        <f t="shared" si="13"/>
        <v>Yes</v>
      </c>
    </row>
    <row r="399" spans="1:13" x14ac:dyDescent="0.25">
      <c r="A399">
        <v>339242</v>
      </c>
      <c r="B399" t="s">
        <v>1363</v>
      </c>
      <c r="C399" t="s">
        <v>6221</v>
      </c>
      <c r="D399" t="s">
        <v>6220</v>
      </c>
      <c r="E399">
        <v>59.9</v>
      </c>
      <c r="F399" t="s">
        <v>123</v>
      </c>
      <c r="G399" t="s">
        <v>125</v>
      </c>
      <c r="H399" t="s">
        <v>124</v>
      </c>
      <c r="I399" s="11">
        <v>46271</v>
      </c>
      <c r="J399" s="12">
        <v>46266</v>
      </c>
      <c r="K399" s="13">
        <f>INDEX(Assumptions!$B$4:$B$23,MATCH(F399,Assumptions!$A$4:$A$23,0))</f>
        <v>0.10526315789473679</v>
      </c>
      <c r="L399" s="14">
        <f t="shared" si="12"/>
        <v>6.3052631578947338</v>
      </c>
      <c r="M399" t="str">
        <f t="shared" si="13"/>
        <v>Yes</v>
      </c>
    </row>
    <row r="400" spans="1:13" x14ac:dyDescent="0.25">
      <c r="A400">
        <v>339241</v>
      </c>
      <c r="B400" t="s">
        <v>1366</v>
      </c>
      <c r="C400" t="s">
        <v>6221</v>
      </c>
      <c r="D400" t="s">
        <v>6220</v>
      </c>
      <c r="E400">
        <v>2.36</v>
      </c>
      <c r="F400" t="s">
        <v>50</v>
      </c>
      <c r="G400" t="s">
        <v>1369</v>
      </c>
      <c r="H400" t="s">
        <v>1368</v>
      </c>
      <c r="I400" s="11">
        <v>46298</v>
      </c>
      <c r="J400" s="12">
        <v>46296</v>
      </c>
      <c r="K400" s="13">
        <f>INDEX(Assumptions!$B$4:$B$23,MATCH(F400,Assumptions!$A$4:$A$23,0))</f>
        <v>1.0869565217391299</v>
      </c>
      <c r="L400" s="14">
        <f t="shared" si="12"/>
        <v>2.5652173913043463</v>
      </c>
      <c r="M400" t="str">
        <f t="shared" si="13"/>
        <v>Yes</v>
      </c>
    </row>
    <row r="401" spans="1:13" x14ac:dyDescent="0.25">
      <c r="A401">
        <v>339240</v>
      </c>
      <c r="B401" t="s">
        <v>1371</v>
      </c>
      <c r="C401" t="s">
        <v>6221</v>
      </c>
      <c r="D401" t="s">
        <v>6220</v>
      </c>
      <c r="E401">
        <v>13.9</v>
      </c>
      <c r="F401" t="s">
        <v>123</v>
      </c>
      <c r="G401" t="s">
        <v>125</v>
      </c>
      <c r="H401" t="s">
        <v>124</v>
      </c>
      <c r="I401" s="11">
        <v>46271</v>
      </c>
      <c r="J401" s="12">
        <v>46266</v>
      </c>
      <c r="K401" s="13">
        <f>INDEX(Assumptions!$B$4:$B$23,MATCH(F401,Assumptions!$A$4:$A$23,0))</f>
        <v>0.10526315789473679</v>
      </c>
      <c r="L401" s="14">
        <f t="shared" si="12"/>
        <v>1.4631578947368415</v>
      </c>
      <c r="M401" t="str">
        <f t="shared" si="13"/>
        <v>Yes</v>
      </c>
    </row>
    <row r="402" spans="1:13" x14ac:dyDescent="0.25">
      <c r="A402">
        <v>339239</v>
      </c>
      <c r="B402" t="s">
        <v>1373</v>
      </c>
      <c r="C402" t="s">
        <v>6221</v>
      </c>
      <c r="D402" t="s">
        <v>6220</v>
      </c>
      <c r="E402">
        <v>15.9</v>
      </c>
      <c r="F402" t="s">
        <v>123</v>
      </c>
      <c r="G402" t="s">
        <v>125</v>
      </c>
      <c r="H402" t="s">
        <v>124</v>
      </c>
      <c r="I402" s="11">
        <v>46271</v>
      </c>
      <c r="J402" s="12">
        <v>46266</v>
      </c>
      <c r="K402" s="13">
        <f>INDEX(Assumptions!$B$4:$B$23,MATCH(F402,Assumptions!$A$4:$A$23,0))</f>
        <v>0.10526315789473679</v>
      </c>
      <c r="L402" s="14">
        <f t="shared" si="12"/>
        <v>1.673684210526315</v>
      </c>
      <c r="M402" t="str">
        <f t="shared" si="13"/>
        <v>Yes</v>
      </c>
    </row>
    <row r="403" spans="1:13" x14ac:dyDescent="0.25">
      <c r="A403">
        <v>339238</v>
      </c>
      <c r="B403" t="s">
        <v>1376</v>
      </c>
      <c r="C403" t="s">
        <v>6221</v>
      </c>
      <c r="D403" t="s">
        <v>6220</v>
      </c>
      <c r="E403">
        <v>31.13</v>
      </c>
      <c r="F403" t="s">
        <v>123</v>
      </c>
      <c r="G403" t="s">
        <v>125</v>
      </c>
      <c r="H403" t="s">
        <v>124</v>
      </c>
      <c r="I403" s="11">
        <v>46271</v>
      </c>
      <c r="J403" s="12">
        <v>46266</v>
      </c>
      <c r="K403" s="13">
        <f>INDEX(Assumptions!$B$4:$B$23,MATCH(F403,Assumptions!$A$4:$A$23,0))</f>
        <v>0.10526315789473679</v>
      </c>
      <c r="L403" s="14">
        <f t="shared" si="12"/>
        <v>3.2768421052631562</v>
      </c>
      <c r="M403" t="str">
        <f t="shared" si="13"/>
        <v>Yes</v>
      </c>
    </row>
    <row r="404" spans="1:13" x14ac:dyDescent="0.25">
      <c r="A404">
        <v>339237</v>
      </c>
      <c r="B404" t="s">
        <v>1379</v>
      </c>
      <c r="C404" t="s">
        <v>6221</v>
      </c>
      <c r="D404" t="s">
        <v>6220</v>
      </c>
      <c r="E404">
        <v>36.5</v>
      </c>
      <c r="F404" t="s">
        <v>123</v>
      </c>
      <c r="G404" t="s">
        <v>125</v>
      </c>
      <c r="H404" t="s">
        <v>124</v>
      </c>
      <c r="I404" s="11">
        <v>46271</v>
      </c>
      <c r="J404" s="12">
        <v>46266</v>
      </c>
      <c r="K404" s="13">
        <f>INDEX(Assumptions!$B$4:$B$23,MATCH(F404,Assumptions!$A$4:$A$23,0))</f>
        <v>0.10526315789473679</v>
      </c>
      <c r="L404" s="14">
        <f t="shared" si="12"/>
        <v>3.8421052631578929</v>
      </c>
      <c r="M404" t="str">
        <f t="shared" si="13"/>
        <v>Yes</v>
      </c>
    </row>
    <row r="405" spans="1:13" x14ac:dyDescent="0.25">
      <c r="A405">
        <v>339236</v>
      </c>
      <c r="B405" t="s">
        <v>1382</v>
      </c>
      <c r="C405" t="s">
        <v>6221</v>
      </c>
      <c r="D405" t="s">
        <v>6220</v>
      </c>
      <c r="E405">
        <v>24.9</v>
      </c>
      <c r="F405" t="s">
        <v>123</v>
      </c>
      <c r="G405" t="s">
        <v>125</v>
      </c>
      <c r="H405" t="s">
        <v>124</v>
      </c>
      <c r="I405" s="11">
        <v>46271</v>
      </c>
      <c r="J405" s="12">
        <v>46266</v>
      </c>
      <c r="K405" s="13">
        <f>INDEX(Assumptions!$B$4:$B$23,MATCH(F405,Assumptions!$A$4:$A$23,0))</f>
        <v>0.10526315789473679</v>
      </c>
      <c r="L405" s="14">
        <f t="shared" si="12"/>
        <v>2.6210526315789462</v>
      </c>
      <c r="M405" t="str">
        <f t="shared" si="13"/>
        <v>Yes</v>
      </c>
    </row>
    <row r="406" spans="1:13" x14ac:dyDescent="0.25">
      <c r="A406">
        <v>339235</v>
      </c>
      <c r="B406" t="s">
        <v>1384</v>
      </c>
      <c r="C406" t="s">
        <v>6221</v>
      </c>
      <c r="D406" t="s">
        <v>6220</v>
      </c>
      <c r="E406">
        <v>27.9</v>
      </c>
      <c r="F406" t="s">
        <v>123</v>
      </c>
      <c r="G406" t="s">
        <v>125</v>
      </c>
      <c r="H406" t="s">
        <v>124</v>
      </c>
      <c r="I406" s="11">
        <v>46271</v>
      </c>
      <c r="J406" s="12">
        <v>46266</v>
      </c>
      <c r="K406" s="13">
        <f>INDEX(Assumptions!$B$4:$B$23,MATCH(F406,Assumptions!$A$4:$A$23,0))</f>
        <v>0.10526315789473679</v>
      </c>
      <c r="L406" s="14">
        <f t="shared" si="12"/>
        <v>2.9368421052631564</v>
      </c>
      <c r="M406" t="str">
        <f t="shared" si="13"/>
        <v>Yes</v>
      </c>
    </row>
    <row r="407" spans="1:13" x14ac:dyDescent="0.25">
      <c r="A407">
        <v>339234</v>
      </c>
      <c r="B407" t="s">
        <v>1387</v>
      </c>
      <c r="C407" t="s">
        <v>6221</v>
      </c>
      <c r="D407" t="s">
        <v>6220</v>
      </c>
      <c r="E407">
        <v>29.81</v>
      </c>
      <c r="F407" t="s">
        <v>123</v>
      </c>
      <c r="G407" t="s">
        <v>125</v>
      </c>
      <c r="H407" t="s">
        <v>124</v>
      </c>
      <c r="I407" s="11">
        <v>46271</v>
      </c>
      <c r="J407" s="12">
        <v>46266</v>
      </c>
      <c r="K407" s="13">
        <f>INDEX(Assumptions!$B$4:$B$23,MATCH(F407,Assumptions!$A$4:$A$23,0))</f>
        <v>0.10526315789473679</v>
      </c>
      <c r="L407" s="14">
        <f t="shared" si="12"/>
        <v>3.1378947368421035</v>
      </c>
      <c r="M407" t="str">
        <f t="shared" si="13"/>
        <v>Yes</v>
      </c>
    </row>
    <row r="408" spans="1:13" x14ac:dyDescent="0.25">
      <c r="A408">
        <v>339233</v>
      </c>
      <c r="B408" t="s">
        <v>1390</v>
      </c>
      <c r="C408" t="s">
        <v>6221</v>
      </c>
      <c r="D408" t="s">
        <v>6220</v>
      </c>
      <c r="E408">
        <v>29.81</v>
      </c>
      <c r="F408" t="s">
        <v>123</v>
      </c>
      <c r="G408" t="s">
        <v>125</v>
      </c>
      <c r="H408" t="s">
        <v>124</v>
      </c>
      <c r="I408" s="11">
        <v>46271</v>
      </c>
      <c r="J408" s="12">
        <v>46266</v>
      </c>
      <c r="K408" s="13">
        <f>INDEX(Assumptions!$B$4:$B$23,MATCH(F408,Assumptions!$A$4:$A$23,0))</f>
        <v>0.10526315789473679</v>
      </c>
      <c r="L408" s="14">
        <f t="shared" si="12"/>
        <v>3.1378947368421035</v>
      </c>
      <c r="M408" t="str">
        <f t="shared" si="13"/>
        <v>Yes</v>
      </c>
    </row>
    <row r="409" spans="1:13" x14ac:dyDescent="0.25">
      <c r="A409">
        <v>339232</v>
      </c>
      <c r="B409" t="s">
        <v>1392</v>
      </c>
      <c r="C409" t="s">
        <v>6221</v>
      </c>
      <c r="D409" t="s">
        <v>6220</v>
      </c>
      <c r="E409">
        <v>28.29</v>
      </c>
      <c r="F409" t="s">
        <v>123</v>
      </c>
      <c r="G409" t="s">
        <v>125</v>
      </c>
      <c r="H409" t="s">
        <v>124</v>
      </c>
      <c r="I409" s="11">
        <v>46271</v>
      </c>
      <c r="J409" s="12">
        <v>46266</v>
      </c>
      <c r="K409" s="13">
        <f>INDEX(Assumptions!$B$4:$B$23,MATCH(F409,Assumptions!$A$4:$A$23,0))</f>
        <v>0.10526315789473679</v>
      </c>
      <c r="L409" s="14">
        <f t="shared" si="12"/>
        <v>2.9778947368421038</v>
      </c>
      <c r="M409" t="str">
        <f t="shared" si="13"/>
        <v>Yes</v>
      </c>
    </row>
    <row r="410" spans="1:13" x14ac:dyDescent="0.25">
      <c r="A410">
        <v>339231</v>
      </c>
      <c r="B410" t="s">
        <v>1394</v>
      </c>
      <c r="C410" t="s">
        <v>6221</v>
      </c>
      <c r="D410" t="s">
        <v>6220</v>
      </c>
      <c r="E410">
        <v>17.88</v>
      </c>
      <c r="F410" t="s">
        <v>123</v>
      </c>
      <c r="G410" t="s">
        <v>125</v>
      </c>
      <c r="H410" t="s">
        <v>124</v>
      </c>
      <c r="I410" s="11">
        <v>46271</v>
      </c>
      <c r="J410" s="12">
        <v>46266</v>
      </c>
      <c r="K410" s="13">
        <f>INDEX(Assumptions!$B$4:$B$23,MATCH(F410,Assumptions!$A$4:$A$23,0))</f>
        <v>0.10526315789473679</v>
      </c>
      <c r="L410" s="14">
        <f t="shared" si="12"/>
        <v>1.8821052631578938</v>
      </c>
      <c r="M410" t="str">
        <f t="shared" si="13"/>
        <v>Yes</v>
      </c>
    </row>
    <row r="411" spans="1:13" x14ac:dyDescent="0.25">
      <c r="A411">
        <v>339230</v>
      </c>
      <c r="B411" t="s">
        <v>1397</v>
      </c>
      <c r="C411" t="s">
        <v>6221</v>
      </c>
      <c r="D411" t="s">
        <v>6220</v>
      </c>
      <c r="E411">
        <v>17.88</v>
      </c>
      <c r="F411" t="s">
        <v>123</v>
      </c>
      <c r="G411" t="s">
        <v>125</v>
      </c>
      <c r="H411" t="s">
        <v>124</v>
      </c>
      <c r="I411" s="11">
        <v>46271</v>
      </c>
      <c r="J411" s="12">
        <v>46266</v>
      </c>
      <c r="K411" s="13">
        <f>INDEX(Assumptions!$B$4:$B$23,MATCH(F411,Assumptions!$A$4:$A$23,0))</f>
        <v>0.10526315789473679</v>
      </c>
      <c r="L411" s="14">
        <f t="shared" si="12"/>
        <v>1.8821052631578938</v>
      </c>
      <c r="M411" t="str">
        <f t="shared" si="13"/>
        <v>Yes</v>
      </c>
    </row>
    <row r="412" spans="1:13" x14ac:dyDescent="0.25">
      <c r="A412">
        <v>339229</v>
      </c>
      <c r="B412" t="s">
        <v>1399</v>
      </c>
      <c r="C412" t="s">
        <v>6221</v>
      </c>
      <c r="D412" t="s">
        <v>6220</v>
      </c>
      <c r="E412">
        <v>2.04</v>
      </c>
      <c r="F412" t="s">
        <v>50</v>
      </c>
      <c r="G412" t="s">
        <v>1401</v>
      </c>
      <c r="H412" t="s">
        <v>1400</v>
      </c>
      <c r="I412" s="11">
        <v>46298</v>
      </c>
      <c r="J412" s="12">
        <v>46296</v>
      </c>
      <c r="K412" s="13">
        <f>INDEX(Assumptions!$B$4:$B$23,MATCH(F412,Assumptions!$A$4:$A$23,0))</f>
        <v>1.0869565217391299</v>
      </c>
      <c r="L412" s="14">
        <f t="shared" si="12"/>
        <v>2.2173913043478253</v>
      </c>
      <c r="M412" t="str">
        <f t="shared" si="13"/>
        <v>Yes</v>
      </c>
    </row>
    <row r="413" spans="1:13" x14ac:dyDescent="0.25">
      <c r="A413">
        <v>339228</v>
      </c>
      <c r="B413" t="s">
        <v>1403</v>
      </c>
      <c r="C413" t="s">
        <v>6221</v>
      </c>
      <c r="D413" t="s">
        <v>6220</v>
      </c>
      <c r="E413">
        <v>9.93</v>
      </c>
      <c r="F413" t="s">
        <v>123</v>
      </c>
      <c r="G413" t="s">
        <v>125</v>
      </c>
      <c r="H413" t="s">
        <v>124</v>
      </c>
      <c r="I413" s="11">
        <v>46271</v>
      </c>
      <c r="J413" s="12">
        <v>46266</v>
      </c>
      <c r="K413" s="13">
        <f>INDEX(Assumptions!$B$4:$B$23,MATCH(F413,Assumptions!$A$4:$A$23,0))</f>
        <v>0.10526315789473679</v>
      </c>
      <c r="L413" s="14">
        <f t="shared" si="12"/>
        <v>1.0452631578947364</v>
      </c>
      <c r="M413" t="str">
        <f t="shared" si="13"/>
        <v>Yes</v>
      </c>
    </row>
    <row r="414" spans="1:13" x14ac:dyDescent="0.25">
      <c r="A414">
        <v>339227</v>
      </c>
      <c r="B414" t="s">
        <v>1406</v>
      </c>
      <c r="C414" t="s">
        <v>6221</v>
      </c>
      <c r="D414" t="s">
        <v>6220</v>
      </c>
      <c r="E414">
        <v>26.4</v>
      </c>
      <c r="F414" t="s">
        <v>123</v>
      </c>
      <c r="G414" t="s">
        <v>125</v>
      </c>
      <c r="H414" t="s">
        <v>124</v>
      </c>
      <c r="I414" s="11">
        <v>46271</v>
      </c>
      <c r="J414" s="12">
        <v>46266</v>
      </c>
      <c r="K414" s="13">
        <f>INDEX(Assumptions!$B$4:$B$23,MATCH(F414,Assumptions!$A$4:$A$23,0))</f>
        <v>0.10526315789473679</v>
      </c>
      <c r="L414" s="14">
        <f t="shared" si="12"/>
        <v>2.7789473684210511</v>
      </c>
      <c r="M414" t="str">
        <f t="shared" si="13"/>
        <v>Yes</v>
      </c>
    </row>
    <row r="415" spans="1:13" x14ac:dyDescent="0.25">
      <c r="A415">
        <v>339226</v>
      </c>
      <c r="B415" t="s">
        <v>1409</v>
      </c>
      <c r="C415" t="s">
        <v>6221</v>
      </c>
      <c r="D415" t="s">
        <v>6220</v>
      </c>
      <c r="E415">
        <v>23.56</v>
      </c>
      <c r="F415" t="s">
        <v>123</v>
      </c>
      <c r="G415" t="s">
        <v>125</v>
      </c>
      <c r="H415" t="s">
        <v>124</v>
      </c>
      <c r="I415" s="11">
        <v>46271</v>
      </c>
      <c r="J415" s="12">
        <v>46266</v>
      </c>
      <c r="K415" s="13">
        <f>INDEX(Assumptions!$B$4:$B$23,MATCH(F415,Assumptions!$A$4:$A$23,0))</f>
        <v>0.10526315789473679</v>
      </c>
      <c r="L415" s="14">
        <f t="shared" si="12"/>
        <v>2.4799999999999986</v>
      </c>
      <c r="M415" t="str">
        <f t="shared" si="13"/>
        <v>Yes</v>
      </c>
    </row>
    <row r="416" spans="1:13" x14ac:dyDescent="0.25">
      <c r="A416">
        <v>339225</v>
      </c>
      <c r="B416" t="s">
        <v>1412</v>
      </c>
      <c r="C416" t="s">
        <v>6221</v>
      </c>
      <c r="D416" t="s">
        <v>6220</v>
      </c>
      <c r="E416">
        <v>10.88</v>
      </c>
      <c r="F416" t="s">
        <v>123</v>
      </c>
      <c r="G416" t="s">
        <v>125</v>
      </c>
      <c r="H416" t="s">
        <v>124</v>
      </c>
      <c r="I416" s="11">
        <v>46271</v>
      </c>
      <c r="J416" s="12">
        <v>46266</v>
      </c>
      <c r="K416" s="13">
        <f>INDEX(Assumptions!$B$4:$B$23,MATCH(F416,Assumptions!$A$4:$A$23,0))</f>
        <v>0.10526315789473679</v>
      </c>
      <c r="L416" s="14">
        <f t="shared" si="12"/>
        <v>1.1452631578947363</v>
      </c>
      <c r="M416" t="str">
        <f t="shared" si="13"/>
        <v>Yes</v>
      </c>
    </row>
    <row r="417" spans="1:13" x14ac:dyDescent="0.25">
      <c r="A417">
        <v>339224</v>
      </c>
      <c r="B417" t="s">
        <v>1415</v>
      </c>
      <c r="C417" t="s">
        <v>6221</v>
      </c>
      <c r="D417" t="s">
        <v>6220</v>
      </c>
      <c r="E417">
        <v>11.26</v>
      </c>
      <c r="F417" t="s">
        <v>123</v>
      </c>
      <c r="G417" t="s">
        <v>125</v>
      </c>
      <c r="H417" t="s">
        <v>124</v>
      </c>
      <c r="I417" s="11">
        <v>46271</v>
      </c>
      <c r="J417" s="12">
        <v>46266</v>
      </c>
      <c r="K417" s="13">
        <f>INDEX(Assumptions!$B$4:$B$23,MATCH(F417,Assumptions!$A$4:$A$23,0))</f>
        <v>0.10526315789473679</v>
      </c>
      <c r="L417" s="14">
        <f t="shared" si="12"/>
        <v>1.1852631578947364</v>
      </c>
      <c r="M417" t="str">
        <f t="shared" si="13"/>
        <v>Yes</v>
      </c>
    </row>
    <row r="418" spans="1:13" x14ac:dyDescent="0.25">
      <c r="A418">
        <v>339223</v>
      </c>
      <c r="B418" t="s">
        <v>1418</v>
      </c>
      <c r="C418" t="s">
        <v>6221</v>
      </c>
      <c r="D418" t="s">
        <v>6220</v>
      </c>
      <c r="E418">
        <v>9.6</v>
      </c>
      <c r="F418" t="s">
        <v>123</v>
      </c>
      <c r="G418" t="s">
        <v>125</v>
      </c>
      <c r="H418" t="s">
        <v>124</v>
      </c>
      <c r="I418" s="11">
        <v>46271</v>
      </c>
      <c r="J418" s="12">
        <v>46266</v>
      </c>
      <c r="K418" s="13">
        <f>INDEX(Assumptions!$B$4:$B$23,MATCH(F418,Assumptions!$A$4:$A$23,0))</f>
        <v>0.10526315789473679</v>
      </c>
      <c r="L418" s="14">
        <f t="shared" si="12"/>
        <v>1.0105263157894733</v>
      </c>
      <c r="M418" t="str">
        <f t="shared" si="13"/>
        <v>Yes</v>
      </c>
    </row>
    <row r="419" spans="1:13" x14ac:dyDescent="0.25">
      <c r="A419">
        <v>339222</v>
      </c>
      <c r="B419" t="s">
        <v>1421</v>
      </c>
      <c r="C419" t="s">
        <v>6221</v>
      </c>
      <c r="D419" t="s">
        <v>6220</v>
      </c>
      <c r="E419">
        <v>14.66</v>
      </c>
      <c r="F419" t="s">
        <v>123</v>
      </c>
      <c r="G419" t="s">
        <v>125</v>
      </c>
      <c r="H419" t="s">
        <v>124</v>
      </c>
      <c r="I419" s="11">
        <v>46271</v>
      </c>
      <c r="J419" s="12">
        <v>46266</v>
      </c>
      <c r="K419" s="13">
        <f>INDEX(Assumptions!$B$4:$B$23,MATCH(F419,Assumptions!$A$4:$A$23,0))</f>
        <v>0.10526315789473679</v>
      </c>
      <c r="L419" s="14">
        <f t="shared" si="12"/>
        <v>1.5431578947368414</v>
      </c>
      <c r="M419" t="str">
        <f t="shared" si="13"/>
        <v>Yes</v>
      </c>
    </row>
    <row r="420" spans="1:13" x14ac:dyDescent="0.25">
      <c r="A420">
        <v>339221</v>
      </c>
      <c r="B420" t="s">
        <v>1423</v>
      </c>
      <c r="C420" t="s">
        <v>1424</v>
      </c>
      <c r="D420" t="s">
        <v>6220</v>
      </c>
      <c r="E420">
        <v>1.833</v>
      </c>
      <c r="F420" t="s">
        <v>1426</v>
      </c>
      <c r="G420" t="s">
        <v>1428</v>
      </c>
      <c r="H420" t="s">
        <v>1427</v>
      </c>
      <c r="I420" s="11">
        <v>46295</v>
      </c>
      <c r="J420" s="12">
        <v>46266</v>
      </c>
      <c r="K420" s="13">
        <f>INDEX(Assumptions!$B$4:$B$23,MATCH(F420,Assumptions!$A$4:$A$23,0))</f>
        <v>0.7407407407407407</v>
      </c>
      <c r="L420" s="14">
        <f t="shared" si="12"/>
        <v>1.3577777777777778</v>
      </c>
      <c r="M420" t="str">
        <f t="shared" si="13"/>
        <v>No</v>
      </c>
    </row>
    <row r="421" spans="1:13" x14ac:dyDescent="0.25">
      <c r="A421">
        <v>339220</v>
      </c>
      <c r="B421" t="s">
        <v>1431</v>
      </c>
      <c r="C421" t="s">
        <v>1432</v>
      </c>
      <c r="D421" t="s">
        <v>6220</v>
      </c>
      <c r="E421">
        <v>1.85</v>
      </c>
      <c r="F421" t="s">
        <v>1426</v>
      </c>
      <c r="G421" t="s">
        <v>1428</v>
      </c>
      <c r="H421" t="s">
        <v>1427</v>
      </c>
      <c r="I421" s="11">
        <v>46295</v>
      </c>
      <c r="J421" s="12">
        <v>46266</v>
      </c>
      <c r="K421" s="13">
        <f>INDEX(Assumptions!$B$4:$B$23,MATCH(F421,Assumptions!$A$4:$A$23,0))</f>
        <v>0.7407407407407407</v>
      </c>
      <c r="L421" s="14">
        <f t="shared" si="12"/>
        <v>1.3703703703703705</v>
      </c>
      <c r="M421" t="str">
        <f t="shared" si="13"/>
        <v>No</v>
      </c>
    </row>
    <row r="422" spans="1:13" x14ac:dyDescent="0.25">
      <c r="A422">
        <v>339219</v>
      </c>
      <c r="C422" t="s">
        <v>1434</v>
      </c>
      <c r="D422" t="s">
        <v>1435</v>
      </c>
      <c r="E422">
        <v>4.92</v>
      </c>
      <c r="F422" t="s">
        <v>1426</v>
      </c>
      <c r="G422" t="s">
        <v>1428</v>
      </c>
      <c r="H422" t="s">
        <v>1427</v>
      </c>
      <c r="I422" s="11">
        <v>46295</v>
      </c>
      <c r="J422" s="12">
        <v>46266</v>
      </c>
      <c r="K422" s="13">
        <f>INDEX(Assumptions!$B$4:$B$23,MATCH(F422,Assumptions!$A$4:$A$23,0))</f>
        <v>0.7407407407407407</v>
      </c>
      <c r="L422" s="14">
        <f t="shared" si="12"/>
        <v>3.6444444444444444</v>
      </c>
      <c r="M422" t="str">
        <f t="shared" si="13"/>
        <v>No</v>
      </c>
    </row>
    <row r="423" spans="1:13" x14ac:dyDescent="0.25">
      <c r="A423">
        <v>339218</v>
      </c>
      <c r="C423" t="s">
        <v>1438</v>
      </c>
      <c r="D423" t="s">
        <v>1439</v>
      </c>
      <c r="E423">
        <v>8.7899999999999991</v>
      </c>
      <c r="F423" t="s">
        <v>1426</v>
      </c>
      <c r="G423" t="s">
        <v>1428</v>
      </c>
      <c r="H423" t="s">
        <v>1427</v>
      </c>
      <c r="I423" s="11">
        <v>46295</v>
      </c>
      <c r="J423" s="12">
        <v>46266</v>
      </c>
      <c r="K423" s="13">
        <f>INDEX(Assumptions!$B$4:$B$23,MATCH(F423,Assumptions!$A$4:$A$23,0))</f>
        <v>0.7407407407407407</v>
      </c>
      <c r="L423" s="14">
        <f t="shared" si="12"/>
        <v>6.5111111111111102</v>
      </c>
      <c r="M423" t="str">
        <f t="shared" si="13"/>
        <v>No</v>
      </c>
    </row>
    <row r="424" spans="1:13" x14ac:dyDescent="0.25">
      <c r="A424">
        <v>339217</v>
      </c>
      <c r="C424" t="s">
        <v>1442</v>
      </c>
      <c r="D424" t="s">
        <v>1443</v>
      </c>
      <c r="E424">
        <v>1.6</v>
      </c>
      <c r="F424" t="s">
        <v>1426</v>
      </c>
      <c r="G424" t="s">
        <v>1428</v>
      </c>
      <c r="H424" t="s">
        <v>1427</v>
      </c>
      <c r="I424" s="11">
        <v>46295</v>
      </c>
      <c r="J424" s="12">
        <v>46266</v>
      </c>
      <c r="K424" s="13">
        <f>INDEX(Assumptions!$B$4:$B$23,MATCH(F424,Assumptions!$A$4:$A$23,0))</f>
        <v>0.7407407407407407</v>
      </c>
      <c r="L424" s="14">
        <f t="shared" si="12"/>
        <v>1.1851851851851851</v>
      </c>
      <c r="M424" t="str">
        <f t="shared" si="13"/>
        <v>No</v>
      </c>
    </row>
    <row r="425" spans="1:13" x14ac:dyDescent="0.25">
      <c r="A425">
        <v>339216</v>
      </c>
      <c r="B425" t="s">
        <v>1445</v>
      </c>
      <c r="C425" t="s">
        <v>6221</v>
      </c>
      <c r="D425" t="s">
        <v>6220</v>
      </c>
      <c r="E425">
        <v>4.51</v>
      </c>
      <c r="F425" t="s">
        <v>50</v>
      </c>
      <c r="G425" t="s">
        <v>1401</v>
      </c>
      <c r="H425" t="s">
        <v>1400</v>
      </c>
      <c r="I425" s="11">
        <v>46298</v>
      </c>
      <c r="J425" s="12">
        <v>46296</v>
      </c>
      <c r="K425" s="13">
        <f>INDEX(Assumptions!$B$4:$B$23,MATCH(F425,Assumptions!$A$4:$A$23,0))</f>
        <v>1.0869565217391299</v>
      </c>
      <c r="L425" s="14">
        <f t="shared" si="12"/>
        <v>4.9021739130434758</v>
      </c>
      <c r="M425" t="str">
        <f t="shared" si="13"/>
        <v>Yes</v>
      </c>
    </row>
    <row r="426" spans="1:13" x14ac:dyDescent="0.25">
      <c r="A426">
        <v>339215</v>
      </c>
      <c r="B426" t="s">
        <v>1448</v>
      </c>
      <c r="C426" t="s">
        <v>6221</v>
      </c>
      <c r="D426" t="s">
        <v>6220</v>
      </c>
      <c r="E426">
        <v>1.69</v>
      </c>
      <c r="F426" t="s">
        <v>50</v>
      </c>
      <c r="G426" t="s">
        <v>1401</v>
      </c>
      <c r="H426" t="s">
        <v>1400</v>
      </c>
      <c r="I426" s="11">
        <v>46298</v>
      </c>
      <c r="J426" s="12">
        <v>46296</v>
      </c>
      <c r="K426" s="13">
        <f>INDEX(Assumptions!$B$4:$B$23,MATCH(F426,Assumptions!$A$4:$A$23,0))</f>
        <v>1.0869565217391299</v>
      </c>
      <c r="L426" s="14">
        <f t="shared" si="12"/>
        <v>1.8369565217391295</v>
      </c>
      <c r="M426" t="str">
        <f t="shared" si="13"/>
        <v>Yes</v>
      </c>
    </row>
    <row r="427" spans="1:13" x14ac:dyDescent="0.25">
      <c r="A427">
        <v>339214</v>
      </c>
      <c r="B427" t="s">
        <v>1450</v>
      </c>
      <c r="C427" t="s">
        <v>1451</v>
      </c>
      <c r="D427" t="s">
        <v>6220</v>
      </c>
      <c r="E427">
        <v>2.9</v>
      </c>
      <c r="F427" t="s">
        <v>1426</v>
      </c>
      <c r="G427" t="s">
        <v>1452</v>
      </c>
      <c r="H427" t="s">
        <v>1427</v>
      </c>
      <c r="I427" s="11">
        <v>46298</v>
      </c>
      <c r="J427" s="12">
        <v>46296</v>
      </c>
      <c r="K427" s="13">
        <f>INDEX(Assumptions!$B$4:$B$23,MATCH(F427,Assumptions!$A$4:$A$23,0))</f>
        <v>0.7407407407407407</v>
      </c>
      <c r="L427" s="14">
        <f t="shared" si="12"/>
        <v>2.1481481481481479</v>
      </c>
      <c r="M427" t="str">
        <f t="shared" si="13"/>
        <v>No</v>
      </c>
    </row>
    <row r="428" spans="1:13" x14ac:dyDescent="0.25">
      <c r="A428">
        <v>339213</v>
      </c>
      <c r="B428" t="s">
        <v>1454</v>
      </c>
      <c r="C428" t="s">
        <v>6221</v>
      </c>
      <c r="D428" t="s">
        <v>6220</v>
      </c>
      <c r="E428">
        <v>1.05</v>
      </c>
      <c r="F428" t="s">
        <v>50</v>
      </c>
      <c r="G428" t="s">
        <v>1456</v>
      </c>
      <c r="H428" t="s">
        <v>954</v>
      </c>
      <c r="I428" s="11">
        <v>46293</v>
      </c>
      <c r="J428" s="12">
        <v>46266</v>
      </c>
      <c r="K428" s="13">
        <f>INDEX(Assumptions!$B$4:$B$23,MATCH(F428,Assumptions!$A$4:$A$23,0))</f>
        <v>1.0869565217391299</v>
      </c>
      <c r="L428" s="14">
        <f t="shared" si="12"/>
        <v>1.1413043478260865</v>
      </c>
      <c r="M428" t="str">
        <f t="shared" si="13"/>
        <v>Yes</v>
      </c>
    </row>
    <row r="429" spans="1:13" x14ac:dyDescent="0.25">
      <c r="A429">
        <v>339212</v>
      </c>
      <c r="B429" t="s">
        <v>1458</v>
      </c>
      <c r="C429" t="s">
        <v>6221</v>
      </c>
      <c r="D429" t="s">
        <v>6220</v>
      </c>
      <c r="E429">
        <v>20</v>
      </c>
      <c r="F429" t="s">
        <v>1460</v>
      </c>
      <c r="G429" t="s">
        <v>1462</v>
      </c>
      <c r="H429" t="s">
        <v>1461</v>
      </c>
      <c r="I429" s="11">
        <v>46298</v>
      </c>
      <c r="J429" s="12">
        <v>46296</v>
      </c>
      <c r="K429" s="13">
        <f>INDEX(Assumptions!$B$4:$B$23,MATCH(F429,Assumptions!$A$4:$A$23,0))</f>
        <v>1.1904761904761901E-2</v>
      </c>
      <c r="L429" s="14">
        <f t="shared" si="12"/>
        <v>0.23809523809523803</v>
      </c>
      <c r="M429" t="str">
        <f t="shared" si="13"/>
        <v>Yes</v>
      </c>
    </row>
    <row r="430" spans="1:13" x14ac:dyDescent="0.25">
      <c r="A430">
        <v>339211</v>
      </c>
      <c r="B430" t="s">
        <v>1464</v>
      </c>
      <c r="C430" t="s">
        <v>1465</v>
      </c>
      <c r="D430" t="s">
        <v>6220</v>
      </c>
      <c r="E430">
        <v>579</v>
      </c>
      <c r="F430" t="s">
        <v>1467</v>
      </c>
      <c r="G430" t="s">
        <v>1469</v>
      </c>
      <c r="H430" t="s">
        <v>6222</v>
      </c>
      <c r="I430" s="11">
        <v>46298</v>
      </c>
      <c r="J430" s="12">
        <v>46296</v>
      </c>
      <c r="K430" s="13">
        <f>INDEX(Assumptions!$B$4:$B$23,MATCH(F430,Assumptions!$A$4:$A$23,0))</f>
        <v>2.0833333333333329E-3</v>
      </c>
      <c r="L430" s="14">
        <f t="shared" si="12"/>
        <v>1.2062499999999998</v>
      </c>
      <c r="M430" t="str">
        <f t="shared" si="13"/>
        <v>No</v>
      </c>
    </row>
    <row r="431" spans="1:13" x14ac:dyDescent="0.25">
      <c r="A431">
        <v>339210</v>
      </c>
      <c r="B431" t="s">
        <v>1471</v>
      </c>
      <c r="C431" t="s">
        <v>1472</v>
      </c>
      <c r="D431" t="s">
        <v>6220</v>
      </c>
      <c r="E431">
        <v>1250</v>
      </c>
      <c r="F431" t="s">
        <v>1467</v>
      </c>
      <c r="G431" t="s">
        <v>1469</v>
      </c>
      <c r="H431" t="s">
        <v>6222</v>
      </c>
      <c r="I431" s="11">
        <v>46298</v>
      </c>
      <c r="J431" s="12">
        <v>46296</v>
      </c>
      <c r="K431" s="13">
        <f>INDEX(Assumptions!$B$4:$B$23,MATCH(F431,Assumptions!$A$4:$A$23,0))</f>
        <v>2.0833333333333329E-3</v>
      </c>
      <c r="L431" s="14">
        <f t="shared" si="12"/>
        <v>2.6041666666666661</v>
      </c>
      <c r="M431" t="str">
        <f t="shared" si="13"/>
        <v>No</v>
      </c>
    </row>
    <row r="432" spans="1:13" x14ac:dyDescent="0.25">
      <c r="A432">
        <v>339209</v>
      </c>
      <c r="B432" t="s">
        <v>1475</v>
      </c>
      <c r="C432" t="s">
        <v>1476</v>
      </c>
      <c r="D432" t="s">
        <v>6220</v>
      </c>
      <c r="E432">
        <v>2145</v>
      </c>
      <c r="F432" t="s">
        <v>1467</v>
      </c>
      <c r="G432" t="s">
        <v>1469</v>
      </c>
      <c r="H432" t="s">
        <v>6222</v>
      </c>
      <c r="I432" s="11">
        <v>46298</v>
      </c>
      <c r="J432" s="12">
        <v>46296</v>
      </c>
      <c r="K432" s="13">
        <f>INDEX(Assumptions!$B$4:$B$23,MATCH(F432,Assumptions!$A$4:$A$23,0))</f>
        <v>2.0833333333333329E-3</v>
      </c>
      <c r="L432" s="14">
        <f t="shared" si="12"/>
        <v>4.4687499999999991</v>
      </c>
      <c r="M432" t="str">
        <f t="shared" si="13"/>
        <v>No</v>
      </c>
    </row>
    <row r="433" spans="1:13" x14ac:dyDescent="0.25">
      <c r="A433">
        <v>339208</v>
      </c>
      <c r="B433" t="s">
        <v>1479</v>
      </c>
      <c r="C433" t="s">
        <v>1480</v>
      </c>
      <c r="D433" t="s">
        <v>6220</v>
      </c>
      <c r="E433">
        <v>805</v>
      </c>
      <c r="F433" t="s">
        <v>1467</v>
      </c>
      <c r="G433" t="s">
        <v>1469</v>
      </c>
      <c r="H433" t="s">
        <v>6222</v>
      </c>
      <c r="I433" s="11">
        <v>46298</v>
      </c>
      <c r="J433" s="12">
        <v>46296</v>
      </c>
      <c r="K433" s="13">
        <f>INDEX(Assumptions!$B$4:$B$23,MATCH(F433,Assumptions!$A$4:$A$23,0))</f>
        <v>2.0833333333333329E-3</v>
      </c>
      <c r="L433" s="14">
        <f t="shared" si="12"/>
        <v>1.677083333333333</v>
      </c>
      <c r="M433" t="str">
        <f t="shared" si="13"/>
        <v>No</v>
      </c>
    </row>
    <row r="434" spans="1:13" x14ac:dyDescent="0.25">
      <c r="A434">
        <v>339206</v>
      </c>
      <c r="B434" t="s">
        <v>1483</v>
      </c>
      <c r="C434" t="s">
        <v>1484</v>
      </c>
      <c r="D434" t="s">
        <v>6220</v>
      </c>
      <c r="E434">
        <v>835</v>
      </c>
      <c r="F434" t="s">
        <v>1467</v>
      </c>
      <c r="G434" t="s">
        <v>1469</v>
      </c>
      <c r="H434" t="s">
        <v>6222</v>
      </c>
      <c r="I434" s="11">
        <v>46298</v>
      </c>
      <c r="J434" s="12">
        <v>46296</v>
      </c>
      <c r="K434" s="13">
        <f>INDEX(Assumptions!$B$4:$B$23,MATCH(F434,Assumptions!$A$4:$A$23,0))</f>
        <v>2.0833333333333329E-3</v>
      </c>
      <c r="L434" s="14">
        <f t="shared" si="12"/>
        <v>1.739583333333333</v>
      </c>
      <c r="M434" t="str">
        <f t="shared" si="13"/>
        <v>No</v>
      </c>
    </row>
    <row r="435" spans="1:13" x14ac:dyDescent="0.25">
      <c r="A435">
        <v>339207</v>
      </c>
      <c r="B435" t="s">
        <v>1487</v>
      </c>
      <c r="C435" t="s">
        <v>1488</v>
      </c>
      <c r="D435" t="s">
        <v>6220</v>
      </c>
      <c r="E435">
        <v>2315</v>
      </c>
      <c r="F435" t="s">
        <v>1467</v>
      </c>
      <c r="G435" t="s">
        <v>1469</v>
      </c>
      <c r="H435" t="s">
        <v>6222</v>
      </c>
      <c r="I435" s="11">
        <v>46298</v>
      </c>
      <c r="J435" s="12">
        <v>46296</v>
      </c>
      <c r="K435" s="13">
        <f>INDEX(Assumptions!$B$4:$B$23,MATCH(F435,Assumptions!$A$4:$A$23,0))</f>
        <v>2.0833333333333329E-3</v>
      </c>
      <c r="L435" s="14">
        <f t="shared" si="12"/>
        <v>4.8229166666666652</v>
      </c>
      <c r="M435" t="str">
        <f t="shared" si="13"/>
        <v>No</v>
      </c>
    </row>
    <row r="436" spans="1:13" x14ac:dyDescent="0.25">
      <c r="A436">
        <v>339205</v>
      </c>
      <c r="B436" t="s">
        <v>1491</v>
      </c>
      <c r="C436" t="s">
        <v>1492</v>
      </c>
      <c r="D436" t="s">
        <v>6220</v>
      </c>
      <c r="E436">
        <v>2128</v>
      </c>
      <c r="F436" t="s">
        <v>1467</v>
      </c>
      <c r="G436" t="s">
        <v>1469</v>
      </c>
      <c r="H436" t="s">
        <v>6222</v>
      </c>
      <c r="I436" s="11">
        <v>46298</v>
      </c>
      <c r="J436" s="12">
        <v>46296</v>
      </c>
      <c r="K436" s="13">
        <f>INDEX(Assumptions!$B$4:$B$23,MATCH(F436,Assumptions!$A$4:$A$23,0))</f>
        <v>2.0833333333333329E-3</v>
      </c>
      <c r="L436" s="14">
        <f t="shared" si="12"/>
        <v>4.4333333333333327</v>
      </c>
      <c r="M436" t="str">
        <f t="shared" si="13"/>
        <v>No</v>
      </c>
    </row>
    <row r="437" spans="1:13" x14ac:dyDescent="0.25">
      <c r="A437">
        <v>339204</v>
      </c>
      <c r="B437" t="s">
        <v>1495</v>
      </c>
      <c r="C437" t="s">
        <v>1496</v>
      </c>
      <c r="D437" t="s">
        <v>6220</v>
      </c>
      <c r="E437">
        <v>820</v>
      </c>
      <c r="F437" t="s">
        <v>1467</v>
      </c>
      <c r="G437" t="s">
        <v>1469</v>
      </c>
      <c r="H437" t="s">
        <v>6222</v>
      </c>
      <c r="I437" s="11">
        <v>46298</v>
      </c>
      <c r="J437" s="12">
        <v>46296</v>
      </c>
      <c r="K437" s="13">
        <f>INDEX(Assumptions!$B$4:$B$23,MATCH(F437,Assumptions!$A$4:$A$23,0))</f>
        <v>2.0833333333333329E-3</v>
      </c>
      <c r="L437" s="14">
        <f t="shared" si="12"/>
        <v>1.708333333333333</v>
      </c>
      <c r="M437" t="str">
        <f t="shared" si="13"/>
        <v>No</v>
      </c>
    </row>
    <row r="438" spans="1:13" x14ac:dyDescent="0.25">
      <c r="A438">
        <v>339203</v>
      </c>
      <c r="B438" t="s">
        <v>1499</v>
      </c>
      <c r="C438" t="s">
        <v>1500</v>
      </c>
      <c r="D438" t="s">
        <v>6220</v>
      </c>
      <c r="E438">
        <v>499</v>
      </c>
      <c r="F438" t="s">
        <v>1467</v>
      </c>
      <c r="G438" t="s">
        <v>1469</v>
      </c>
      <c r="H438" t="s">
        <v>6222</v>
      </c>
      <c r="I438" s="11">
        <v>46298</v>
      </c>
      <c r="J438" s="12">
        <v>46296</v>
      </c>
      <c r="K438" s="13">
        <f>INDEX(Assumptions!$B$4:$B$23,MATCH(F438,Assumptions!$A$4:$A$23,0))</f>
        <v>2.0833333333333329E-3</v>
      </c>
      <c r="L438" s="14">
        <f t="shared" si="12"/>
        <v>1.0395833333333331</v>
      </c>
      <c r="M438" t="str">
        <f t="shared" si="13"/>
        <v>No</v>
      </c>
    </row>
    <row r="439" spans="1:13" x14ac:dyDescent="0.25">
      <c r="A439">
        <v>339202</v>
      </c>
      <c r="B439" t="s">
        <v>1503</v>
      </c>
      <c r="C439" t="s">
        <v>1504</v>
      </c>
      <c r="D439" t="s">
        <v>6220</v>
      </c>
      <c r="E439">
        <v>190</v>
      </c>
      <c r="F439" t="s">
        <v>1467</v>
      </c>
      <c r="G439" t="s">
        <v>1469</v>
      </c>
      <c r="H439" t="s">
        <v>6222</v>
      </c>
      <c r="I439" s="11">
        <v>46298</v>
      </c>
      <c r="J439" s="12">
        <v>46296</v>
      </c>
      <c r="K439" s="13">
        <f>INDEX(Assumptions!$B$4:$B$23,MATCH(F439,Assumptions!$A$4:$A$23,0))</f>
        <v>2.0833333333333329E-3</v>
      </c>
      <c r="L439" s="14">
        <f t="shared" si="12"/>
        <v>0.39583333333333326</v>
      </c>
      <c r="M439" t="str">
        <f t="shared" si="13"/>
        <v>No</v>
      </c>
    </row>
    <row r="440" spans="1:13" x14ac:dyDescent="0.25">
      <c r="A440">
        <v>339201</v>
      </c>
      <c r="B440" t="s">
        <v>1507</v>
      </c>
      <c r="C440" t="s">
        <v>1508</v>
      </c>
      <c r="D440" t="s">
        <v>6220</v>
      </c>
      <c r="E440">
        <v>2495</v>
      </c>
      <c r="F440" t="s">
        <v>1467</v>
      </c>
      <c r="G440" t="s">
        <v>1469</v>
      </c>
      <c r="H440" t="s">
        <v>6222</v>
      </c>
      <c r="I440" s="11">
        <v>46298</v>
      </c>
      <c r="J440" s="12">
        <v>46296</v>
      </c>
      <c r="K440" s="13">
        <f>INDEX(Assumptions!$B$4:$B$23,MATCH(F440,Assumptions!$A$4:$A$23,0))</f>
        <v>2.0833333333333329E-3</v>
      </c>
      <c r="L440" s="14">
        <f t="shared" si="12"/>
        <v>5.1979166666666652</v>
      </c>
      <c r="M440" t="str">
        <f t="shared" si="13"/>
        <v>No</v>
      </c>
    </row>
    <row r="441" spans="1:13" x14ac:dyDescent="0.25">
      <c r="A441">
        <v>339200</v>
      </c>
      <c r="B441" t="s">
        <v>1511</v>
      </c>
      <c r="C441" t="s">
        <v>1512</v>
      </c>
      <c r="D441" t="s">
        <v>6220</v>
      </c>
      <c r="E441">
        <v>2755</v>
      </c>
      <c r="F441" t="s">
        <v>1467</v>
      </c>
      <c r="G441" t="s">
        <v>1469</v>
      </c>
      <c r="H441" t="s">
        <v>6222</v>
      </c>
      <c r="I441" s="11">
        <v>46298</v>
      </c>
      <c r="J441" s="12">
        <v>46296</v>
      </c>
      <c r="K441" s="13">
        <f>INDEX(Assumptions!$B$4:$B$23,MATCH(F441,Assumptions!$A$4:$A$23,0))</f>
        <v>2.0833333333333329E-3</v>
      </c>
      <c r="L441" s="14">
        <f t="shared" si="12"/>
        <v>5.7395833333333321</v>
      </c>
      <c r="M441" t="str">
        <f t="shared" si="13"/>
        <v>No</v>
      </c>
    </row>
    <row r="442" spans="1:13" x14ac:dyDescent="0.25">
      <c r="A442">
        <v>339199</v>
      </c>
      <c r="B442" t="s">
        <v>1515</v>
      </c>
      <c r="C442" t="s">
        <v>6221</v>
      </c>
      <c r="D442" t="s">
        <v>6220</v>
      </c>
      <c r="E442">
        <v>1650</v>
      </c>
      <c r="F442" t="s">
        <v>1467</v>
      </c>
      <c r="G442" t="s">
        <v>1469</v>
      </c>
      <c r="H442" t="s">
        <v>6222</v>
      </c>
      <c r="I442" s="11">
        <v>46298</v>
      </c>
      <c r="J442" s="12">
        <v>46296</v>
      </c>
      <c r="K442" s="13">
        <f>INDEX(Assumptions!$B$4:$B$23,MATCH(F442,Assumptions!$A$4:$A$23,0))</f>
        <v>2.0833333333333329E-3</v>
      </c>
      <c r="L442" s="14">
        <f t="shared" si="12"/>
        <v>3.4374999999999991</v>
      </c>
      <c r="M442" t="str">
        <f t="shared" si="13"/>
        <v>Yes</v>
      </c>
    </row>
    <row r="443" spans="1:13" x14ac:dyDescent="0.25">
      <c r="A443">
        <v>339198</v>
      </c>
      <c r="B443" t="s">
        <v>1518</v>
      </c>
      <c r="C443" t="s">
        <v>1519</v>
      </c>
      <c r="D443" t="s">
        <v>6220</v>
      </c>
      <c r="E443">
        <v>869</v>
      </c>
      <c r="F443" t="s">
        <v>1467</v>
      </c>
      <c r="G443" t="s">
        <v>1469</v>
      </c>
      <c r="H443" t="s">
        <v>6222</v>
      </c>
      <c r="I443" s="11">
        <v>46298</v>
      </c>
      <c r="J443" s="12">
        <v>46296</v>
      </c>
      <c r="K443" s="13">
        <f>INDEX(Assumptions!$B$4:$B$23,MATCH(F443,Assumptions!$A$4:$A$23,0))</f>
        <v>2.0833333333333329E-3</v>
      </c>
      <c r="L443" s="14">
        <f t="shared" si="12"/>
        <v>1.8104166666666663</v>
      </c>
      <c r="M443" t="str">
        <f t="shared" si="13"/>
        <v>No</v>
      </c>
    </row>
    <row r="444" spans="1:13" x14ac:dyDescent="0.25">
      <c r="A444">
        <v>339197</v>
      </c>
      <c r="B444" t="s">
        <v>1522</v>
      </c>
      <c r="C444" t="s">
        <v>6221</v>
      </c>
      <c r="D444" t="s">
        <v>6220</v>
      </c>
      <c r="E444">
        <v>1665</v>
      </c>
      <c r="F444" t="s">
        <v>1467</v>
      </c>
      <c r="G444" t="s">
        <v>1469</v>
      </c>
      <c r="H444" t="s">
        <v>6222</v>
      </c>
      <c r="I444" s="11">
        <v>46298</v>
      </c>
      <c r="J444" s="12">
        <v>46296</v>
      </c>
      <c r="K444" s="13">
        <f>INDEX(Assumptions!$B$4:$B$23,MATCH(F444,Assumptions!$A$4:$A$23,0))</f>
        <v>2.0833333333333329E-3</v>
      </c>
      <c r="L444" s="14">
        <f t="shared" si="12"/>
        <v>3.4687499999999991</v>
      </c>
      <c r="M444" t="str">
        <f t="shared" si="13"/>
        <v>Yes</v>
      </c>
    </row>
    <row r="445" spans="1:13" x14ac:dyDescent="0.25">
      <c r="A445">
        <v>339196</v>
      </c>
      <c r="B445" t="s">
        <v>1525</v>
      </c>
      <c r="C445" t="s">
        <v>6221</v>
      </c>
      <c r="D445" t="s">
        <v>6220</v>
      </c>
      <c r="E445">
        <v>779</v>
      </c>
      <c r="F445" t="s">
        <v>1467</v>
      </c>
      <c r="G445" t="s">
        <v>1469</v>
      </c>
      <c r="H445" t="s">
        <v>6222</v>
      </c>
      <c r="I445" s="11">
        <v>46298</v>
      </c>
      <c r="J445" s="12">
        <v>46296</v>
      </c>
      <c r="K445" s="13">
        <f>INDEX(Assumptions!$B$4:$B$23,MATCH(F445,Assumptions!$A$4:$A$23,0))</f>
        <v>2.0833333333333329E-3</v>
      </c>
      <c r="L445" s="14">
        <f t="shared" si="12"/>
        <v>1.6229166666666663</v>
      </c>
      <c r="M445" t="str">
        <f t="shared" si="13"/>
        <v>Yes</v>
      </c>
    </row>
    <row r="446" spans="1:13" x14ac:dyDescent="0.25">
      <c r="A446">
        <v>339195</v>
      </c>
      <c r="B446" t="s">
        <v>1528</v>
      </c>
      <c r="C446" t="s">
        <v>6221</v>
      </c>
      <c r="D446" t="s">
        <v>6220</v>
      </c>
      <c r="E446">
        <v>600</v>
      </c>
      <c r="F446" t="s">
        <v>1467</v>
      </c>
      <c r="G446" t="s">
        <v>1469</v>
      </c>
      <c r="H446" t="s">
        <v>6222</v>
      </c>
      <c r="I446" s="11">
        <v>46298</v>
      </c>
      <c r="J446" s="12">
        <v>46296</v>
      </c>
      <c r="K446" s="13">
        <f>INDEX(Assumptions!$B$4:$B$23,MATCH(F446,Assumptions!$A$4:$A$23,0))</f>
        <v>2.0833333333333329E-3</v>
      </c>
      <c r="L446" s="14">
        <f t="shared" si="12"/>
        <v>1.2499999999999998</v>
      </c>
      <c r="M446" t="str">
        <f t="shared" si="13"/>
        <v>Yes</v>
      </c>
    </row>
    <row r="447" spans="1:13" x14ac:dyDescent="0.25">
      <c r="A447">
        <v>339193</v>
      </c>
      <c r="B447" t="s">
        <v>1531</v>
      </c>
      <c r="C447" t="s">
        <v>6221</v>
      </c>
      <c r="D447" t="s">
        <v>6220</v>
      </c>
      <c r="E447">
        <v>439</v>
      </c>
      <c r="F447" t="s">
        <v>1467</v>
      </c>
      <c r="G447" t="s">
        <v>1469</v>
      </c>
      <c r="H447" t="s">
        <v>6222</v>
      </c>
      <c r="I447" s="11">
        <v>46298</v>
      </c>
      <c r="J447" s="12">
        <v>46296</v>
      </c>
      <c r="K447" s="13">
        <f>INDEX(Assumptions!$B$4:$B$23,MATCH(F447,Assumptions!$A$4:$A$23,0))</f>
        <v>2.0833333333333329E-3</v>
      </c>
      <c r="L447" s="14">
        <f t="shared" si="12"/>
        <v>0.91458333333333308</v>
      </c>
      <c r="M447" t="str">
        <f t="shared" si="13"/>
        <v>Yes</v>
      </c>
    </row>
    <row r="448" spans="1:13" x14ac:dyDescent="0.25">
      <c r="A448">
        <v>339194</v>
      </c>
      <c r="B448" t="s">
        <v>1534</v>
      </c>
      <c r="C448" t="s">
        <v>6221</v>
      </c>
      <c r="D448" t="s">
        <v>6220</v>
      </c>
      <c r="E448">
        <v>825</v>
      </c>
      <c r="F448" t="s">
        <v>1467</v>
      </c>
      <c r="G448" t="s">
        <v>1469</v>
      </c>
      <c r="H448" t="s">
        <v>6222</v>
      </c>
      <c r="I448" s="11">
        <v>46298</v>
      </c>
      <c r="J448" s="12">
        <v>46296</v>
      </c>
      <c r="K448" s="13">
        <f>INDEX(Assumptions!$B$4:$B$23,MATCH(F448,Assumptions!$A$4:$A$23,0))</f>
        <v>2.0833333333333329E-3</v>
      </c>
      <c r="L448" s="14">
        <f t="shared" si="12"/>
        <v>1.7187499999999996</v>
      </c>
      <c r="M448" t="str">
        <f t="shared" si="13"/>
        <v>Yes</v>
      </c>
    </row>
    <row r="449" spans="1:13" x14ac:dyDescent="0.25">
      <c r="A449">
        <v>339192</v>
      </c>
      <c r="C449" t="s">
        <v>6221</v>
      </c>
      <c r="D449" t="s">
        <v>1537</v>
      </c>
      <c r="E449">
        <v>265</v>
      </c>
      <c r="F449" t="s">
        <v>1467</v>
      </c>
      <c r="G449" t="s">
        <v>1469</v>
      </c>
      <c r="H449" t="s">
        <v>6222</v>
      </c>
      <c r="I449" s="11">
        <v>46298</v>
      </c>
      <c r="J449" s="12">
        <v>46296</v>
      </c>
      <c r="K449" s="13">
        <f>INDEX(Assumptions!$B$4:$B$23,MATCH(F449,Assumptions!$A$4:$A$23,0))</f>
        <v>2.0833333333333329E-3</v>
      </c>
      <c r="L449" s="14">
        <f t="shared" si="12"/>
        <v>0.55208333333333326</v>
      </c>
      <c r="M449" t="str">
        <f t="shared" si="13"/>
        <v>Yes</v>
      </c>
    </row>
    <row r="450" spans="1:13" x14ac:dyDescent="0.25">
      <c r="A450">
        <v>339191</v>
      </c>
      <c r="B450" t="s">
        <v>1540</v>
      </c>
      <c r="C450" t="s">
        <v>6221</v>
      </c>
      <c r="D450" t="s">
        <v>6220</v>
      </c>
      <c r="E450">
        <v>285</v>
      </c>
      <c r="F450" t="s">
        <v>1467</v>
      </c>
      <c r="G450" t="s">
        <v>1469</v>
      </c>
      <c r="H450" t="s">
        <v>6222</v>
      </c>
      <c r="I450" s="11">
        <v>46298</v>
      </c>
      <c r="J450" s="12">
        <v>46296</v>
      </c>
      <c r="K450" s="13">
        <f>INDEX(Assumptions!$B$4:$B$23,MATCH(F450,Assumptions!$A$4:$A$23,0))</f>
        <v>2.0833333333333329E-3</v>
      </c>
      <c r="L450" s="14">
        <f t="shared" ref="L450:L513" si="14">E450*K450</f>
        <v>0.59374999999999989</v>
      </c>
      <c r="M450" t="str">
        <f t="shared" ref="M450:M513" si="15">IF(C450="Unnamed product","Yes","No")</f>
        <v>Yes</v>
      </c>
    </row>
    <row r="451" spans="1:13" x14ac:dyDescent="0.25">
      <c r="A451">
        <v>339189</v>
      </c>
      <c r="B451" t="s">
        <v>1543</v>
      </c>
      <c r="C451" t="s">
        <v>6221</v>
      </c>
      <c r="D451" t="s">
        <v>6220</v>
      </c>
      <c r="E451">
        <v>439</v>
      </c>
      <c r="F451" t="s">
        <v>1467</v>
      </c>
      <c r="G451" t="s">
        <v>1469</v>
      </c>
      <c r="H451" t="s">
        <v>6222</v>
      </c>
      <c r="I451" s="11">
        <v>46298</v>
      </c>
      <c r="J451" s="12">
        <v>46296</v>
      </c>
      <c r="K451" s="13">
        <f>INDEX(Assumptions!$B$4:$B$23,MATCH(F451,Assumptions!$A$4:$A$23,0))</f>
        <v>2.0833333333333329E-3</v>
      </c>
      <c r="L451" s="14">
        <f t="shared" si="14"/>
        <v>0.91458333333333308</v>
      </c>
      <c r="M451" t="str">
        <f t="shared" si="15"/>
        <v>Yes</v>
      </c>
    </row>
    <row r="452" spans="1:13" x14ac:dyDescent="0.25">
      <c r="A452">
        <v>339190</v>
      </c>
      <c r="B452" t="s">
        <v>1545</v>
      </c>
      <c r="C452" t="s">
        <v>6221</v>
      </c>
      <c r="D452" t="s">
        <v>6220</v>
      </c>
      <c r="E452">
        <v>699</v>
      </c>
      <c r="F452" t="s">
        <v>1467</v>
      </c>
      <c r="G452" t="s">
        <v>1469</v>
      </c>
      <c r="H452" t="s">
        <v>6222</v>
      </c>
      <c r="I452" s="11">
        <v>46298</v>
      </c>
      <c r="J452" s="12">
        <v>46296</v>
      </c>
      <c r="K452" s="13">
        <f>INDEX(Assumptions!$B$4:$B$23,MATCH(F452,Assumptions!$A$4:$A$23,0))</f>
        <v>2.0833333333333329E-3</v>
      </c>
      <c r="L452" s="14">
        <f t="shared" si="14"/>
        <v>1.4562499999999996</v>
      </c>
      <c r="M452" t="str">
        <f t="shared" si="15"/>
        <v>Yes</v>
      </c>
    </row>
    <row r="453" spans="1:13" x14ac:dyDescent="0.25">
      <c r="A453">
        <v>339188</v>
      </c>
      <c r="B453" t="s">
        <v>1548</v>
      </c>
      <c r="C453" t="s">
        <v>6221</v>
      </c>
      <c r="D453" t="s">
        <v>6220</v>
      </c>
      <c r="E453">
        <v>880</v>
      </c>
      <c r="F453" t="s">
        <v>1467</v>
      </c>
      <c r="G453" t="s">
        <v>1469</v>
      </c>
      <c r="H453" t="s">
        <v>6222</v>
      </c>
      <c r="I453" s="11">
        <v>46298</v>
      </c>
      <c r="J453" s="12">
        <v>46296</v>
      </c>
      <c r="K453" s="13">
        <f>INDEX(Assumptions!$B$4:$B$23,MATCH(F453,Assumptions!$A$4:$A$23,0))</f>
        <v>2.0833333333333329E-3</v>
      </c>
      <c r="L453" s="14">
        <f t="shared" si="14"/>
        <v>1.833333333333333</v>
      </c>
      <c r="M453" t="str">
        <f t="shared" si="15"/>
        <v>Yes</v>
      </c>
    </row>
    <row r="454" spans="1:13" x14ac:dyDescent="0.25">
      <c r="A454">
        <v>339187</v>
      </c>
      <c r="B454" t="s">
        <v>1551</v>
      </c>
      <c r="C454" t="s">
        <v>6221</v>
      </c>
      <c r="D454" t="s">
        <v>6220</v>
      </c>
      <c r="E454">
        <v>555</v>
      </c>
      <c r="F454" t="s">
        <v>1467</v>
      </c>
      <c r="G454" t="s">
        <v>1469</v>
      </c>
      <c r="H454" t="s">
        <v>6222</v>
      </c>
      <c r="I454" s="11">
        <v>46298</v>
      </c>
      <c r="J454" s="12">
        <v>46296</v>
      </c>
      <c r="K454" s="13">
        <f>INDEX(Assumptions!$B$4:$B$23,MATCH(F454,Assumptions!$A$4:$A$23,0))</f>
        <v>2.0833333333333329E-3</v>
      </c>
      <c r="L454" s="14">
        <f t="shared" si="14"/>
        <v>1.1562499999999998</v>
      </c>
      <c r="M454" t="str">
        <f t="shared" si="15"/>
        <v>Yes</v>
      </c>
    </row>
    <row r="455" spans="1:13" x14ac:dyDescent="0.25">
      <c r="A455">
        <v>339186</v>
      </c>
      <c r="B455" t="s">
        <v>1554</v>
      </c>
      <c r="C455" t="s">
        <v>6221</v>
      </c>
      <c r="D455" t="s">
        <v>6220</v>
      </c>
      <c r="E455">
        <v>285</v>
      </c>
      <c r="F455" t="s">
        <v>1467</v>
      </c>
      <c r="G455" t="s">
        <v>1469</v>
      </c>
      <c r="H455" t="s">
        <v>6222</v>
      </c>
      <c r="I455" s="11">
        <v>46298</v>
      </c>
      <c r="J455" s="12">
        <v>46296</v>
      </c>
      <c r="K455" s="13">
        <f>INDEX(Assumptions!$B$4:$B$23,MATCH(F455,Assumptions!$A$4:$A$23,0))</f>
        <v>2.0833333333333329E-3</v>
      </c>
      <c r="L455" s="14">
        <f t="shared" si="14"/>
        <v>0.59374999999999989</v>
      </c>
      <c r="M455" t="str">
        <f t="shared" si="15"/>
        <v>Yes</v>
      </c>
    </row>
    <row r="456" spans="1:13" x14ac:dyDescent="0.25">
      <c r="A456">
        <v>339185</v>
      </c>
      <c r="B456" t="s">
        <v>1556</v>
      </c>
      <c r="C456" t="s">
        <v>6221</v>
      </c>
      <c r="D456" t="s">
        <v>6220</v>
      </c>
      <c r="E456">
        <v>285</v>
      </c>
      <c r="F456" t="s">
        <v>1467</v>
      </c>
      <c r="G456" t="s">
        <v>1469</v>
      </c>
      <c r="H456" t="s">
        <v>6222</v>
      </c>
      <c r="I456" s="11">
        <v>46298</v>
      </c>
      <c r="J456" s="12">
        <v>46296</v>
      </c>
      <c r="K456" s="13">
        <f>INDEX(Assumptions!$B$4:$B$23,MATCH(F456,Assumptions!$A$4:$A$23,0))</f>
        <v>2.0833333333333329E-3</v>
      </c>
      <c r="L456" s="14">
        <f t="shared" si="14"/>
        <v>0.59374999999999989</v>
      </c>
      <c r="M456" t="str">
        <f t="shared" si="15"/>
        <v>Yes</v>
      </c>
    </row>
    <row r="457" spans="1:13" x14ac:dyDescent="0.25">
      <c r="A457">
        <v>339184</v>
      </c>
      <c r="B457" t="s">
        <v>1558</v>
      </c>
      <c r="C457" t="s">
        <v>6221</v>
      </c>
      <c r="D457" t="s">
        <v>6220</v>
      </c>
      <c r="E457">
        <v>249</v>
      </c>
      <c r="F457" t="s">
        <v>1467</v>
      </c>
      <c r="G457" t="s">
        <v>1469</v>
      </c>
      <c r="H457" t="s">
        <v>6222</v>
      </c>
      <c r="I457" s="11">
        <v>46298</v>
      </c>
      <c r="J457" s="12">
        <v>46296</v>
      </c>
      <c r="K457" s="13">
        <f>INDEX(Assumptions!$B$4:$B$23,MATCH(F457,Assumptions!$A$4:$A$23,0))</f>
        <v>2.0833333333333329E-3</v>
      </c>
      <c r="L457" s="14">
        <f t="shared" si="14"/>
        <v>0.51874999999999993</v>
      </c>
      <c r="M457" t="str">
        <f t="shared" si="15"/>
        <v>Yes</v>
      </c>
    </row>
    <row r="458" spans="1:13" x14ac:dyDescent="0.25">
      <c r="A458">
        <v>339183</v>
      </c>
      <c r="B458" t="s">
        <v>1561</v>
      </c>
      <c r="C458" t="s">
        <v>6221</v>
      </c>
      <c r="D458" t="s">
        <v>6220</v>
      </c>
      <c r="E458">
        <v>195</v>
      </c>
      <c r="F458" t="s">
        <v>1467</v>
      </c>
      <c r="G458" t="s">
        <v>1469</v>
      </c>
      <c r="H458" t="s">
        <v>6222</v>
      </c>
      <c r="I458" s="11">
        <v>46298</v>
      </c>
      <c r="J458" s="12">
        <v>46296</v>
      </c>
      <c r="K458" s="13">
        <f>INDEX(Assumptions!$B$4:$B$23,MATCH(F458,Assumptions!$A$4:$A$23,0))</f>
        <v>2.0833333333333329E-3</v>
      </c>
      <c r="L458" s="14">
        <f t="shared" si="14"/>
        <v>0.40624999999999989</v>
      </c>
      <c r="M458" t="str">
        <f t="shared" si="15"/>
        <v>Yes</v>
      </c>
    </row>
    <row r="459" spans="1:13" x14ac:dyDescent="0.25">
      <c r="A459">
        <v>339182</v>
      </c>
      <c r="B459" t="s">
        <v>1564</v>
      </c>
      <c r="C459" t="s">
        <v>6221</v>
      </c>
      <c r="D459" t="s">
        <v>6220</v>
      </c>
      <c r="E459">
        <v>760</v>
      </c>
      <c r="F459" t="s">
        <v>1467</v>
      </c>
      <c r="G459" t="s">
        <v>1469</v>
      </c>
      <c r="H459" t="s">
        <v>6222</v>
      </c>
      <c r="I459" s="11">
        <v>46298</v>
      </c>
      <c r="J459" s="12">
        <v>46296</v>
      </c>
      <c r="K459" s="13">
        <f>INDEX(Assumptions!$B$4:$B$23,MATCH(F459,Assumptions!$A$4:$A$23,0))</f>
        <v>2.0833333333333329E-3</v>
      </c>
      <c r="L459" s="14">
        <f t="shared" si="14"/>
        <v>1.583333333333333</v>
      </c>
      <c r="M459" t="str">
        <f t="shared" si="15"/>
        <v>Yes</v>
      </c>
    </row>
    <row r="460" spans="1:13" x14ac:dyDescent="0.25">
      <c r="A460">
        <v>339181</v>
      </c>
      <c r="B460" t="s">
        <v>1567</v>
      </c>
      <c r="C460" t="s">
        <v>6221</v>
      </c>
      <c r="D460" t="s">
        <v>6220</v>
      </c>
      <c r="E460">
        <v>1909</v>
      </c>
      <c r="F460" t="s">
        <v>1467</v>
      </c>
      <c r="G460" t="s">
        <v>1469</v>
      </c>
      <c r="H460" t="s">
        <v>6222</v>
      </c>
      <c r="I460" s="11">
        <v>46298</v>
      </c>
      <c r="J460" s="12">
        <v>46296</v>
      </c>
      <c r="K460" s="13">
        <f>INDEX(Assumptions!$B$4:$B$23,MATCH(F460,Assumptions!$A$4:$A$23,0))</f>
        <v>2.0833333333333329E-3</v>
      </c>
      <c r="L460" s="14">
        <f t="shared" si="14"/>
        <v>3.9770833333333324</v>
      </c>
      <c r="M460" t="str">
        <f t="shared" si="15"/>
        <v>Yes</v>
      </c>
    </row>
    <row r="461" spans="1:13" x14ac:dyDescent="0.25">
      <c r="A461">
        <v>339180</v>
      </c>
      <c r="B461" t="s">
        <v>1570</v>
      </c>
      <c r="C461" t="s">
        <v>6221</v>
      </c>
      <c r="D461" t="s">
        <v>6220</v>
      </c>
      <c r="E461">
        <v>889</v>
      </c>
      <c r="F461" t="s">
        <v>1467</v>
      </c>
      <c r="G461" t="s">
        <v>1469</v>
      </c>
      <c r="H461" t="s">
        <v>6222</v>
      </c>
      <c r="I461" s="11">
        <v>46298</v>
      </c>
      <c r="J461" s="12">
        <v>46296</v>
      </c>
      <c r="K461" s="13">
        <f>INDEX(Assumptions!$B$4:$B$23,MATCH(F461,Assumptions!$A$4:$A$23,0))</f>
        <v>2.0833333333333329E-3</v>
      </c>
      <c r="L461" s="14">
        <f t="shared" si="14"/>
        <v>1.8520833333333329</v>
      </c>
      <c r="M461" t="str">
        <f t="shared" si="15"/>
        <v>Yes</v>
      </c>
    </row>
    <row r="462" spans="1:13" x14ac:dyDescent="0.25">
      <c r="A462">
        <v>339178</v>
      </c>
      <c r="C462" t="s">
        <v>6221</v>
      </c>
      <c r="D462" t="s">
        <v>1573</v>
      </c>
      <c r="E462">
        <v>178</v>
      </c>
      <c r="F462" t="s">
        <v>1467</v>
      </c>
      <c r="G462" t="s">
        <v>1469</v>
      </c>
      <c r="H462" t="s">
        <v>6222</v>
      </c>
      <c r="I462" s="11">
        <v>46298</v>
      </c>
      <c r="J462" s="12">
        <v>46296</v>
      </c>
      <c r="K462" s="13">
        <f>INDEX(Assumptions!$B$4:$B$23,MATCH(F462,Assumptions!$A$4:$A$23,0))</f>
        <v>2.0833333333333329E-3</v>
      </c>
      <c r="L462" s="14">
        <f t="shared" si="14"/>
        <v>0.37083333333333324</v>
      </c>
      <c r="M462" t="str">
        <f t="shared" si="15"/>
        <v>Yes</v>
      </c>
    </row>
    <row r="463" spans="1:13" x14ac:dyDescent="0.25">
      <c r="A463">
        <v>339177</v>
      </c>
      <c r="C463" t="s">
        <v>1576</v>
      </c>
      <c r="D463" t="s">
        <v>1577</v>
      </c>
      <c r="E463">
        <v>5030</v>
      </c>
      <c r="F463" t="s">
        <v>1467</v>
      </c>
      <c r="G463" t="s">
        <v>1469</v>
      </c>
      <c r="H463" t="s">
        <v>6222</v>
      </c>
      <c r="I463" s="11">
        <v>46298</v>
      </c>
      <c r="J463" s="12">
        <v>46296</v>
      </c>
      <c r="K463" s="13">
        <f>INDEX(Assumptions!$B$4:$B$23,MATCH(F463,Assumptions!$A$4:$A$23,0))</f>
        <v>2.0833333333333329E-3</v>
      </c>
      <c r="L463" s="14">
        <f t="shared" si="14"/>
        <v>10.479166666666664</v>
      </c>
      <c r="M463" t="str">
        <f t="shared" si="15"/>
        <v>No</v>
      </c>
    </row>
    <row r="464" spans="1:13" x14ac:dyDescent="0.25">
      <c r="A464">
        <v>339179</v>
      </c>
      <c r="C464" t="s">
        <v>6221</v>
      </c>
      <c r="D464" t="s">
        <v>1580</v>
      </c>
      <c r="E464">
        <v>110</v>
      </c>
      <c r="F464" t="s">
        <v>1467</v>
      </c>
      <c r="G464" t="s">
        <v>1469</v>
      </c>
      <c r="H464" t="s">
        <v>6222</v>
      </c>
      <c r="I464" s="11">
        <v>46298</v>
      </c>
      <c r="J464" s="12">
        <v>46296</v>
      </c>
      <c r="K464" s="13">
        <f>INDEX(Assumptions!$B$4:$B$23,MATCH(F464,Assumptions!$A$4:$A$23,0))</f>
        <v>2.0833333333333329E-3</v>
      </c>
      <c r="L464" s="14">
        <f t="shared" si="14"/>
        <v>0.22916666666666663</v>
      </c>
      <c r="M464" t="str">
        <f t="shared" si="15"/>
        <v>Yes</v>
      </c>
    </row>
    <row r="465" spans="1:13" x14ac:dyDescent="0.25">
      <c r="A465">
        <v>339176</v>
      </c>
      <c r="B465" t="s">
        <v>1583</v>
      </c>
      <c r="C465" t="s">
        <v>6221</v>
      </c>
      <c r="D465" t="s">
        <v>6220</v>
      </c>
      <c r="E465">
        <v>169</v>
      </c>
      <c r="F465" t="s">
        <v>1585</v>
      </c>
      <c r="G465" t="s">
        <v>1587</v>
      </c>
      <c r="H465" t="s">
        <v>1586</v>
      </c>
      <c r="I465" s="11">
        <v>46297</v>
      </c>
      <c r="J465" s="12">
        <v>46296</v>
      </c>
      <c r="K465" s="13">
        <f>INDEX(Assumptions!$B$4:$B$23,MATCH(F465,Assumptions!$A$4:$A$23,0))</f>
        <v>9.2592592592592587E-3</v>
      </c>
      <c r="L465" s="14">
        <f t="shared" si="14"/>
        <v>1.5648148148148147</v>
      </c>
      <c r="M465" t="str">
        <f t="shared" si="15"/>
        <v>Yes</v>
      </c>
    </row>
    <row r="466" spans="1:13" x14ac:dyDescent="0.25">
      <c r="A466">
        <v>339175</v>
      </c>
      <c r="B466" t="s">
        <v>1589</v>
      </c>
      <c r="C466" t="s">
        <v>6221</v>
      </c>
      <c r="D466" t="s">
        <v>6220</v>
      </c>
      <c r="E466">
        <v>35.9</v>
      </c>
      <c r="F466" t="s">
        <v>123</v>
      </c>
      <c r="G466" t="s">
        <v>125</v>
      </c>
      <c r="H466" t="s">
        <v>124</v>
      </c>
      <c r="I466" s="11">
        <v>46271</v>
      </c>
      <c r="J466" s="12">
        <v>46266</v>
      </c>
      <c r="K466" s="13">
        <f>INDEX(Assumptions!$B$4:$B$23,MATCH(F466,Assumptions!$A$4:$A$23,0))</f>
        <v>0.10526315789473679</v>
      </c>
      <c r="L466" s="14">
        <f t="shared" si="14"/>
        <v>3.7789473684210506</v>
      </c>
      <c r="M466" t="str">
        <f t="shared" si="15"/>
        <v>Yes</v>
      </c>
    </row>
    <row r="467" spans="1:13" x14ac:dyDescent="0.25">
      <c r="A467">
        <v>339174</v>
      </c>
      <c r="B467" t="s">
        <v>1592</v>
      </c>
      <c r="C467" t="s">
        <v>6221</v>
      </c>
      <c r="D467" t="s">
        <v>6220</v>
      </c>
      <c r="E467">
        <v>39.9</v>
      </c>
      <c r="F467" t="s">
        <v>123</v>
      </c>
      <c r="G467" t="s">
        <v>125</v>
      </c>
      <c r="H467" t="s">
        <v>124</v>
      </c>
      <c r="I467" s="11">
        <v>46271</v>
      </c>
      <c r="J467" s="12">
        <v>46266</v>
      </c>
      <c r="K467" s="13">
        <f>INDEX(Assumptions!$B$4:$B$23,MATCH(F467,Assumptions!$A$4:$A$23,0))</f>
        <v>0.10526315789473679</v>
      </c>
      <c r="L467" s="14">
        <f t="shared" si="14"/>
        <v>4.1999999999999975</v>
      </c>
      <c r="M467" t="str">
        <f t="shared" si="15"/>
        <v>Yes</v>
      </c>
    </row>
    <row r="468" spans="1:13" x14ac:dyDescent="0.25">
      <c r="A468">
        <v>339173</v>
      </c>
      <c r="B468" t="s">
        <v>1595</v>
      </c>
      <c r="C468" t="s">
        <v>6221</v>
      </c>
      <c r="D468" t="s">
        <v>6220</v>
      </c>
      <c r="E468">
        <v>19.899999999999999</v>
      </c>
      <c r="F468" t="s">
        <v>123</v>
      </c>
      <c r="G468" t="s">
        <v>125</v>
      </c>
      <c r="H468" t="s">
        <v>124</v>
      </c>
      <c r="I468" s="11">
        <v>46271</v>
      </c>
      <c r="J468" s="12">
        <v>46266</v>
      </c>
      <c r="K468" s="13">
        <f>INDEX(Assumptions!$B$4:$B$23,MATCH(F468,Assumptions!$A$4:$A$23,0))</f>
        <v>0.10526315789473679</v>
      </c>
      <c r="L468" s="14">
        <f t="shared" si="14"/>
        <v>2.0947368421052621</v>
      </c>
      <c r="M468" t="str">
        <f t="shared" si="15"/>
        <v>Yes</v>
      </c>
    </row>
    <row r="469" spans="1:13" x14ac:dyDescent="0.25">
      <c r="A469">
        <v>339172</v>
      </c>
      <c r="B469" t="s">
        <v>1598</v>
      </c>
      <c r="C469" t="s">
        <v>6221</v>
      </c>
      <c r="D469" t="s">
        <v>6220</v>
      </c>
      <c r="E469">
        <v>19.899999999999999</v>
      </c>
      <c r="F469" t="s">
        <v>123</v>
      </c>
      <c r="G469" t="s">
        <v>125</v>
      </c>
      <c r="H469" t="s">
        <v>124</v>
      </c>
      <c r="I469" s="11">
        <v>46271</v>
      </c>
      <c r="J469" s="12">
        <v>46266</v>
      </c>
      <c r="K469" s="13">
        <f>INDEX(Assumptions!$B$4:$B$23,MATCH(F469,Assumptions!$A$4:$A$23,0))</f>
        <v>0.10526315789473679</v>
      </c>
      <c r="L469" s="14">
        <f t="shared" si="14"/>
        <v>2.0947368421052621</v>
      </c>
      <c r="M469" t="str">
        <f t="shared" si="15"/>
        <v>Yes</v>
      </c>
    </row>
    <row r="470" spans="1:13" x14ac:dyDescent="0.25">
      <c r="A470">
        <v>339171</v>
      </c>
      <c r="B470" t="s">
        <v>1600</v>
      </c>
      <c r="C470" t="s">
        <v>6221</v>
      </c>
      <c r="D470" t="s">
        <v>6220</v>
      </c>
      <c r="E470">
        <v>14.9</v>
      </c>
      <c r="F470" t="s">
        <v>123</v>
      </c>
      <c r="G470" t="s">
        <v>125</v>
      </c>
      <c r="H470" t="s">
        <v>124</v>
      </c>
      <c r="I470" s="11">
        <v>46271</v>
      </c>
      <c r="J470" s="12">
        <v>46266</v>
      </c>
      <c r="K470" s="13">
        <f>INDEX(Assumptions!$B$4:$B$23,MATCH(F470,Assumptions!$A$4:$A$23,0))</f>
        <v>0.10526315789473679</v>
      </c>
      <c r="L470" s="14">
        <f t="shared" si="14"/>
        <v>1.5684210526315783</v>
      </c>
      <c r="M470" t="str">
        <f t="shared" si="15"/>
        <v>Yes</v>
      </c>
    </row>
    <row r="471" spans="1:13" x14ac:dyDescent="0.25">
      <c r="A471">
        <v>339170</v>
      </c>
      <c r="B471" t="s">
        <v>1603</v>
      </c>
      <c r="C471" t="s">
        <v>6221</v>
      </c>
      <c r="D471" t="s">
        <v>6220</v>
      </c>
      <c r="E471">
        <v>13.9</v>
      </c>
      <c r="F471" t="s">
        <v>123</v>
      </c>
      <c r="G471" t="s">
        <v>125</v>
      </c>
      <c r="H471" t="s">
        <v>124</v>
      </c>
      <c r="I471" s="11">
        <v>46271</v>
      </c>
      <c r="J471" s="12">
        <v>46266</v>
      </c>
      <c r="K471" s="13">
        <f>INDEX(Assumptions!$B$4:$B$23,MATCH(F471,Assumptions!$A$4:$A$23,0))</f>
        <v>0.10526315789473679</v>
      </c>
      <c r="L471" s="14">
        <f t="shared" si="14"/>
        <v>1.4631578947368415</v>
      </c>
      <c r="M471" t="str">
        <f t="shared" si="15"/>
        <v>Yes</v>
      </c>
    </row>
    <row r="472" spans="1:13" x14ac:dyDescent="0.25">
      <c r="A472">
        <v>339169</v>
      </c>
      <c r="B472" t="s">
        <v>1605</v>
      </c>
      <c r="C472" t="s">
        <v>6221</v>
      </c>
      <c r="D472" t="s">
        <v>6220</v>
      </c>
      <c r="E472">
        <v>14.9</v>
      </c>
      <c r="F472" t="s">
        <v>123</v>
      </c>
      <c r="G472" t="s">
        <v>125</v>
      </c>
      <c r="H472" t="s">
        <v>124</v>
      </c>
      <c r="I472" s="11">
        <v>46271</v>
      </c>
      <c r="J472" s="12">
        <v>46266</v>
      </c>
      <c r="K472" s="13">
        <f>INDEX(Assumptions!$B$4:$B$23,MATCH(F472,Assumptions!$A$4:$A$23,0))</f>
        <v>0.10526315789473679</v>
      </c>
      <c r="L472" s="14">
        <f t="shared" si="14"/>
        <v>1.5684210526315783</v>
      </c>
      <c r="M472" t="str">
        <f t="shared" si="15"/>
        <v>Yes</v>
      </c>
    </row>
    <row r="473" spans="1:13" x14ac:dyDescent="0.25">
      <c r="A473">
        <v>339168</v>
      </c>
      <c r="B473" t="s">
        <v>1607</v>
      </c>
      <c r="C473" t="s">
        <v>6221</v>
      </c>
      <c r="D473" t="s">
        <v>6220</v>
      </c>
      <c r="E473">
        <v>17.5</v>
      </c>
      <c r="F473" t="s">
        <v>123</v>
      </c>
      <c r="G473" t="s">
        <v>125</v>
      </c>
      <c r="H473" t="s">
        <v>124</v>
      </c>
      <c r="I473" s="11">
        <v>46271</v>
      </c>
      <c r="J473" s="12">
        <v>46266</v>
      </c>
      <c r="K473" s="13">
        <f>INDEX(Assumptions!$B$4:$B$23,MATCH(F473,Assumptions!$A$4:$A$23,0))</f>
        <v>0.10526315789473679</v>
      </c>
      <c r="L473" s="14">
        <f t="shared" si="14"/>
        <v>1.8421052631578938</v>
      </c>
      <c r="M473" t="str">
        <f t="shared" si="15"/>
        <v>Yes</v>
      </c>
    </row>
    <row r="474" spans="1:13" x14ac:dyDescent="0.25">
      <c r="A474">
        <v>339167</v>
      </c>
      <c r="B474" t="s">
        <v>1610</v>
      </c>
      <c r="C474" t="s">
        <v>6221</v>
      </c>
      <c r="D474" t="s">
        <v>6220</v>
      </c>
      <c r="E474">
        <v>14.66</v>
      </c>
      <c r="F474" t="s">
        <v>123</v>
      </c>
      <c r="G474" t="s">
        <v>125</v>
      </c>
      <c r="H474" t="s">
        <v>124</v>
      </c>
      <c r="I474" s="11">
        <v>46271</v>
      </c>
      <c r="J474" s="12">
        <v>46266</v>
      </c>
      <c r="K474" s="13">
        <f>INDEX(Assumptions!$B$4:$B$23,MATCH(F474,Assumptions!$A$4:$A$23,0))</f>
        <v>0.10526315789473679</v>
      </c>
      <c r="L474" s="14">
        <f t="shared" si="14"/>
        <v>1.5431578947368414</v>
      </c>
      <c r="M474" t="str">
        <f t="shared" si="15"/>
        <v>Yes</v>
      </c>
    </row>
    <row r="475" spans="1:13" x14ac:dyDescent="0.25">
      <c r="A475">
        <v>339166</v>
      </c>
      <c r="B475" t="s">
        <v>1612</v>
      </c>
      <c r="C475" t="s">
        <v>6221</v>
      </c>
      <c r="D475" t="s">
        <v>6220</v>
      </c>
      <c r="E475">
        <v>17.88</v>
      </c>
      <c r="F475" t="s">
        <v>123</v>
      </c>
      <c r="G475" t="s">
        <v>125</v>
      </c>
      <c r="H475" t="s">
        <v>124</v>
      </c>
      <c r="I475" s="11">
        <v>46271</v>
      </c>
      <c r="J475" s="12">
        <v>46266</v>
      </c>
      <c r="K475" s="13">
        <f>INDEX(Assumptions!$B$4:$B$23,MATCH(F475,Assumptions!$A$4:$A$23,0))</f>
        <v>0.10526315789473679</v>
      </c>
      <c r="L475" s="14">
        <f t="shared" si="14"/>
        <v>1.8821052631578938</v>
      </c>
      <c r="M475" t="str">
        <f t="shared" si="15"/>
        <v>Yes</v>
      </c>
    </row>
    <row r="476" spans="1:13" x14ac:dyDescent="0.25">
      <c r="A476">
        <v>339165</v>
      </c>
      <c r="B476" t="s">
        <v>1614</v>
      </c>
      <c r="C476" t="s">
        <v>6221</v>
      </c>
      <c r="D476" t="s">
        <v>6220</v>
      </c>
      <c r="E476">
        <v>17.88</v>
      </c>
      <c r="F476" t="s">
        <v>123</v>
      </c>
      <c r="G476" t="s">
        <v>125</v>
      </c>
      <c r="H476" t="s">
        <v>124</v>
      </c>
      <c r="I476" s="11">
        <v>46271</v>
      </c>
      <c r="J476" s="12">
        <v>46266</v>
      </c>
      <c r="K476" s="13">
        <f>INDEX(Assumptions!$B$4:$B$23,MATCH(F476,Assumptions!$A$4:$A$23,0))</f>
        <v>0.10526315789473679</v>
      </c>
      <c r="L476" s="14">
        <f t="shared" si="14"/>
        <v>1.8821052631578938</v>
      </c>
      <c r="M476" t="str">
        <f t="shared" si="15"/>
        <v>Yes</v>
      </c>
    </row>
    <row r="477" spans="1:13" x14ac:dyDescent="0.25">
      <c r="A477">
        <v>339164</v>
      </c>
      <c r="B477" t="s">
        <v>1616</v>
      </c>
      <c r="C477" t="s">
        <v>6221</v>
      </c>
      <c r="D477" t="s">
        <v>6220</v>
      </c>
      <c r="E477">
        <v>21.67</v>
      </c>
      <c r="F477" t="s">
        <v>123</v>
      </c>
      <c r="G477" t="s">
        <v>125</v>
      </c>
      <c r="H477" t="s">
        <v>124</v>
      </c>
      <c r="I477" s="11">
        <v>46271</v>
      </c>
      <c r="J477" s="12">
        <v>46266</v>
      </c>
      <c r="K477" s="13">
        <f>INDEX(Assumptions!$B$4:$B$23,MATCH(F477,Assumptions!$A$4:$A$23,0))</f>
        <v>0.10526315789473679</v>
      </c>
      <c r="L477" s="14">
        <f t="shared" si="14"/>
        <v>2.2810526315789463</v>
      </c>
      <c r="M477" t="str">
        <f t="shared" si="15"/>
        <v>Yes</v>
      </c>
    </row>
    <row r="478" spans="1:13" x14ac:dyDescent="0.25">
      <c r="A478">
        <v>339163</v>
      </c>
      <c r="B478" t="s">
        <v>1605</v>
      </c>
      <c r="C478" t="s">
        <v>6221</v>
      </c>
      <c r="D478" t="s">
        <v>6220</v>
      </c>
      <c r="E478">
        <v>14.9</v>
      </c>
      <c r="F478" t="s">
        <v>123</v>
      </c>
      <c r="G478" t="s">
        <v>125</v>
      </c>
      <c r="H478" t="s">
        <v>124</v>
      </c>
      <c r="I478" s="11">
        <v>46271</v>
      </c>
      <c r="J478" s="12">
        <v>46266</v>
      </c>
      <c r="K478" s="13">
        <f>INDEX(Assumptions!$B$4:$B$23,MATCH(F478,Assumptions!$A$4:$A$23,0))</f>
        <v>0.10526315789473679</v>
      </c>
      <c r="L478" s="14">
        <f t="shared" si="14"/>
        <v>1.5684210526315783</v>
      </c>
      <c r="M478" t="str">
        <f t="shared" si="15"/>
        <v>Yes</v>
      </c>
    </row>
    <row r="479" spans="1:13" x14ac:dyDescent="0.25">
      <c r="A479">
        <v>339162</v>
      </c>
      <c r="B479" t="s">
        <v>1620</v>
      </c>
      <c r="C479" t="s">
        <v>6221</v>
      </c>
      <c r="D479" t="s">
        <v>6220</v>
      </c>
      <c r="E479">
        <v>15.99</v>
      </c>
      <c r="F479" t="s">
        <v>123</v>
      </c>
      <c r="G479" t="s">
        <v>125</v>
      </c>
      <c r="H479" t="s">
        <v>124</v>
      </c>
      <c r="I479" s="11">
        <v>46271</v>
      </c>
      <c r="J479" s="12">
        <v>46266</v>
      </c>
      <c r="K479" s="13">
        <f>INDEX(Assumptions!$B$4:$B$23,MATCH(F479,Assumptions!$A$4:$A$23,0))</f>
        <v>0.10526315789473679</v>
      </c>
      <c r="L479" s="14">
        <f t="shared" si="14"/>
        <v>1.6831578947368413</v>
      </c>
      <c r="M479" t="str">
        <f t="shared" si="15"/>
        <v>Yes</v>
      </c>
    </row>
    <row r="480" spans="1:13" x14ac:dyDescent="0.25">
      <c r="A480">
        <v>339161</v>
      </c>
      <c r="B480" t="s">
        <v>1622</v>
      </c>
      <c r="C480" t="s">
        <v>6221</v>
      </c>
      <c r="D480" t="s">
        <v>6220</v>
      </c>
      <c r="E480">
        <v>14.66</v>
      </c>
      <c r="F480" t="s">
        <v>123</v>
      </c>
      <c r="G480" t="s">
        <v>125</v>
      </c>
      <c r="H480" t="s">
        <v>124</v>
      </c>
      <c r="I480" s="11">
        <v>46271</v>
      </c>
      <c r="J480" s="12">
        <v>46266</v>
      </c>
      <c r="K480" s="13">
        <f>INDEX(Assumptions!$B$4:$B$23,MATCH(F480,Assumptions!$A$4:$A$23,0))</f>
        <v>0.10526315789473679</v>
      </c>
      <c r="L480" s="14">
        <f t="shared" si="14"/>
        <v>1.5431578947368414</v>
      </c>
      <c r="M480" t="str">
        <f t="shared" si="15"/>
        <v>Yes</v>
      </c>
    </row>
    <row r="481" spans="1:13" x14ac:dyDescent="0.25">
      <c r="A481">
        <v>339160</v>
      </c>
      <c r="B481" t="s">
        <v>1624</v>
      </c>
      <c r="C481" t="s">
        <v>6221</v>
      </c>
      <c r="D481" t="s">
        <v>6220</v>
      </c>
      <c r="E481">
        <v>23.18</v>
      </c>
      <c r="F481" t="s">
        <v>123</v>
      </c>
      <c r="G481" t="s">
        <v>125</v>
      </c>
      <c r="H481" t="s">
        <v>124</v>
      </c>
      <c r="I481" s="11">
        <v>46271</v>
      </c>
      <c r="J481" s="12">
        <v>46266</v>
      </c>
      <c r="K481" s="13">
        <f>INDEX(Assumptions!$B$4:$B$23,MATCH(F481,Assumptions!$A$4:$A$23,0))</f>
        <v>0.10526315789473679</v>
      </c>
      <c r="L481" s="14">
        <f t="shared" si="14"/>
        <v>2.4399999999999991</v>
      </c>
      <c r="M481" t="str">
        <f t="shared" si="15"/>
        <v>Yes</v>
      </c>
    </row>
    <row r="482" spans="1:13" x14ac:dyDescent="0.25">
      <c r="A482">
        <v>339159</v>
      </c>
      <c r="B482" t="s">
        <v>1627</v>
      </c>
      <c r="C482" t="s">
        <v>6221</v>
      </c>
      <c r="D482" t="s">
        <v>6220</v>
      </c>
      <c r="E482">
        <v>23.18</v>
      </c>
      <c r="F482" t="s">
        <v>123</v>
      </c>
      <c r="G482" t="s">
        <v>125</v>
      </c>
      <c r="H482" t="s">
        <v>124</v>
      </c>
      <c r="I482" s="11">
        <v>46271</v>
      </c>
      <c r="J482" s="12">
        <v>46266</v>
      </c>
      <c r="K482" s="13">
        <f>INDEX(Assumptions!$B$4:$B$23,MATCH(F482,Assumptions!$A$4:$A$23,0))</f>
        <v>0.10526315789473679</v>
      </c>
      <c r="L482" s="14">
        <f t="shared" si="14"/>
        <v>2.4399999999999991</v>
      </c>
      <c r="M482" t="str">
        <f t="shared" si="15"/>
        <v>Yes</v>
      </c>
    </row>
    <row r="483" spans="1:13" x14ac:dyDescent="0.25">
      <c r="A483">
        <v>339158</v>
      </c>
      <c r="B483" t="s">
        <v>1629</v>
      </c>
      <c r="C483" t="s">
        <v>6221</v>
      </c>
      <c r="D483" t="s">
        <v>6220</v>
      </c>
      <c r="E483">
        <v>23.56</v>
      </c>
      <c r="F483" t="s">
        <v>123</v>
      </c>
      <c r="G483" t="s">
        <v>125</v>
      </c>
      <c r="H483" t="s">
        <v>124</v>
      </c>
      <c r="I483" s="11">
        <v>46271</v>
      </c>
      <c r="J483" s="12">
        <v>46266</v>
      </c>
      <c r="K483" s="13">
        <f>INDEX(Assumptions!$B$4:$B$23,MATCH(F483,Assumptions!$A$4:$A$23,0))</f>
        <v>0.10526315789473679</v>
      </c>
      <c r="L483" s="14">
        <f t="shared" si="14"/>
        <v>2.4799999999999986</v>
      </c>
      <c r="M483" t="str">
        <f t="shared" si="15"/>
        <v>Yes</v>
      </c>
    </row>
    <row r="484" spans="1:13" x14ac:dyDescent="0.25">
      <c r="A484">
        <v>339157</v>
      </c>
      <c r="B484" t="s">
        <v>1631</v>
      </c>
      <c r="C484" t="s">
        <v>6221</v>
      </c>
      <c r="D484" t="s">
        <v>6220</v>
      </c>
      <c r="E484">
        <v>17.899999999999999</v>
      </c>
      <c r="F484" t="s">
        <v>123</v>
      </c>
      <c r="G484" t="s">
        <v>125</v>
      </c>
      <c r="H484" t="s">
        <v>124</v>
      </c>
      <c r="I484" s="11">
        <v>46271</v>
      </c>
      <c r="J484" s="12">
        <v>46266</v>
      </c>
      <c r="K484" s="13">
        <f>INDEX(Assumptions!$B$4:$B$23,MATCH(F484,Assumptions!$A$4:$A$23,0))</f>
        <v>0.10526315789473679</v>
      </c>
      <c r="L484" s="14">
        <f t="shared" si="14"/>
        <v>1.8842105263157884</v>
      </c>
      <c r="M484" t="str">
        <f t="shared" si="15"/>
        <v>Yes</v>
      </c>
    </row>
    <row r="485" spans="1:13" x14ac:dyDescent="0.25">
      <c r="A485">
        <v>339156</v>
      </c>
      <c r="B485" t="s">
        <v>1607</v>
      </c>
      <c r="C485" t="s">
        <v>6221</v>
      </c>
      <c r="D485" t="s">
        <v>6220</v>
      </c>
      <c r="E485">
        <v>17.5</v>
      </c>
      <c r="F485" t="s">
        <v>123</v>
      </c>
      <c r="G485" t="s">
        <v>125</v>
      </c>
      <c r="H485" t="s">
        <v>124</v>
      </c>
      <c r="I485" s="11">
        <v>46271</v>
      </c>
      <c r="J485" s="12">
        <v>46266</v>
      </c>
      <c r="K485" s="13">
        <f>INDEX(Assumptions!$B$4:$B$23,MATCH(F485,Assumptions!$A$4:$A$23,0))</f>
        <v>0.10526315789473679</v>
      </c>
      <c r="L485" s="14">
        <f t="shared" si="14"/>
        <v>1.8421052631578938</v>
      </c>
      <c r="M485" t="str">
        <f t="shared" si="15"/>
        <v>Yes</v>
      </c>
    </row>
    <row r="486" spans="1:13" x14ac:dyDescent="0.25">
      <c r="A486">
        <v>339155</v>
      </c>
      <c r="B486" t="s">
        <v>1635</v>
      </c>
      <c r="C486" t="s">
        <v>6221</v>
      </c>
      <c r="D486" t="s">
        <v>6220</v>
      </c>
      <c r="E486">
        <v>14</v>
      </c>
      <c r="F486" t="s">
        <v>123</v>
      </c>
      <c r="G486" t="s">
        <v>125</v>
      </c>
      <c r="H486" t="s">
        <v>124</v>
      </c>
      <c r="I486" s="11">
        <v>46271</v>
      </c>
      <c r="J486" s="12">
        <v>46266</v>
      </c>
      <c r="K486" s="13">
        <f>INDEX(Assumptions!$B$4:$B$23,MATCH(F486,Assumptions!$A$4:$A$23,0))</f>
        <v>0.10526315789473679</v>
      </c>
      <c r="L486" s="14">
        <f t="shared" si="14"/>
        <v>1.473684210526315</v>
      </c>
      <c r="M486" t="str">
        <f t="shared" si="15"/>
        <v>Yes</v>
      </c>
    </row>
    <row r="487" spans="1:13" x14ac:dyDescent="0.25">
      <c r="A487">
        <v>339154</v>
      </c>
      <c r="B487" t="s">
        <v>1638</v>
      </c>
      <c r="C487" t="s">
        <v>6221</v>
      </c>
      <c r="D487" t="s">
        <v>6220</v>
      </c>
      <c r="E487">
        <v>19.899999999999999</v>
      </c>
      <c r="F487" t="s">
        <v>123</v>
      </c>
      <c r="G487" t="s">
        <v>125</v>
      </c>
      <c r="H487" t="s">
        <v>124</v>
      </c>
      <c r="I487" s="11">
        <v>46271</v>
      </c>
      <c r="J487" s="12">
        <v>46266</v>
      </c>
      <c r="K487" s="13">
        <f>INDEX(Assumptions!$B$4:$B$23,MATCH(F487,Assumptions!$A$4:$A$23,0))</f>
        <v>0.10526315789473679</v>
      </c>
      <c r="L487" s="14">
        <f t="shared" si="14"/>
        <v>2.0947368421052621</v>
      </c>
      <c r="M487" t="str">
        <f t="shared" si="15"/>
        <v>Yes</v>
      </c>
    </row>
    <row r="488" spans="1:13" x14ac:dyDescent="0.25">
      <c r="A488">
        <v>339153</v>
      </c>
      <c r="B488" t="s">
        <v>1640</v>
      </c>
      <c r="C488" t="s">
        <v>6221</v>
      </c>
      <c r="D488" t="s">
        <v>6220</v>
      </c>
      <c r="E488">
        <v>17.899999999999999</v>
      </c>
      <c r="F488" t="s">
        <v>123</v>
      </c>
      <c r="G488" t="s">
        <v>125</v>
      </c>
      <c r="H488" t="s">
        <v>124</v>
      </c>
      <c r="I488" s="11">
        <v>46271</v>
      </c>
      <c r="J488" s="12">
        <v>46266</v>
      </c>
      <c r="K488" s="13">
        <f>INDEX(Assumptions!$B$4:$B$23,MATCH(F488,Assumptions!$A$4:$A$23,0))</f>
        <v>0.10526315789473679</v>
      </c>
      <c r="L488" s="14">
        <f t="shared" si="14"/>
        <v>1.8842105263157884</v>
      </c>
      <c r="M488" t="str">
        <f t="shared" si="15"/>
        <v>Yes</v>
      </c>
    </row>
    <row r="489" spans="1:13" x14ac:dyDescent="0.25">
      <c r="A489">
        <v>339152</v>
      </c>
      <c r="B489" t="s">
        <v>1642</v>
      </c>
      <c r="C489" t="s">
        <v>6221</v>
      </c>
      <c r="D489" t="s">
        <v>6220</v>
      </c>
      <c r="E489">
        <v>17.899999999999999</v>
      </c>
      <c r="F489" t="s">
        <v>123</v>
      </c>
      <c r="G489" t="s">
        <v>125</v>
      </c>
      <c r="H489" t="s">
        <v>124</v>
      </c>
      <c r="I489" s="11">
        <v>46271</v>
      </c>
      <c r="J489" s="12">
        <v>46266</v>
      </c>
      <c r="K489" s="13">
        <f>INDEX(Assumptions!$B$4:$B$23,MATCH(F489,Assumptions!$A$4:$A$23,0))</f>
        <v>0.10526315789473679</v>
      </c>
      <c r="L489" s="14">
        <f t="shared" si="14"/>
        <v>1.8842105263157884</v>
      </c>
      <c r="M489" t="str">
        <f t="shared" si="15"/>
        <v>Yes</v>
      </c>
    </row>
    <row r="490" spans="1:13" x14ac:dyDescent="0.25">
      <c r="A490">
        <v>339151</v>
      </c>
      <c r="B490" t="s">
        <v>1644</v>
      </c>
      <c r="C490" t="s">
        <v>6221</v>
      </c>
      <c r="D490" t="s">
        <v>6220</v>
      </c>
      <c r="E490">
        <v>17.899999999999999</v>
      </c>
      <c r="F490" t="s">
        <v>123</v>
      </c>
      <c r="G490" t="s">
        <v>125</v>
      </c>
      <c r="H490" t="s">
        <v>124</v>
      </c>
      <c r="I490" s="11">
        <v>46271</v>
      </c>
      <c r="J490" s="12">
        <v>46266</v>
      </c>
      <c r="K490" s="13">
        <f>INDEX(Assumptions!$B$4:$B$23,MATCH(F490,Assumptions!$A$4:$A$23,0))</f>
        <v>0.10526315789473679</v>
      </c>
      <c r="L490" s="14">
        <f t="shared" si="14"/>
        <v>1.8842105263157884</v>
      </c>
      <c r="M490" t="str">
        <f t="shared" si="15"/>
        <v>Yes</v>
      </c>
    </row>
    <row r="491" spans="1:13" x14ac:dyDescent="0.25">
      <c r="A491">
        <v>339150</v>
      </c>
      <c r="B491" t="s">
        <v>1646</v>
      </c>
      <c r="C491" t="s">
        <v>6221</v>
      </c>
      <c r="D491" t="s">
        <v>6220</v>
      </c>
      <c r="E491">
        <v>29.01</v>
      </c>
      <c r="F491" t="s">
        <v>50</v>
      </c>
      <c r="G491" t="s">
        <v>1649</v>
      </c>
      <c r="H491" t="s">
        <v>1648</v>
      </c>
      <c r="I491" s="11">
        <v>46298</v>
      </c>
      <c r="J491" s="12">
        <v>46296</v>
      </c>
      <c r="K491" s="13">
        <f>INDEX(Assumptions!$B$4:$B$23,MATCH(F491,Assumptions!$A$4:$A$23,0))</f>
        <v>1.0869565217391299</v>
      </c>
      <c r="L491" s="14">
        <f t="shared" si="14"/>
        <v>31.532608695652161</v>
      </c>
      <c r="M491" t="str">
        <f t="shared" si="15"/>
        <v>Yes</v>
      </c>
    </row>
    <row r="492" spans="1:13" x14ac:dyDescent="0.25">
      <c r="A492">
        <v>339149</v>
      </c>
      <c r="B492" t="s">
        <v>1651</v>
      </c>
      <c r="C492" t="s">
        <v>6221</v>
      </c>
      <c r="D492" t="s">
        <v>6220</v>
      </c>
      <c r="E492">
        <v>1.59</v>
      </c>
      <c r="F492" t="s">
        <v>50</v>
      </c>
      <c r="G492" t="s">
        <v>945</v>
      </c>
      <c r="H492" t="s">
        <v>1652</v>
      </c>
      <c r="I492" s="11">
        <v>46297</v>
      </c>
      <c r="J492" s="12">
        <v>46296</v>
      </c>
      <c r="K492" s="13">
        <f>INDEX(Assumptions!$B$4:$B$23,MATCH(F492,Assumptions!$A$4:$A$23,0))</f>
        <v>1.0869565217391299</v>
      </c>
      <c r="L492" s="14">
        <f t="shared" si="14"/>
        <v>1.7282608695652166</v>
      </c>
      <c r="M492" t="str">
        <f t="shared" si="15"/>
        <v>Yes</v>
      </c>
    </row>
    <row r="493" spans="1:13" x14ac:dyDescent="0.25">
      <c r="A493">
        <v>339148</v>
      </c>
      <c r="B493" t="s">
        <v>1654</v>
      </c>
      <c r="C493" t="s">
        <v>6221</v>
      </c>
      <c r="D493" t="s">
        <v>6220</v>
      </c>
      <c r="E493">
        <v>2.4500000000000002</v>
      </c>
      <c r="F493" t="s">
        <v>50</v>
      </c>
      <c r="G493" t="s">
        <v>1656</v>
      </c>
      <c r="H493" t="s">
        <v>1655</v>
      </c>
      <c r="I493" s="11">
        <v>46294</v>
      </c>
      <c r="J493" s="12">
        <v>46266</v>
      </c>
      <c r="K493" s="13">
        <f>INDEX(Assumptions!$B$4:$B$23,MATCH(F493,Assumptions!$A$4:$A$23,0))</f>
        <v>1.0869565217391299</v>
      </c>
      <c r="L493" s="14">
        <f t="shared" si="14"/>
        <v>2.6630434782608687</v>
      </c>
      <c r="M493" t="str">
        <f t="shared" si="15"/>
        <v>Yes</v>
      </c>
    </row>
    <row r="494" spans="1:13" x14ac:dyDescent="0.25">
      <c r="A494">
        <v>339147</v>
      </c>
      <c r="B494" t="s">
        <v>1658</v>
      </c>
      <c r="C494" t="s">
        <v>6221</v>
      </c>
      <c r="D494" t="s">
        <v>6220</v>
      </c>
      <c r="E494">
        <v>1.65</v>
      </c>
      <c r="F494" t="s">
        <v>50</v>
      </c>
      <c r="G494" t="s">
        <v>1660</v>
      </c>
      <c r="H494" t="s">
        <v>1659</v>
      </c>
      <c r="I494" s="11">
        <v>46298</v>
      </c>
      <c r="J494" s="12">
        <v>46296</v>
      </c>
      <c r="K494" s="13">
        <f>INDEX(Assumptions!$B$4:$B$23,MATCH(F494,Assumptions!$A$4:$A$23,0))</f>
        <v>1.0869565217391299</v>
      </c>
      <c r="L494" s="14">
        <f t="shared" si="14"/>
        <v>1.7934782608695643</v>
      </c>
      <c r="M494" t="str">
        <f t="shared" si="15"/>
        <v>Yes</v>
      </c>
    </row>
    <row r="495" spans="1:13" x14ac:dyDescent="0.25">
      <c r="A495">
        <v>339146</v>
      </c>
      <c r="B495" t="s">
        <v>1662</v>
      </c>
      <c r="C495" t="s">
        <v>6221</v>
      </c>
      <c r="D495" t="s">
        <v>6220</v>
      </c>
      <c r="E495">
        <v>15.99</v>
      </c>
      <c r="F495" t="s">
        <v>1663</v>
      </c>
      <c r="G495" t="s">
        <v>1665</v>
      </c>
      <c r="H495" t="s">
        <v>1664</v>
      </c>
      <c r="I495" s="11">
        <v>46297</v>
      </c>
      <c r="J495" s="12">
        <v>46296</v>
      </c>
      <c r="K495" s="13">
        <f>INDEX(Assumptions!$B$4:$B$23,MATCH(F495,Assumptions!$A$4:$A$23,0))</f>
        <v>0.26315789473684209</v>
      </c>
      <c r="L495" s="14">
        <f t="shared" si="14"/>
        <v>4.2078947368421051</v>
      </c>
      <c r="M495" t="str">
        <f t="shared" si="15"/>
        <v>Yes</v>
      </c>
    </row>
    <row r="496" spans="1:13" x14ac:dyDescent="0.25">
      <c r="A496">
        <v>339145</v>
      </c>
      <c r="B496" t="s">
        <v>1667</v>
      </c>
      <c r="C496" t="s">
        <v>6221</v>
      </c>
      <c r="D496" t="s">
        <v>6220</v>
      </c>
      <c r="E496">
        <v>3.29</v>
      </c>
      <c r="F496" t="s">
        <v>1663</v>
      </c>
      <c r="G496" t="s">
        <v>1665</v>
      </c>
      <c r="H496" t="s">
        <v>1664</v>
      </c>
      <c r="I496" s="11">
        <v>46297</v>
      </c>
      <c r="J496" s="12">
        <v>46296</v>
      </c>
      <c r="K496" s="13">
        <f>INDEX(Assumptions!$B$4:$B$23,MATCH(F496,Assumptions!$A$4:$A$23,0))</f>
        <v>0.26315789473684209</v>
      </c>
      <c r="L496" s="14">
        <f t="shared" si="14"/>
        <v>0.86578947368421044</v>
      </c>
      <c r="M496" t="str">
        <f t="shared" si="15"/>
        <v>Yes</v>
      </c>
    </row>
    <row r="497" spans="1:13" x14ac:dyDescent="0.25">
      <c r="A497">
        <v>339144</v>
      </c>
      <c r="B497" t="s">
        <v>1669</v>
      </c>
      <c r="C497" t="s">
        <v>6221</v>
      </c>
      <c r="D497" t="s">
        <v>6220</v>
      </c>
      <c r="E497">
        <v>9.99</v>
      </c>
      <c r="F497" t="s">
        <v>1663</v>
      </c>
      <c r="G497" t="s">
        <v>1665</v>
      </c>
      <c r="H497" t="s">
        <v>1664</v>
      </c>
      <c r="I497" s="11">
        <v>46297</v>
      </c>
      <c r="J497" s="12">
        <v>46296</v>
      </c>
      <c r="K497" s="13">
        <f>INDEX(Assumptions!$B$4:$B$23,MATCH(F497,Assumptions!$A$4:$A$23,0))</f>
        <v>0.26315789473684209</v>
      </c>
      <c r="L497" s="14">
        <f t="shared" si="14"/>
        <v>2.6289473684210525</v>
      </c>
      <c r="M497" t="str">
        <f t="shared" si="15"/>
        <v>Yes</v>
      </c>
    </row>
    <row r="498" spans="1:13" x14ac:dyDescent="0.25">
      <c r="A498">
        <v>339143</v>
      </c>
      <c r="B498" t="s">
        <v>1672</v>
      </c>
      <c r="C498" t="s">
        <v>6221</v>
      </c>
      <c r="D498" t="s">
        <v>6220</v>
      </c>
      <c r="E498">
        <v>5.79</v>
      </c>
      <c r="F498" t="s">
        <v>1663</v>
      </c>
      <c r="G498" t="s">
        <v>1665</v>
      </c>
      <c r="H498" t="s">
        <v>1664</v>
      </c>
      <c r="I498" s="11">
        <v>46297</v>
      </c>
      <c r="J498" s="12">
        <v>46296</v>
      </c>
      <c r="K498" s="13">
        <f>INDEX(Assumptions!$B$4:$B$23,MATCH(F498,Assumptions!$A$4:$A$23,0))</f>
        <v>0.26315789473684209</v>
      </c>
      <c r="L498" s="14">
        <f t="shared" si="14"/>
        <v>1.5236842105263158</v>
      </c>
      <c r="M498" t="str">
        <f t="shared" si="15"/>
        <v>Yes</v>
      </c>
    </row>
    <row r="499" spans="1:13" x14ac:dyDescent="0.25">
      <c r="A499">
        <v>339142</v>
      </c>
      <c r="B499" t="s">
        <v>1675</v>
      </c>
      <c r="C499" t="s">
        <v>6221</v>
      </c>
      <c r="D499" t="s">
        <v>6220</v>
      </c>
      <c r="E499">
        <v>15</v>
      </c>
      <c r="F499" t="s">
        <v>1663</v>
      </c>
      <c r="G499" t="s">
        <v>1677</v>
      </c>
      <c r="H499" t="s">
        <v>1664</v>
      </c>
      <c r="I499" s="11">
        <v>46297</v>
      </c>
      <c r="J499" s="12">
        <v>46296</v>
      </c>
      <c r="K499" s="13">
        <f>INDEX(Assumptions!$B$4:$B$23,MATCH(F499,Assumptions!$A$4:$A$23,0))</f>
        <v>0.26315789473684209</v>
      </c>
      <c r="L499" s="14">
        <f t="shared" si="14"/>
        <v>3.9473684210526314</v>
      </c>
      <c r="M499" t="str">
        <f t="shared" si="15"/>
        <v>Yes</v>
      </c>
    </row>
    <row r="500" spans="1:13" x14ac:dyDescent="0.25">
      <c r="A500">
        <v>339140</v>
      </c>
      <c r="B500" t="s">
        <v>1679</v>
      </c>
      <c r="C500" t="s">
        <v>6221</v>
      </c>
      <c r="D500" t="s">
        <v>6220</v>
      </c>
      <c r="E500">
        <v>34.9</v>
      </c>
      <c r="F500" t="s">
        <v>1681</v>
      </c>
      <c r="G500" t="s">
        <v>1683</v>
      </c>
      <c r="H500" t="s">
        <v>1682</v>
      </c>
      <c r="I500" s="11">
        <v>46296</v>
      </c>
      <c r="J500" s="12">
        <v>46296</v>
      </c>
      <c r="K500" s="13">
        <f>INDEX(Assumptions!$B$4:$B$23,MATCH(F500,Assumptions!$A$4:$A$23,0))</f>
        <v>0.10101010101010099</v>
      </c>
      <c r="L500" s="14">
        <f t="shared" si="14"/>
        <v>3.5252525252525246</v>
      </c>
      <c r="M500" t="str">
        <f t="shared" si="15"/>
        <v>Yes</v>
      </c>
    </row>
    <row r="501" spans="1:13" x14ac:dyDescent="0.25">
      <c r="A501">
        <v>339141</v>
      </c>
      <c r="B501" t="s">
        <v>1686</v>
      </c>
      <c r="C501" t="s">
        <v>1687</v>
      </c>
      <c r="D501" t="s">
        <v>6220</v>
      </c>
      <c r="E501">
        <v>20</v>
      </c>
      <c r="F501" t="s">
        <v>1681</v>
      </c>
      <c r="G501" t="s">
        <v>1683</v>
      </c>
      <c r="H501" t="s">
        <v>1682</v>
      </c>
      <c r="I501" s="11">
        <v>46296</v>
      </c>
      <c r="J501" s="12">
        <v>46296</v>
      </c>
      <c r="K501" s="13">
        <f>INDEX(Assumptions!$B$4:$B$23,MATCH(F501,Assumptions!$A$4:$A$23,0))</f>
        <v>0.10101010101010099</v>
      </c>
      <c r="L501" s="14">
        <f t="shared" si="14"/>
        <v>2.0202020202020199</v>
      </c>
      <c r="M501" t="str">
        <f t="shared" si="15"/>
        <v>No</v>
      </c>
    </row>
    <row r="502" spans="1:13" x14ac:dyDescent="0.25">
      <c r="A502">
        <v>339139</v>
      </c>
      <c r="B502" t="s">
        <v>1689</v>
      </c>
      <c r="C502" t="s">
        <v>1690</v>
      </c>
      <c r="D502" t="s">
        <v>6220</v>
      </c>
      <c r="E502">
        <v>39.9</v>
      </c>
      <c r="F502" t="s">
        <v>1681</v>
      </c>
      <c r="G502" t="s">
        <v>1691</v>
      </c>
      <c r="H502" t="s">
        <v>1682</v>
      </c>
      <c r="I502" s="11">
        <v>46297</v>
      </c>
      <c r="J502" s="12">
        <v>46296</v>
      </c>
      <c r="K502" s="13">
        <f>INDEX(Assumptions!$B$4:$B$23,MATCH(F502,Assumptions!$A$4:$A$23,0))</f>
        <v>0.10101010101010099</v>
      </c>
      <c r="L502" s="14">
        <f t="shared" si="14"/>
        <v>4.0303030303030294</v>
      </c>
      <c r="M502" t="str">
        <f t="shared" si="15"/>
        <v>No</v>
      </c>
    </row>
    <row r="503" spans="1:13" x14ac:dyDescent="0.25">
      <c r="A503">
        <v>339138</v>
      </c>
      <c r="B503" t="s">
        <v>1693</v>
      </c>
      <c r="C503" t="s">
        <v>1694</v>
      </c>
      <c r="D503" t="s">
        <v>6220</v>
      </c>
      <c r="E503">
        <v>35.9</v>
      </c>
      <c r="F503" t="s">
        <v>1681</v>
      </c>
      <c r="G503" t="s">
        <v>1691</v>
      </c>
      <c r="H503" t="s">
        <v>1682</v>
      </c>
      <c r="I503" s="11">
        <v>46297</v>
      </c>
      <c r="J503" s="12">
        <v>46296</v>
      </c>
      <c r="K503" s="13">
        <f>INDEX(Assumptions!$B$4:$B$23,MATCH(F503,Assumptions!$A$4:$A$23,0))</f>
        <v>0.10101010101010099</v>
      </c>
      <c r="L503" s="14">
        <f t="shared" si="14"/>
        <v>3.6262626262626254</v>
      </c>
      <c r="M503" t="str">
        <f t="shared" si="15"/>
        <v>No</v>
      </c>
    </row>
    <row r="504" spans="1:13" x14ac:dyDescent="0.25">
      <c r="A504">
        <v>339137</v>
      </c>
      <c r="B504" t="s">
        <v>1696</v>
      </c>
      <c r="C504" t="s">
        <v>1697</v>
      </c>
      <c r="D504" t="s">
        <v>6220</v>
      </c>
      <c r="E504">
        <v>31.5</v>
      </c>
      <c r="F504" t="s">
        <v>1681</v>
      </c>
      <c r="G504" t="s">
        <v>1683</v>
      </c>
      <c r="H504" t="s">
        <v>1682</v>
      </c>
      <c r="I504" s="11">
        <v>46297</v>
      </c>
      <c r="J504" s="12">
        <v>46296</v>
      </c>
      <c r="K504" s="13">
        <f>INDEX(Assumptions!$B$4:$B$23,MATCH(F504,Assumptions!$A$4:$A$23,0))</f>
        <v>0.10101010101010099</v>
      </c>
      <c r="L504" s="14">
        <f t="shared" si="14"/>
        <v>3.1818181818181812</v>
      </c>
      <c r="M504" t="str">
        <f t="shared" si="15"/>
        <v>No</v>
      </c>
    </row>
    <row r="505" spans="1:13" x14ac:dyDescent="0.25">
      <c r="A505">
        <v>339136</v>
      </c>
      <c r="B505" t="s">
        <v>1700</v>
      </c>
      <c r="C505" t="s">
        <v>1701</v>
      </c>
      <c r="D505" t="s">
        <v>6220</v>
      </c>
      <c r="E505">
        <v>38.4</v>
      </c>
      <c r="F505" t="s">
        <v>1681</v>
      </c>
      <c r="G505" t="s">
        <v>1683</v>
      </c>
      <c r="H505" t="s">
        <v>1682</v>
      </c>
      <c r="I505" s="11">
        <v>46297</v>
      </c>
      <c r="J505" s="12">
        <v>46296</v>
      </c>
      <c r="K505" s="13">
        <f>INDEX(Assumptions!$B$4:$B$23,MATCH(F505,Assumptions!$A$4:$A$23,0))</f>
        <v>0.10101010101010099</v>
      </c>
      <c r="L505" s="14">
        <f t="shared" si="14"/>
        <v>3.878787878787878</v>
      </c>
      <c r="M505" t="str">
        <f t="shared" si="15"/>
        <v>No</v>
      </c>
    </row>
    <row r="506" spans="1:13" x14ac:dyDescent="0.25">
      <c r="A506">
        <v>339134</v>
      </c>
      <c r="B506" t="s">
        <v>1704</v>
      </c>
      <c r="C506" t="s">
        <v>1705</v>
      </c>
      <c r="D506" t="s">
        <v>6220</v>
      </c>
      <c r="E506">
        <v>139.9</v>
      </c>
      <c r="F506" t="s">
        <v>1681</v>
      </c>
      <c r="G506" t="s">
        <v>1683</v>
      </c>
      <c r="H506" t="s">
        <v>1682</v>
      </c>
      <c r="I506" s="11">
        <v>46295</v>
      </c>
      <c r="J506" s="12">
        <v>46266</v>
      </c>
      <c r="K506" s="13">
        <f>INDEX(Assumptions!$B$4:$B$23,MATCH(F506,Assumptions!$A$4:$A$23,0))</f>
        <v>0.10101010101010099</v>
      </c>
      <c r="L506" s="14">
        <f t="shared" si="14"/>
        <v>14.13131313131313</v>
      </c>
      <c r="M506" t="str">
        <f t="shared" si="15"/>
        <v>No</v>
      </c>
    </row>
    <row r="507" spans="1:13" x14ac:dyDescent="0.25">
      <c r="A507">
        <v>339133</v>
      </c>
      <c r="B507" t="s">
        <v>1708</v>
      </c>
      <c r="C507" t="s">
        <v>1709</v>
      </c>
      <c r="D507" t="s">
        <v>6220</v>
      </c>
      <c r="E507">
        <v>139.9</v>
      </c>
      <c r="F507" t="s">
        <v>1681</v>
      </c>
      <c r="G507" t="s">
        <v>1683</v>
      </c>
      <c r="H507" t="s">
        <v>1682</v>
      </c>
      <c r="I507" s="11">
        <v>46295</v>
      </c>
      <c r="J507" s="12">
        <v>46266</v>
      </c>
      <c r="K507" s="13">
        <f>INDEX(Assumptions!$B$4:$B$23,MATCH(F507,Assumptions!$A$4:$A$23,0))</f>
        <v>0.10101010101010099</v>
      </c>
      <c r="L507" s="14">
        <f t="shared" si="14"/>
        <v>14.13131313131313</v>
      </c>
      <c r="M507" t="str">
        <f t="shared" si="15"/>
        <v>No</v>
      </c>
    </row>
    <row r="508" spans="1:13" x14ac:dyDescent="0.25">
      <c r="A508">
        <v>339135</v>
      </c>
      <c r="B508" t="s">
        <v>1711</v>
      </c>
      <c r="C508" t="s">
        <v>1712</v>
      </c>
      <c r="D508" t="s">
        <v>6220</v>
      </c>
      <c r="E508">
        <v>42.9</v>
      </c>
      <c r="F508" t="s">
        <v>1681</v>
      </c>
      <c r="G508" t="s">
        <v>1683</v>
      </c>
      <c r="H508" t="s">
        <v>1682</v>
      </c>
      <c r="I508" s="11">
        <v>46295</v>
      </c>
      <c r="J508" s="12">
        <v>46266</v>
      </c>
      <c r="K508" s="13">
        <f>INDEX(Assumptions!$B$4:$B$23,MATCH(F508,Assumptions!$A$4:$A$23,0))</f>
        <v>0.10101010101010099</v>
      </c>
      <c r="L508" s="14">
        <f t="shared" si="14"/>
        <v>4.3333333333333321</v>
      </c>
      <c r="M508" t="str">
        <f t="shared" si="15"/>
        <v>No</v>
      </c>
    </row>
    <row r="509" spans="1:13" x14ac:dyDescent="0.25">
      <c r="A509">
        <v>339132</v>
      </c>
      <c r="B509" t="s">
        <v>1715</v>
      </c>
      <c r="C509" t="s">
        <v>1716</v>
      </c>
      <c r="D509" t="s">
        <v>6220</v>
      </c>
      <c r="E509">
        <v>42.9</v>
      </c>
      <c r="F509" t="s">
        <v>1681</v>
      </c>
      <c r="G509" t="s">
        <v>1683</v>
      </c>
      <c r="H509" t="s">
        <v>1682</v>
      </c>
      <c r="I509" s="11">
        <v>46295</v>
      </c>
      <c r="J509" s="12">
        <v>46266</v>
      </c>
      <c r="K509" s="13">
        <f>INDEX(Assumptions!$B$4:$B$23,MATCH(F509,Assumptions!$A$4:$A$23,0))</f>
        <v>0.10101010101010099</v>
      </c>
      <c r="L509" s="14">
        <f t="shared" si="14"/>
        <v>4.3333333333333321</v>
      </c>
      <c r="M509" t="str">
        <f t="shared" si="15"/>
        <v>No</v>
      </c>
    </row>
    <row r="510" spans="1:13" x14ac:dyDescent="0.25">
      <c r="A510">
        <v>339131</v>
      </c>
      <c r="B510" t="s">
        <v>1718</v>
      </c>
      <c r="C510" t="s">
        <v>1719</v>
      </c>
      <c r="D510" t="s">
        <v>6220</v>
      </c>
      <c r="E510">
        <v>139.9</v>
      </c>
      <c r="F510" t="s">
        <v>1681</v>
      </c>
      <c r="G510" t="s">
        <v>1683</v>
      </c>
      <c r="H510" t="s">
        <v>1682</v>
      </c>
      <c r="I510" s="11">
        <v>46295</v>
      </c>
      <c r="J510" s="12">
        <v>46266</v>
      </c>
      <c r="K510" s="13">
        <f>INDEX(Assumptions!$B$4:$B$23,MATCH(F510,Assumptions!$A$4:$A$23,0))</f>
        <v>0.10101010101010099</v>
      </c>
      <c r="L510" s="14">
        <f t="shared" si="14"/>
        <v>14.13131313131313</v>
      </c>
      <c r="M510" t="str">
        <f t="shared" si="15"/>
        <v>No</v>
      </c>
    </row>
    <row r="511" spans="1:13" x14ac:dyDescent="0.25">
      <c r="A511">
        <v>339130</v>
      </c>
      <c r="C511" t="s">
        <v>1721</v>
      </c>
      <c r="D511" t="s">
        <v>1573</v>
      </c>
      <c r="E511">
        <v>4.3899999999999997</v>
      </c>
      <c r="F511" t="s">
        <v>1722</v>
      </c>
      <c r="G511" t="s">
        <v>1724</v>
      </c>
      <c r="H511" t="s">
        <v>1723</v>
      </c>
      <c r="I511" s="11">
        <v>46297</v>
      </c>
      <c r="J511" s="12">
        <v>46296</v>
      </c>
      <c r="K511" s="13">
        <f>INDEX(Assumptions!$B$4:$B$23,MATCH(F511,Assumptions!$A$4:$A$23,0))</f>
        <v>1</v>
      </c>
      <c r="L511" s="14">
        <f t="shared" si="14"/>
        <v>4.3899999999999997</v>
      </c>
      <c r="M511" t="str">
        <f t="shared" si="15"/>
        <v>No</v>
      </c>
    </row>
    <row r="512" spans="1:13" x14ac:dyDescent="0.25">
      <c r="A512">
        <v>339128</v>
      </c>
      <c r="B512" t="s">
        <v>1726</v>
      </c>
      <c r="C512" t="s">
        <v>1727</v>
      </c>
      <c r="D512" t="s">
        <v>6220</v>
      </c>
      <c r="E512">
        <v>5.99</v>
      </c>
      <c r="F512" t="s">
        <v>1722</v>
      </c>
      <c r="G512" t="s">
        <v>1724</v>
      </c>
      <c r="H512" t="s">
        <v>1723</v>
      </c>
      <c r="I512" s="11">
        <v>46297</v>
      </c>
      <c r="J512" s="12">
        <v>46296</v>
      </c>
      <c r="K512" s="13">
        <f>INDEX(Assumptions!$B$4:$B$23,MATCH(F512,Assumptions!$A$4:$A$23,0))</f>
        <v>1</v>
      </c>
      <c r="L512" s="14">
        <f t="shared" si="14"/>
        <v>5.99</v>
      </c>
      <c r="M512" t="str">
        <f t="shared" si="15"/>
        <v>No</v>
      </c>
    </row>
    <row r="513" spans="1:13" x14ac:dyDescent="0.25">
      <c r="A513">
        <v>339129</v>
      </c>
      <c r="B513" t="s">
        <v>1729</v>
      </c>
      <c r="C513" t="s">
        <v>1730</v>
      </c>
      <c r="D513" t="s">
        <v>6220</v>
      </c>
      <c r="E513">
        <v>2.99</v>
      </c>
      <c r="F513" t="s">
        <v>1722</v>
      </c>
      <c r="G513" t="s">
        <v>1724</v>
      </c>
      <c r="H513" t="s">
        <v>1723</v>
      </c>
      <c r="I513" s="11">
        <v>46297</v>
      </c>
      <c r="J513" s="12">
        <v>46296</v>
      </c>
      <c r="K513" s="13">
        <f>INDEX(Assumptions!$B$4:$B$23,MATCH(F513,Assumptions!$A$4:$A$23,0))</f>
        <v>1</v>
      </c>
      <c r="L513" s="14">
        <f t="shared" si="14"/>
        <v>2.99</v>
      </c>
      <c r="M513" t="str">
        <f t="shared" si="15"/>
        <v>No</v>
      </c>
    </row>
    <row r="514" spans="1:13" x14ac:dyDescent="0.25">
      <c r="A514">
        <v>339127</v>
      </c>
      <c r="B514" t="s">
        <v>1732</v>
      </c>
      <c r="C514" t="s">
        <v>1733</v>
      </c>
      <c r="D514" t="s">
        <v>6220</v>
      </c>
      <c r="E514">
        <v>7.49</v>
      </c>
      <c r="F514" t="s">
        <v>1722</v>
      </c>
      <c r="G514" t="s">
        <v>1724</v>
      </c>
      <c r="H514" t="s">
        <v>1723</v>
      </c>
      <c r="I514" s="11">
        <v>46297</v>
      </c>
      <c r="J514" s="12">
        <v>46296</v>
      </c>
      <c r="K514" s="13">
        <f>INDEX(Assumptions!$B$4:$B$23,MATCH(F514,Assumptions!$A$4:$A$23,0))</f>
        <v>1</v>
      </c>
      <c r="L514" s="14">
        <f t="shared" ref="L514:L577" si="16">E514*K514</f>
        <v>7.49</v>
      </c>
      <c r="M514" t="str">
        <f t="shared" ref="M514:M577" si="17">IF(C514="Unnamed product","Yes","No")</f>
        <v>No</v>
      </c>
    </row>
    <row r="515" spans="1:13" x14ac:dyDescent="0.25">
      <c r="A515">
        <v>339126</v>
      </c>
      <c r="C515" t="s">
        <v>1736</v>
      </c>
      <c r="D515" t="s">
        <v>1737</v>
      </c>
      <c r="E515">
        <v>7.32</v>
      </c>
      <c r="F515" t="s">
        <v>1722</v>
      </c>
      <c r="G515" t="s">
        <v>1724</v>
      </c>
      <c r="H515" t="s">
        <v>1723</v>
      </c>
      <c r="I515" s="11">
        <v>46297</v>
      </c>
      <c r="J515" s="12">
        <v>46296</v>
      </c>
      <c r="K515" s="13">
        <f>INDEX(Assumptions!$B$4:$B$23,MATCH(F515,Assumptions!$A$4:$A$23,0))</f>
        <v>1</v>
      </c>
      <c r="L515" s="14">
        <f t="shared" si="16"/>
        <v>7.32</v>
      </c>
      <c r="M515" t="str">
        <f t="shared" si="17"/>
        <v>No</v>
      </c>
    </row>
    <row r="516" spans="1:13" x14ac:dyDescent="0.25">
      <c r="A516">
        <v>339124</v>
      </c>
      <c r="B516" t="s">
        <v>1740</v>
      </c>
      <c r="C516" t="s">
        <v>1741</v>
      </c>
      <c r="D516" t="s">
        <v>6220</v>
      </c>
      <c r="E516">
        <v>5.49</v>
      </c>
      <c r="F516" t="s">
        <v>1722</v>
      </c>
      <c r="G516" t="s">
        <v>1724</v>
      </c>
      <c r="H516" t="s">
        <v>1723</v>
      </c>
      <c r="I516" s="11">
        <v>46297</v>
      </c>
      <c r="J516" s="12">
        <v>46296</v>
      </c>
      <c r="K516" s="13">
        <f>INDEX(Assumptions!$B$4:$B$23,MATCH(F516,Assumptions!$A$4:$A$23,0))</f>
        <v>1</v>
      </c>
      <c r="L516" s="14">
        <f t="shared" si="16"/>
        <v>5.49</v>
      </c>
      <c r="M516" t="str">
        <f t="shared" si="17"/>
        <v>No</v>
      </c>
    </row>
    <row r="517" spans="1:13" x14ac:dyDescent="0.25">
      <c r="A517">
        <v>339123</v>
      </c>
      <c r="B517" t="s">
        <v>1744</v>
      </c>
      <c r="C517" t="s">
        <v>6221</v>
      </c>
      <c r="D517" t="s">
        <v>6220</v>
      </c>
      <c r="E517">
        <v>27.9</v>
      </c>
      <c r="F517" t="s">
        <v>123</v>
      </c>
      <c r="G517" t="s">
        <v>125</v>
      </c>
      <c r="H517" t="s">
        <v>124</v>
      </c>
      <c r="I517" s="11">
        <v>46271</v>
      </c>
      <c r="J517" s="12">
        <v>46266</v>
      </c>
      <c r="K517" s="13">
        <f>INDEX(Assumptions!$B$4:$B$23,MATCH(F517,Assumptions!$A$4:$A$23,0))</f>
        <v>0.10526315789473679</v>
      </c>
      <c r="L517" s="14">
        <f t="shared" si="16"/>
        <v>2.9368421052631564</v>
      </c>
      <c r="M517" t="str">
        <f t="shared" si="17"/>
        <v>Yes</v>
      </c>
    </row>
    <row r="518" spans="1:13" x14ac:dyDescent="0.25">
      <c r="A518">
        <v>339122</v>
      </c>
      <c r="B518" t="s">
        <v>1746</v>
      </c>
      <c r="C518" t="s">
        <v>6221</v>
      </c>
      <c r="D518" t="s">
        <v>6220</v>
      </c>
      <c r="E518">
        <v>27.9</v>
      </c>
      <c r="F518" t="s">
        <v>123</v>
      </c>
      <c r="G518" t="s">
        <v>125</v>
      </c>
      <c r="H518" t="s">
        <v>124</v>
      </c>
      <c r="I518" s="11">
        <v>46271</v>
      </c>
      <c r="J518" s="12">
        <v>46266</v>
      </c>
      <c r="K518" s="13">
        <f>INDEX(Assumptions!$B$4:$B$23,MATCH(F518,Assumptions!$A$4:$A$23,0))</f>
        <v>0.10526315789473679</v>
      </c>
      <c r="L518" s="14">
        <f t="shared" si="16"/>
        <v>2.9368421052631564</v>
      </c>
      <c r="M518" t="str">
        <f t="shared" si="17"/>
        <v>Yes</v>
      </c>
    </row>
    <row r="519" spans="1:13" x14ac:dyDescent="0.25">
      <c r="A519">
        <v>339121</v>
      </c>
      <c r="B519" t="s">
        <v>1748</v>
      </c>
      <c r="C519" t="s">
        <v>6221</v>
      </c>
      <c r="D519" t="s">
        <v>6220</v>
      </c>
      <c r="E519">
        <v>27.9</v>
      </c>
      <c r="F519" t="s">
        <v>123</v>
      </c>
      <c r="G519" t="s">
        <v>125</v>
      </c>
      <c r="H519" t="s">
        <v>124</v>
      </c>
      <c r="I519" s="11">
        <v>46271</v>
      </c>
      <c r="J519" s="12">
        <v>46266</v>
      </c>
      <c r="K519" s="13">
        <f>INDEX(Assumptions!$B$4:$B$23,MATCH(F519,Assumptions!$A$4:$A$23,0))</f>
        <v>0.10526315789473679</v>
      </c>
      <c r="L519" s="14">
        <f t="shared" si="16"/>
        <v>2.9368421052631564</v>
      </c>
      <c r="M519" t="str">
        <f t="shared" si="17"/>
        <v>Yes</v>
      </c>
    </row>
    <row r="520" spans="1:13" x14ac:dyDescent="0.25">
      <c r="A520">
        <v>339120</v>
      </c>
      <c r="B520" t="s">
        <v>1750</v>
      </c>
      <c r="C520" t="s">
        <v>6221</v>
      </c>
      <c r="D520" t="s">
        <v>6220</v>
      </c>
      <c r="E520">
        <v>27.9</v>
      </c>
      <c r="F520" t="s">
        <v>123</v>
      </c>
      <c r="G520" t="s">
        <v>125</v>
      </c>
      <c r="H520" t="s">
        <v>124</v>
      </c>
      <c r="I520" s="11">
        <v>46271</v>
      </c>
      <c r="J520" s="12">
        <v>46266</v>
      </c>
      <c r="K520" s="13">
        <f>INDEX(Assumptions!$B$4:$B$23,MATCH(F520,Assumptions!$A$4:$A$23,0))</f>
        <v>0.10526315789473679</v>
      </c>
      <c r="L520" s="14">
        <f t="shared" si="16"/>
        <v>2.9368421052631564</v>
      </c>
      <c r="M520" t="str">
        <f t="shared" si="17"/>
        <v>Yes</v>
      </c>
    </row>
    <row r="521" spans="1:13" x14ac:dyDescent="0.25">
      <c r="A521">
        <v>339119</v>
      </c>
      <c r="B521" t="s">
        <v>1752</v>
      </c>
      <c r="C521" t="s">
        <v>6221</v>
      </c>
      <c r="D521" t="s">
        <v>6220</v>
      </c>
      <c r="E521">
        <v>27.9</v>
      </c>
      <c r="F521" t="s">
        <v>123</v>
      </c>
      <c r="G521" t="s">
        <v>125</v>
      </c>
      <c r="H521" t="s">
        <v>124</v>
      </c>
      <c r="I521" s="11">
        <v>46271</v>
      </c>
      <c r="J521" s="12">
        <v>46266</v>
      </c>
      <c r="K521" s="13">
        <f>INDEX(Assumptions!$B$4:$B$23,MATCH(F521,Assumptions!$A$4:$A$23,0))</f>
        <v>0.10526315789473679</v>
      </c>
      <c r="L521" s="14">
        <f t="shared" si="16"/>
        <v>2.9368421052631564</v>
      </c>
      <c r="M521" t="str">
        <f t="shared" si="17"/>
        <v>Yes</v>
      </c>
    </row>
    <row r="522" spans="1:13" x14ac:dyDescent="0.25">
      <c r="A522">
        <v>339118</v>
      </c>
      <c r="B522" t="s">
        <v>1754</v>
      </c>
      <c r="C522" t="s">
        <v>1755</v>
      </c>
      <c r="D522" t="s">
        <v>6220</v>
      </c>
      <c r="E522">
        <v>44.9</v>
      </c>
      <c r="F522" t="s">
        <v>1681</v>
      </c>
      <c r="G522" t="s">
        <v>1691</v>
      </c>
      <c r="H522" t="s">
        <v>1682</v>
      </c>
      <c r="I522" s="11">
        <v>46297</v>
      </c>
      <c r="J522" s="12">
        <v>46296</v>
      </c>
      <c r="K522" s="13">
        <f>INDEX(Assumptions!$B$4:$B$23,MATCH(F522,Assumptions!$A$4:$A$23,0))</f>
        <v>0.10101010101010099</v>
      </c>
      <c r="L522" s="14">
        <f t="shared" si="16"/>
        <v>4.5353535353535346</v>
      </c>
      <c r="M522" t="str">
        <f t="shared" si="17"/>
        <v>No</v>
      </c>
    </row>
    <row r="523" spans="1:13" x14ac:dyDescent="0.25">
      <c r="A523">
        <v>339117</v>
      </c>
      <c r="B523" t="s">
        <v>1758</v>
      </c>
      <c r="C523" t="s">
        <v>1759</v>
      </c>
      <c r="D523" t="s">
        <v>6220</v>
      </c>
      <c r="E523">
        <v>28.5</v>
      </c>
      <c r="F523" t="s">
        <v>1681</v>
      </c>
      <c r="G523" t="s">
        <v>1691</v>
      </c>
      <c r="H523" t="s">
        <v>1682</v>
      </c>
      <c r="I523" s="11">
        <v>46297</v>
      </c>
      <c r="J523" s="12">
        <v>46296</v>
      </c>
      <c r="K523" s="13">
        <f>INDEX(Assumptions!$B$4:$B$23,MATCH(F523,Assumptions!$A$4:$A$23,0))</f>
        <v>0.10101010101010099</v>
      </c>
      <c r="L523" s="14">
        <f t="shared" si="16"/>
        <v>2.8787878787878785</v>
      </c>
      <c r="M523" t="str">
        <f t="shared" si="17"/>
        <v>No</v>
      </c>
    </row>
    <row r="524" spans="1:13" x14ac:dyDescent="0.25">
      <c r="A524">
        <v>339116</v>
      </c>
      <c r="B524" t="s">
        <v>1762</v>
      </c>
      <c r="C524" t="s">
        <v>1763</v>
      </c>
      <c r="D524" t="s">
        <v>6220</v>
      </c>
      <c r="E524">
        <v>27.9</v>
      </c>
      <c r="F524" t="s">
        <v>1681</v>
      </c>
      <c r="G524" t="s">
        <v>1691</v>
      </c>
      <c r="H524" t="s">
        <v>1682</v>
      </c>
      <c r="I524" s="11">
        <v>46297</v>
      </c>
      <c r="J524" s="12">
        <v>46296</v>
      </c>
      <c r="K524" s="13">
        <f>INDEX(Assumptions!$B$4:$B$23,MATCH(F524,Assumptions!$A$4:$A$23,0))</f>
        <v>0.10101010101010099</v>
      </c>
      <c r="L524" s="14">
        <f t="shared" si="16"/>
        <v>2.8181818181818175</v>
      </c>
      <c r="M524" t="str">
        <f t="shared" si="17"/>
        <v>No</v>
      </c>
    </row>
    <row r="525" spans="1:13" x14ac:dyDescent="0.25">
      <c r="A525">
        <v>339115</v>
      </c>
      <c r="B525" t="s">
        <v>1765</v>
      </c>
      <c r="C525" t="s">
        <v>1766</v>
      </c>
      <c r="D525" t="s">
        <v>6220</v>
      </c>
      <c r="E525">
        <v>33.4</v>
      </c>
      <c r="F525" t="s">
        <v>1681</v>
      </c>
      <c r="G525" t="s">
        <v>1691</v>
      </c>
      <c r="H525" t="s">
        <v>1682</v>
      </c>
      <c r="I525" s="11">
        <v>46297</v>
      </c>
      <c r="J525" s="12">
        <v>46296</v>
      </c>
      <c r="K525" s="13">
        <f>INDEX(Assumptions!$B$4:$B$23,MATCH(F525,Assumptions!$A$4:$A$23,0))</f>
        <v>0.10101010101010099</v>
      </c>
      <c r="L525" s="14">
        <f t="shared" si="16"/>
        <v>3.3737373737373733</v>
      </c>
      <c r="M525" t="str">
        <f t="shared" si="17"/>
        <v>No</v>
      </c>
    </row>
    <row r="526" spans="1:13" x14ac:dyDescent="0.25">
      <c r="A526">
        <v>339114</v>
      </c>
      <c r="B526" t="s">
        <v>1769</v>
      </c>
      <c r="C526" t="s">
        <v>1770</v>
      </c>
      <c r="D526" t="s">
        <v>6220</v>
      </c>
      <c r="E526">
        <v>54.9</v>
      </c>
      <c r="F526" t="s">
        <v>1681</v>
      </c>
      <c r="G526" t="s">
        <v>1691</v>
      </c>
      <c r="H526" t="s">
        <v>1682</v>
      </c>
      <c r="I526" s="11">
        <v>46297</v>
      </c>
      <c r="J526" s="12">
        <v>46296</v>
      </c>
      <c r="K526" s="13">
        <f>INDEX(Assumptions!$B$4:$B$23,MATCH(F526,Assumptions!$A$4:$A$23,0))</f>
        <v>0.10101010101010099</v>
      </c>
      <c r="L526" s="14">
        <f t="shared" si="16"/>
        <v>5.5454545454545441</v>
      </c>
      <c r="M526" t="str">
        <f t="shared" si="17"/>
        <v>No</v>
      </c>
    </row>
    <row r="527" spans="1:13" x14ac:dyDescent="0.25">
      <c r="A527">
        <v>339113</v>
      </c>
      <c r="B527" t="s">
        <v>1773</v>
      </c>
      <c r="C527" t="s">
        <v>1774</v>
      </c>
      <c r="D527" t="s">
        <v>6220</v>
      </c>
      <c r="E527">
        <v>23.9</v>
      </c>
      <c r="F527" t="s">
        <v>1681</v>
      </c>
      <c r="G527" t="s">
        <v>1691</v>
      </c>
      <c r="H527" t="s">
        <v>1682</v>
      </c>
      <c r="I527" s="11">
        <v>46297</v>
      </c>
      <c r="J527" s="12">
        <v>46296</v>
      </c>
      <c r="K527" s="13">
        <f>INDEX(Assumptions!$B$4:$B$23,MATCH(F527,Assumptions!$A$4:$A$23,0))</f>
        <v>0.10101010101010099</v>
      </c>
      <c r="L527" s="14">
        <f t="shared" si="16"/>
        <v>2.4141414141414135</v>
      </c>
      <c r="M527" t="str">
        <f t="shared" si="17"/>
        <v>No</v>
      </c>
    </row>
    <row r="528" spans="1:13" x14ac:dyDescent="0.25">
      <c r="A528">
        <v>339112</v>
      </c>
      <c r="B528" t="s">
        <v>1777</v>
      </c>
      <c r="C528" t="s">
        <v>1778</v>
      </c>
      <c r="D528" t="s">
        <v>6220</v>
      </c>
      <c r="E528">
        <v>74.900000000000006</v>
      </c>
      <c r="F528" t="s">
        <v>1681</v>
      </c>
      <c r="G528" t="s">
        <v>1691</v>
      </c>
      <c r="H528" t="s">
        <v>1682</v>
      </c>
      <c r="I528" s="11">
        <v>46297</v>
      </c>
      <c r="J528" s="12">
        <v>46296</v>
      </c>
      <c r="K528" s="13">
        <f>INDEX(Assumptions!$B$4:$B$23,MATCH(F528,Assumptions!$A$4:$A$23,0))</f>
        <v>0.10101010101010099</v>
      </c>
      <c r="L528" s="14">
        <f t="shared" si="16"/>
        <v>7.5656565656565649</v>
      </c>
      <c r="M528" t="str">
        <f t="shared" si="17"/>
        <v>No</v>
      </c>
    </row>
    <row r="529" spans="1:13" x14ac:dyDescent="0.25">
      <c r="A529">
        <v>339111</v>
      </c>
      <c r="B529" t="s">
        <v>1781</v>
      </c>
      <c r="C529" t="s">
        <v>6221</v>
      </c>
      <c r="D529" t="s">
        <v>6220</v>
      </c>
      <c r="E529">
        <v>39.9</v>
      </c>
      <c r="F529" t="s">
        <v>1681</v>
      </c>
      <c r="G529" t="s">
        <v>1691</v>
      </c>
      <c r="H529" t="s">
        <v>1682</v>
      </c>
      <c r="I529" s="11">
        <v>46297</v>
      </c>
      <c r="J529" s="12">
        <v>46296</v>
      </c>
      <c r="K529" s="13">
        <f>INDEX(Assumptions!$B$4:$B$23,MATCH(F529,Assumptions!$A$4:$A$23,0))</f>
        <v>0.10101010101010099</v>
      </c>
      <c r="L529" s="14">
        <f t="shared" si="16"/>
        <v>4.0303030303030294</v>
      </c>
      <c r="M529" t="str">
        <f t="shared" si="17"/>
        <v>Yes</v>
      </c>
    </row>
    <row r="530" spans="1:13" x14ac:dyDescent="0.25">
      <c r="A530">
        <v>339110</v>
      </c>
      <c r="B530" t="s">
        <v>1783</v>
      </c>
      <c r="C530" t="s">
        <v>1784</v>
      </c>
      <c r="D530" t="s">
        <v>6220</v>
      </c>
      <c r="E530">
        <v>34.9</v>
      </c>
      <c r="F530" t="s">
        <v>1681</v>
      </c>
      <c r="G530" t="s">
        <v>1691</v>
      </c>
      <c r="H530" t="s">
        <v>1682</v>
      </c>
      <c r="I530" s="11">
        <v>46297</v>
      </c>
      <c r="J530" s="12">
        <v>46296</v>
      </c>
      <c r="K530" s="13">
        <f>INDEX(Assumptions!$B$4:$B$23,MATCH(F530,Assumptions!$A$4:$A$23,0))</f>
        <v>0.10101010101010099</v>
      </c>
      <c r="L530" s="14">
        <f t="shared" si="16"/>
        <v>3.5252525252525246</v>
      </c>
      <c r="M530" t="str">
        <f t="shared" si="17"/>
        <v>No</v>
      </c>
    </row>
    <row r="531" spans="1:13" x14ac:dyDescent="0.25">
      <c r="A531">
        <v>339109</v>
      </c>
      <c r="B531" t="s">
        <v>1786</v>
      </c>
      <c r="C531" t="s">
        <v>1787</v>
      </c>
      <c r="D531" t="s">
        <v>6220</v>
      </c>
      <c r="E531">
        <v>54.9</v>
      </c>
      <c r="F531" t="s">
        <v>1681</v>
      </c>
      <c r="G531" t="s">
        <v>1691</v>
      </c>
      <c r="H531" t="s">
        <v>1682</v>
      </c>
      <c r="I531" s="11">
        <v>46297</v>
      </c>
      <c r="J531" s="12">
        <v>46296</v>
      </c>
      <c r="K531" s="13">
        <f>INDEX(Assumptions!$B$4:$B$23,MATCH(F531,Assumptions!$A$4:$A$23,0))</f>
        <v>0.10101010101010099</v>
      </c>
      <c r="L531" s="14">
        <f t="shared" si="16"/>
        <v>5.5454545454545441</v>
      </c>
      <c r="M531" t="str">
        <f t="shared" si="17"/>
        <v>No</v>
      </c>
    </row>
    <row r="532" spans="1:13" x14ac:dyDescent="0.25">
      <c r="A532">
        <v>339107</v>
      </c>
      <c r="B532" t="s">
        <v>1789</v>
      </c>
      <c r="C532" t="s">
        <v>1790</v>
      </c>
      <c r="D532" t="s">
        <v>6220</v>
      </c>
      <c r="E532">
        <v>56.9</v>
      </c>
      <c r="F532" t="s">
        <v>1681</v>
      </c>
      <c r="G532" t="s">
        <v>1691</v>
      </c>
      <c r="H532" t="s">
        <v>1682</v>
      </c>
      <c r="I532" s="11">
        <v>46297</v>
      </c>
      <c r="J532" s="12">
        <v>46296</v>
      </c>
      <c r="K532" s="13">
        <f>INDEX(Assumptions!$B$4:$B$23,MATCH(F532,Assumptions!$A$4:$A$23,0))</f>
        <v>0.10101010101010099</v>
      </c>
      <c r="L532" s="14">
        <f t="shared" si="16"/>
        <v>5.7474747474747465</v>
      </c>
      <c r="M532" t="str">
        <f t="shared" si="17"/>
        <v>No</v>
      </c>
    </row>
    <row r="533" spans="1:13" x14ac:dyDescent="0.25">
      <c r="A533">
        <v>339108</v>
      </c>
      <c r="B533" t="s">
        <v>1793</v>
      </c>
      <c r="C533" t="s">
        <v>1794</v>
      </c>
      <c r="D533" t="s">
        <v>6220</v>
      </c>
      <c r="E533">
        <v>49.9</v>
      </c>
      <c r="F533" t="s">
        <v>1681</v>
      </c>
      <c r="G533" t="s">
        <v>1691</v>
      </c>
      <c r="H533" t="s">
        <v>1682</v>
      </c>
      <c r="I533" s="11">
        <v>46297</v>
      </c>
      <c r="J533" s="12">
        <v>46296</v>
      </c>
      <c r="K533" s="13">
        <f>INDEX(Assumptions!$B$4:$B$23,MATCH(F533,Assumptions!$A$4:$A$23,0))</f>
        <v>0.10101010101010099</v>
      </c>
      <c r="L533" s="14">
        <f t="shared" si="16"/>
        <v>5.0404040404040398</v>
      </c>
      <c r="M533" t="str">
        <f t="shared" si="17"/>
        <v>No</v>
      </c>
    </row>
    <row r="534" spans="1:13" x14ac:dyDescent="0.25">
      <c r="A534">
        <v>339106</v>
      </c>
      <c r="B534" t="s">
        <v>1797</v>
      </c>
      <c r="C534" t="s">
        <v>1798</v>
      </c>
      <c r="D534" t="s">
        <v>6220</v>
      </c>
      <c r="E534">
        <v>49.9</v>
      </c>
      <c r="F534" t="s">
        <v>1681</v>
      </c>
      <c r="G534" t="s">
        <v>1691</v>
      </c>
      <c r="H534" t="s">
        <v>1682</v>
      </c>
      <c r="I534" s="11">
        <v>46297</v>
      </c>
      <c r="J534" s="12">
        <v>46296</v>
      </c>
      <c r="K534" s="13">
        <f>INDEX(Assumptions!$B$4:$B$23,MATCH(F534,Assumptions!$A$4:$A$23,0))</f>
        <v>0.10101010101010099</v>
      </c>
      <c r="L534" s="14">
        <f t="shared" si="16"/>
        <v>5.0404040404040398</v>
      </c>
      <c r="M534" t="str">
        <f t="shared" si="17"/>
        <v>No</v>
      </c>
    </row>
    <row r="535" spans="1:13" x14ac:dyDescent="0.25">
      <c r="A535">
        <v>339105</v>
      </c>
      <c r="B535" t="s">
        <v>1800</v>
      </c>
      <c r="C535" t="s">
        <v>1801</v>
      </c>
      <c r="D535" t="s">
        <v>6220</v>
      </c>
      <c r="E535">
        <v>49.9</v>
      </c>
      <c r="F535" t="s">
        <v>1681</v>
      </c>
      <c r="G535" t="s">
        <v>1691</v>
      </c>
      <c r="H535" t="s">
        <v>1682</v>
      </c>
      <c r="I535" s="11">
        <v>46297</v>
      </c>
      <c r="J535" s="12">
        <v>46296</v>
      </c>
      <c r="K535" s="13">
        <f>INDEX(Assumptions!$B$4:$B$23,MATCH(F535,Assumptions!$A$4:$A$23,0))</f>
        <v>0.10101010101010099</v>
      </c>
      <c r="L535" s="14">
        <f t="shared" si="16"/>
        <v>5.0404040404040398</v>
      </c>
      <c r="M535" t="str">
        <f t="shared" si="17"/>
        <v>No</v>
      </c>
    </row>
    <row r="536" spans="1:13" x14ac:dyDescent="0.25">
      <c r="A536">
        <v>339104</v>
      </c>
      <c r="B536" t="s">
        <v>1803</v>
      </c>
      <c r="C536" t="s">
        <v>1804</v>
      </c>
      <c r="D536" t="s">
        <v>6220</v>
      </c>
      <c r="E536">
        <v>49.9</v>
      </c>
      <c r="F536" t="s">
        <v>1681</v>
      </c>
      <c r="G536" t="s">
        <v>1691</v>
      </c>
      <c r="H536" t="s">
        <v>1682</v>
      </c>
      <c r="I536" s="11">
        <v>46297</v>
      </c>
      <c r="J536" s="12">
        <v>46296</v>
      </c>
      <c r="K536" s="13">
        <f>INDEX(Assumptions!$B$4:$B$23,MATCH(F536,Assumptions!$A$4:$A$23,0))</f>
        <v>0.10101010101010099</v>
      </c>
      <c r="L536" s="14">
        <f t="shared" si="16"/>
        <v>5.0404040404040398</v>
      </c>
      <c r="M536" t="str">
        <f t="shared" si="17"/>
        <v>No</v>
      </c>
    </row>
    <row r="537" spans="1:13" x14ac:dyDescent="0.25">
      <c r="A537">
        <v>339103</v>
      </c>
      <c r="B537" t="s">
        <v>1806</v>
      </c>
      <c r="C537" t="s">
        <v>6221</v>
      </c>
      <c r="D537" t="s">
        <v>6220</v>
      </c>
      <c r="E537">
        <v>15.9</v>
      </c>
      <c r="F537" t="s">
        <v>123</v>
      </c>
      <c r="G537" t="s">
        <v>125</v>
      </c>
      <c r="H537" t="s">
        <v>124</v>
      </c>
      <c r="I537" s="11">
        <v>46271</v>
      </c>
      <c r="J537" s="12">
        <v>46266</v>
      </c>
      <c r="K537" s="13">
        <f>INDEX(Assumptions!$B$4:$B$23,MATCH(F537,Assumptions!$A$4:$A$23,0))</f>
        <v>0.10526315789473679</v>
      </c>
      <c r="L537" s="14">
        <f t="shared" si="16"/>
        <v>1.673684210526315</v>
      </c>
      <c r="M537" t="str">
        <f t="shared" si="17"/>
        <v>Yes</v>
      </c>
    </row>
    <row r="538" spans="1:13" x14ac:dyDescent="0.25">
      <c r="A538">
        <v>339102</v>
      </c>
      <c r="B538" t="s">
        <v>1808</v>
      </c>
      <c r="C538" t="s">
        <v>6221</v>
      </c>
      <c r="D538" t="s">
        <v>6220</v>
      </c>
      <c r="E538">
        <v>25.9</v>
      </c>
      <c r="F538" t="s">
        <v>123</v>
      </c>
      <c r="G538" t="s">
        <v>125</v>
      </c>
      <c r="H538" t="s">
        <v>124</v>
      </c>
      <c r="I538" s="11">
        <v>46271</v>
      </c>
      <c r="J538" s="12">
        <v>46266</v>
      </c>
      <c r="K538" s="13">
        <f>INDEX(Assumptions!$B$4:$B$23,MATCH(F538,Assumptions!$A$4:$A$23,0))</f>
        <v>0.10526315789473679</v>
      </c>
      <c r="L538" s="14">
        <f t="shared" si="16"/>
        <v>2.7263157894736829</v>
      </c>
      <c r="M538" t="str">
        <f t="shared" si="17"/>
        <v>Yes</v>
      </c>
    </row>
    <row r="539" spans="1:13" x14ac:dyDescent="0.25">
      <c r="A539">
        <v>339101</v>
      </c>
      <c r="B539" t="s">
        <v>1744</v>
      </c>
      <c r="C539" t="s">
        <v>6221</v>
      </c>
      <c r="D539" t="s">
        <v>6220</v>
      </c>
      <c r="E539">
        <v>27.9</v>
      </c>
      <c r="F539" t="s">
        <v>123</v>
      </c>
      <c r="G539" t="s">
        <v>125</v>
      </c>
      <c r="H539" t="s">
        <v>124</v>
      </c>
      <c r="I539" s="11">
        <v>46271</v>
      </c>
      <c r="J539" s="12">
        <v>46266</v>
      </c>
      <c r="K539" s="13">
        <f>INDEX(Assumptions!$B$4:$B$23,MATCH(F539,Assumptions!$A$4:$A$23,0))</f>
        <v>0.10526315789473679</v>
      </c>
      <c r="L539" s="14">
        <f t="shared" si="16"/>
        <v>2.9368421052631564</v>
      </c>
      <c r="M539" t="str">
        <f t="shared" si="17"/>
        <v>Yes</v>
      </c>
    </row>
    <row r="540" spans="1:13" x14ac:dyDescent="0.25">
      <c r="A540">
        <v>339100</v>
      </c>
      <c r="B540" t="s">
        <v>1812</v>
      </c>
      <c r="C540" t="s">
        <v>6221</v>
      </c>
      <c r="D540" t="s">
        <v>6220</v>
      </c>
      <c r="E540">
        <v>33.020000000000003</v>
      </c>
      <c r="F540" t="s">
        <v>123</v>
      </c>
      <c r="G540" t="s">
        <v>125</v>
      </c>
      <c r="H540" t="s">
        <v>124</v>
      </c>
      <c r="I540" s="11">
        <v>46271</v>
      </c>
      <c r="J540" s="12">
        <v>46266</v>
      </c>
      <c r="K540" s="13">
        <f>INDEX(Assumptions!$B$4:$B$23,MATCH(F540,Assumptions!$A$4:$A$23,0))</f>
        <v>0.10526315789473679</v>
      </c>
      <c r="L540" s="14">
        <f t="shared" si="16"/>
        <v>3.4757894736842094</v>
      </c>
      <c r="M540" t="str">
        <f t="shared" si="17"/>
        <v>Yes</v>
      </c>
    </row>
    <row r="541" spans="1:13" x14ac:dyDescent="0.25">
      <c r="A541">
        <v>339099</v>
      </c>
      <c r="B541" t="s">
        <v>1814</v>
      </c>
      <c r="C541" t="s">
        <v>6221</v>
      </c>
      <c r="D541" t="s">
        <v>6220</v>
      </c>
      <c r="E541">
        <v>33.97</v>
      </c>
      <c r="F541" t="s">
        <v>123</v>
      </c>
      <c r="G541" t="s">
        <v>125</v>
      </c>
      <c r="H541" t="s">
        <v>124</v>
      </c>
      <c r="I541" s="11">
        <v>46271</v>
      </c>
      <c r="J541" s="12">
        <v>46266</v>
      </c>
      <c r="K541" s="13">
        <f>INDEX(Assumptions!$B$4:$B$23,MATCH(F541,Assumptions!$A$4:$A$23,0))</f>
        <v>0.10526315789473679</v>
      </c>
      <c r="L541" s="14">
        <f t="shared" si="16"/>
        <v>3.5757894736842086</v>
      </c>
      <c r="M541" t="str">
        <f t="shared" si="17"/>
        <v>Yes</v>
      </c>
    </row>
    <row r="542" spans="1:13" x14ac:dyDescent="0.25">
      <c r="A542">
        <v>339098</v>
      </c>
      <c r="B542" t="s">
        <v>1817</v>
      </c>
      <c r="C542" t="s">
        <v>6221</v>
      </c>
      <c r="D542" t="s">
        <v>6220</v>
      </c>
      <c r="E542">
        <v>33.020000000000003</v>
      </c>
      <c r="F542" t="s">
        <v>123</v>
      </c>
      <c r="G542" t="s">
        <v>125</v>
      </c>
      <c r="H542" t="s">
        <v>124</v>
      </c>
      <c r="I542" s="11">
        <v>46271</v>
      </c>
      <c r="J542" s="12">
        <v>46266</v>
      </c>
      <c r="K542" s="13">
        <f>INDEX(Assumptions!$B$4:$B$23,MATCH(F542,Assumptions!$A$4:$A$23,0))</f>
        <v>0.10526315789473679</v>
      </c>
      <c r="L542" s="14">
        <f t="shared" si="16"/>
        <v>3.4757894736842094</v>
      </c>
      <c r="M542" t="str">
        <f t="shared" si="17"/>
        <v>Yes</v>
      </c>
    </row>
    <row r="543" spans="1:13" x14ac:dyDescent="0.25">
      <c r="A543">
        <v>339097</v>
      </c>
      <c r="B543" t="s">
        <v>1819</v>
      </c>
      <c r="C543" t="s">
        <v>1820</v>
      </c>
      <c r="D543" t="s">
        <v>6220</v>
      </c>
      <c r="E543">
        <v>23.4</v>
      </c>
      <c r="F543" t="s">
        <v>1681</v>
      </c>
      <c r="G543" t="s">
        <v>1691</v>
      </c>
      <c r="H543" t="s">
        <v>1682</v>
      </c>
      <c r="I543" s="11">
        <v>46297</v>
      </c>
      <c r="J543" s="12">
        <v>46296</v>
      </c>
      <c r="K543" s="13">
        <f>INDEX(Assumptions!$B$4:$B$23,MATCH(F543,Assumptions!$A$4:$A$23,0))</f>
        <v>0.10101010101010099</v>
      </c>
      <c r="L543" s="14">
        <f t="shared" si="16"/>
        <v>2.3636363636363633</v>
      </c>
      <c r="M543" t="str">
        <f t="shared" si="17"/>
        <v>No</v>
      </c>
    </row>
    <row r="544" spans="1:13" x14ac:dyDescent="0.25">
      <c r="A544">
        <v>339096</v>
      </c>
      <c r="B544" t="s">
        <v>1823</v>
      </c>
      <c r="C544" t="s">
        <v>1824</v>
      </c>
      <c r="D544" t="s">
        <v>6220</v>
      </c>
      <c r="E544">
        <v>25.9</v>
      </c>
      <c r="F544" t="s">
        <v>1681</v>
      </c>
      <c r="G544" t="s">
        <v>1691</v>
      </c>
      <c r="H544" t="s">
        <v>1682</v>
      </c>
      <c r="I544" s="11">
        <v>46297</v>
      </c>
      <c r="J544" s="12">
        <v>46296</v>
      </c>
      <c r="K544" s="13">
        <f>INDEX(Assumptions!$B$4:$B$23,MATCH(F544,Assumptions!$A$4:$A$23,0))</f>
        <v>0.10101010101010099</v>
      </c>
      <c r="L544" s="14">
        <f t="shared" si="16"/>
        <v>2.6161616161616155</v>
      </c>
      <c r="M544" t="str">
        <f t="shared" si="17"/>
        <v>No</v>
      </c>
    </row>
    <row r="545" spans="1:13" x14ac:dyDescent="0.25">
      <c r="A545">
        <v>339095</v>
      </c>
      <c r="B545" t="s">
        <v>1826</v>
      </c>
      <c r="C545" t="s">
        <v>1827</v>
      </c>
      <c r="D545" t="s">
        <v>6220</v>
      </c>
      <c r="E545">
        <v>25.5</v>
      </c>
      <c r="F545" t="s">
        <v>1681</v>
      </c>
      <c r="G545" t="s">
        <v>1683</v>
      </c>
      <c r="H545" t="s">
        <v>1682</v>
      </c>
      <c r="I545" s="11">
        <v>46297</v>
      </c>
      <c r="J545" s="12">
        <v>46296</v>
      </c>
      <c r="K545" s="13">
        <f>INDEX(Assumptions!$B$4:$B$23,MATCH(F545,Assumptions!$A$4:$A$23,0))</f>
        <v>0.10101010101010099</v>
      </c>
      <c r="L545" s="14">
        <f t="shared" si="16"/>
        <v>2.5757575757575752</v>
      </c>
      <c r="M545" t="str">
        <f t="shared" si="17"/>
        <v>No</v>
      </c>
    </row>
    <row r="546" spans="1:13" x14ac:dyDescent="0.25">
      <c r="A546">
        <v>339094</v>
      </c>
      <c r="B546" t="s">
        <v>1830</v>
      </c>
      <c r="C546" t="s">
        <v>1831</v>
      </c>
      <c r="D546" t="s">
        <v>6220</v>
      </c>
      <c r="E546">
        <v>39.9</v>
      </c>
      <c r="F546" t="s">
        <v>1681</v>
      </c>
      <c r="G546" t="s">
        <v>1683</v>
      </c>
      <c r="H546" t="s">
        <v>1682</v>
      </c>
      <c r="I546" s="11">
        <v>46297</v>
      </c>
      <c r="J546" s="12">
        <v>46296</v>
      </c>
      <c r="K546" s="13">
        <f>INDEX(Assumptions!$B$4:$B$23,MATCH(F546,Assumptions!$A$4:$A$23,0))</f>
        <v>0.10101010101010099</v>
      </c>
      <c r="L546" s="14">
        <f t="shared" si="16"/>
        <v>4.0303030303030294</v>
      </c>
      <c r="M546" t="str">
        <f t="shared" si="17"/>
        <v>No</v>
      </c>
    </row>
    <row r="547" spans="1:13" x14ac:dyDescent="0.25">
      <c r="A547">
        <v>339093</v>
      </c>
      <c r="B547" t="s">
        <v>1700</v>
      </c>
      <c r="C547" t="s">
        <v>1701</v>
      </c>
      <c r="D547" t="s">
        <v>6220</v>
      </c>
      <c r="E547">
        <v>38.4</v>
      </c>
      <c r="F547" t="s">
        <v>1681</v>
      </c>
      <c r="G547" t="s">
        <v>1683</v>
      </c>
      <c r="H547" t="s">
        <v>1682</v>
      </c>
      <c r="I547" s="11">
        <v>46297</v>
      </c>
      <c r="J547" s="12">
        <v>46296</v>
      </c>
      <c r="K547" s="13">
        <f>INDEX(Assumptions!$B$4:$B$23,MATCH(F547,Assumptions!$A$4:$A$23,0))</f>
        <v>0.10101010101010099</v>
      </c>
      <c r="L547" s="14">
        <f t="shared" si="16"/>
        <v>3.878787878787878</v>
      </c>
      <c r="M547" t="str">
        <f t="shared" si="17"/>
        <v>No</v>
      </c>
    </row>
    <row r="548" spans="1:13" x14ac:dyDescent="0.25">
      <c r="A548">
        <v>339091</v>
      </c>
      <c r="C548" t="s">
        <v>6221</v>
      </c>
      <c r="D548" t="s">
        <v>1834</v>
      </c>
      <c r="E548">
        <v>0.28999999999999998</v>
      </c>
      <c r="F548" t="s">
        <v>1836</v>
      </c>
      <c r="G548" t="s">
        <v>1838</v>
      </c>
      <c r="H548" t="s">
        <v>1837</v>
      </c>
      <c r="I548" s="11">
        <v>46152</v>
      </c>
      <c r="J548" s="12">
        <v>46143</v>
      </c>
      <c r="K548" s="13">
        <f>INDEX(Assumptions!$B$4:$B$23,MATCH(F548,Assumptions!$A$4:$A$23,0))</f>
        <v>0.5780346820809249</v>
      </c>
      <c r="L548" s="14">
        <f t="shared" si="16"/>
        <v>0.16763005780346821</v>
      </c>
      <c r="M548" t="str">
        <f t="shared" si="17"/>
        <v>Yes</v>
      </c>
    </row>
    <row r="549" spans="1:13" x14ac:dyDescent="0.25">
      <c r="A549">
        <v>339090</v>
      </c>
      <c r="C549" t="s">
        <v>6221</v>
      </c>
      <c r="D549" t="s">
        <v>1841</v>
      </c>
      <c r="E549">
        <v>1.49</v>
      </c>
      <c r="F549" t="s">
        <v>1836</v>
      </c>
      <c r="G549" t="s">
        <v>1838</v>
      </c>
      <c r="H549" t="s">
        <v>1837</v>
      </c>
      <c r="I549" s="11">
        <v>46152</v>
      </c>
      <c r="J549" s="12">
        <v>46143</v>
      </c>
      <c r="K549" s="13">
        <f>INDEX(Assumptions!$B$4:$B$23,MATCH(F549,Assumptions!$A$4:$A$23,0))</f>
        <v>0.5780346820809249</v>
      </c>
      <c r="L549" s="14">
        <f t="shared" si="16"/>
        <v>0.8612716763005781</v>
      </c>
      <c r="M549" t="str">
        <f t="shared" si="17"/>
        <v>Yes</v>
      </c>
    </row>
    <row r="550" spans="1:13" x14ac:dyDescent="0.25">
      <c r="A550">
        <v>339089</v>
      </c>
      <c r="C550" t="s">
        <v>6221</v>
      </c>
      <c r="D550" t="s">
        <v>1844</v>
      </c>
      <c r="E550">
        <v>1.88</v>
      </c>
      <c r="F550" t="s">
        <v>1836</v>
      </c>
      <c r="G550" t="s">
        <v>1838</v>
      </c>
      <c r="H550" t="s">
        <v>1837</v>
      </c>
      <c r="I550" s="11">
        <v>46152</v>
      </c>
      <c r="J550" s="12">
        <v>46143</v>
      </c>
      <c r="K550" s="13">
        <f>INDEX(Assumptions!$B$4:$B$23,MATCH(F550,Assumptions!$A$4:$A$23,0))</f>
        <v>0.5780346820809249</v>
      </c>
      <c r="L550" s="14">
        <f t="shared" si="16"/>
        <v>1.0867052023121389</v>
      </c>
      <c r="M550" t="str">
        <f t="shared" si="17"/>
        <v>Yes</v>
      </c>
    </row>
    <row r="551" spans="1:13" x14ac:dyDescent="0.25">
      <c r="A551">
        <v>339088</v>
      </c>
      <c r="C551" t="s">
        <v>6221</v>
      </c>
      <c r="D551" t="s">
        <v>1847</v>
      </c>
      <c r="E551">
        <v>16.989999999999998</v>
      </c>
      <c r="F551" t="s">
        <v>1836</v>
      </c>
      <c r="G551" t="s">
        <v>1838</v>
      </c>
      <c r="H551" t="s">
        <v>1837</v>
      </c>
      <c r="I551" s="11">
        <v>46152</v>
      </c>
      <c r="J551" s="12">
        <v>46143</v>
      </c>
      <c r="K551" s="13">
        <f>INDEX(Assumptions!$B$4:$B$23,MATCH(F551,Assumptions!$A$4:$A$23,0))</f>
        <v>0.5780346820809249</v>
      </c>
      <c r="L551" s="14">
        <f t="shared" si="16"/>
        <v>9.8208092485549123</v>
      </c>
      <c r="M551" t="str">
        <f t="shared" si="17"/>
        <v>Yes</v>
      </c>
    </row>
    <row r="552" spans="1:13" x14ac:dyDescent="0.25">
      <c r="A552">
        <v>339087</v>
      </c>
      <c r="C552" t="s">
        <v>6221</v>
      </c>
      <c r="D552" t="s">
        <v>1850</v>
      </c>
      <c r="E552">
        <v>10.99</v>
      </c>
      <c r="F552" t="s">
        <v>1836</v>
      </c>
      <c r="G552" t="s">
        <v>1838</v>
      </c>
      <c r="H552" t="s">
        <v>1837</v>
      </c>
      <c r="I552" s="11">
        <v>46152</v>
      </c>
      <c r="J552" s="12">
        <v>46143</v>
      </c>
      <c r="K552" s="13">
        <f>INDEX(Assumptions!$B$4:$B$23,MATCH(F552,Assumptions!$A$4:$A$23,0))</f>
        <v>0.5780346820809249</v>
      </c>
      <c r="L552" s="14">
        <f t="shared" si="16"/>
        <v>6.3526011560693645</v>
      </c>
      <c r="M552" t="str">
        <f t="shared" si="17"/>
        <v>Yes</v>
      </c>
    </row>
    <row r="553" spans="1:13" x14ac:dyDescent="0.25">
      <c r="A553">
        <v>339086</v>
      </c>
      <c r="C553" t="s">
        <v>6221</v>
      </c>
      <c r="D553" t="s">
        <v>1853</v>
      </c>
      <c r="E553">
        <v>1.99</v>
      </c>
      <c r="F553" t="s">
        <v>1836</v>
      </c>
      <c r="G553" t="s">
        <v>1854</v>
      </c>
      <c r="H553" t="s">
        <v>1837</v>
      </c>
      <c r="I553" s="11">
        <v>46173</v>
      </c>
      <c r="J553" s="12">
        <v>46143</v>
      </c>
      <c r="K553" s="13">
        <f>INDEX(Assumptions!$B$4:$B$23,MATCH(F553,Assumptions!$A$4:$A$23,0))</f>
        <v>0.5780346820809249</v>
      </c>
      <c r="L553" s="14">
        <f t="shared" si="16"/>
        <v>1.1502890173410405</v>
      </c>
      <c r="M553" t="str">
        <f t="shared" si="17"/>
        <v>Yes</v>
      </c>
    </row>
    <row r="554" spans="1:13" x14ac:dyDescent="0.25">
      <c r="A554">
        <v>339085</v>
      </c>
      <c r="C554" t="s">
        <v>6221</v>
      </c>
      <c r="D554" t="s">
        <v>1857</v>
      </c>
      <c r="E554">
        <v>2.4900000000000002</v>
      </c>
      <c r="F554" t="s">
        <v>1836</v>
      </c>
      <c r="G554" t="s">
        <v>1854</v>
      </c>
      <c r="H554" t="s">
        <v>1837</v>
      </c>
      <c r="I554" s="11">
        <v>46173</v>
      </c>
      <c r="J554" s="12">
        <v>46143</v>
      </c>
      <c r="K554" s="13">
        <f>INDEX(Assumptions!$B$4:$B$23,MATCH(F554,Assumptions!$A$4:$A$23,0))</f>
        <v>0.5780346820809249</v>
      </c>
      <c r="L554" s="14">
        <f t="shared" si="16"/>
        <v>1.4393063583815031</v>
      </c>
      <c r="M554" t="str">
        <f t="shared" si="17"/>
        <v>Yes</v>
      </c>
    </row>
    <row r="555" spans="1:13" x14ac:dyDescent="0.25">
      <c r="A555">
        <v>339084</v>
      </c>
      <c r="C555" t="s">
        <v>6221</v>
      </c>
      <c r="D555" t="s">
        <v>89</v>
      </c>
      <c r="E555">
        <v>2.79</v>
      </c>
      <c r="F555" t="s">
        <v>1836</v>
      </c>
      <c r="G555" t="s">
        <v>1854</v>
      </c>
      <c r="H555" t="s">
        <v>1837</v>
      </c>
      <c r="I555" s="11">
        <v>46173</v>
      </c>
      <c r="J555" s="12">
        <v>46143</v>
      </c>
      <c r="K555" s="13">
        <f>INDEX(Assumptions!$B$4:$B$23,MATCH(F555,Assumptions!$A$4:$A$23,0))</f>
        <v>0.5780346820809249</v>
      </c>
      <c r="L555" s="14">
        <f t="shared" si="16"/>
        <v>1.6127167630057806</v>
      </c>
      <c r="M555" t="str">
        <f t="shared" si="17"/>
        <v>Yes</v>
      </c>
    </row>
    <row r="556" spans="1:13" x14ac:dyDescent="0.25">
      <c r="A556">
        <v>339083</v>
      </c>
      <c r="C556" t="s">
        <v>6221</v>
      </c>
      <c r="D556" t="s">
        <v>1860</v>
      </c>
      <c r="E556">
        <v>1.89</v>
      </c>
      <c r="F556" t="s">
        <v>1836</v>
      </c>
      <c r="G556" t="s">
        <v>1854</v>
      </c>
      <c r="H556" t="s">
        <v>1837</v>
      </c>
      <c r="I556" s="11">
        <v>46173</v>
      </c>
      <c r="J556" s="12">
        <v>46143</v>
      </c>
      <c r="K556" s="13">
        <f>INDEX(Assumptions!$B$4:$B$23,MATCH(F556,Assumptions!$A$4:$A$23,0))</f>
        <v>0.5780346820809249</v>
      </c>
      <c r="L556" s="14">
        <f t="shared" si="16"/>
        <v>1.0924855491329479</v>
      </c>
      <c r="M556" t="str">
        <f t="shared" si="17"/>
        <v>Yes</v>
      </c>
    </row>
    <row r="557" spans="1:13" x14ac:dyDescent="0.25">
      <c r="A557">
        <v>339082</v>
      </c>
      <c r="C557" t="s">
        <v>6221</v>
      </c>
      <c r="D557" t="s">
        <v>1862</v>
      </c>
      <c r="E557">
        <v>1.49</v>
      </c>
      <c r="F557" t="s">
        <v>1836</v>
      </c>
      <c r="G557" t="s">
        <v>1854</v>
      </c>
      <c r="H557" t="s">
        <v>1837</v>
      </c>
      <c r="I557" s="11">
        <v>46173</v>
      </c>
      <c r="J557" s="12">
        <v>46143</v>
      </c>
      <c r="K557" s="13">
        <f>INDEX(Assumptions!$B$4:$B$23,MATCH(F557,Assumptions!$A$4:$A$23,0))</f>
        <v>0.5780346820809249</v>
      </c>
      <c r="L557" s="14">
        <f t="shared" si="16"/>
        <v>0.8612716763005781</v>
      </c>
      <c r="M557" t="str">
        <f t="shared" si="17"/>
        <v>Yes</v>
      </c>
    </row>
    <row r="558" spans="1:13" x14ac:dyDescent="0.25">
      <c r="A558">
        <v>339081</v>
      </c>
      <c r="C558" t="s">
        <v>6221</v>
      </c>
      <c r="D558" t="s">
        <v>1844</v>
      </c>
      <c r="E558">
        <v>2.06</v>
      </c>
      <c r="F558" t="s">
        <v>1836</v>
      </c>
      <c r="G558" t="s">
        <v>1854</v>
      </c>
      <c r="H558" t="s">
        <v>1837</v>
      </c>
      <c r="I558" s="11">
        <v>46173</v>
      </c>
      <c r="J558" s="12">
        <v>46143</v>
      </c>
      <c r="K558" s="13">
        <f>INDEX(Assumptions!$B$4:$B$23,MATCH(F558,Assumptions!$A$4:$A$23,0))</f>
        <v>0.5780346820809249</v>
      </c>
      <c r="L558" s="14">
        <f t="shared" si="16"/>
        <v>1.1907514450867054</v>
      </c>
      <c r="M558" t="str">
        <f t="shared" si="17"/>
        <v>Yes</v>
      </c>
    </row>
    <row r="559" spans="1:13" x14ac:dyDescent="0.25">
      <c r="A559">
        <v>339080</v>
      </c>
      <c r="C559" t="s">
        <v>6221</v>
      </c>
      <c r="D559" t="s">
        <v>1844</v>
      </c>
      <c r="E559">
        <v>2.06</v>
      </c>
      <c r="F559" t="s">
        <v>1836</v>
      </c>
      <c r="G559" t="s">
        <v>1854</v>
      </c>
      <c r="H559" t="s">
        <v>1837</v>
      </c>
      <c r="I559" s="11">
        <v>46173</v>
      </c>
      <c r="J559" s="12">
        <v>46143</v>
      </c>
      <c r="K559" s="13">
        <f>INDEX(Assumptions!$B$4:$B$23,MATCH(F559,Assumptions!$A$4:$A$23,0))</f>
        <v>0.5780346820809249</v>
      </c>
      <c r="L559" s="14">
        <f t="shared" si="16"/>
        <v>1.1907514450867054</v>
      </c>
      <c r="M559" t="str">
        <f t="shared" si="17"/>
        <v>Yes</v>
      </c>
    </row>
    <row r="560" spans="1:13" x14ac:dyDescent="0.25">
      <c r="A560">
        <v>339079</v>
      </c>
      <c r="C560" t="s">
        <v>6221</v>
      </c>
      <c r="D560" t="s">
        <v>1844</v>
      </c>
      <c r="E560">
        <v>1.55</v>
      </c>
      <c r="F560" t="s">
        <v>1836</v>
      </c>
      <c r="G560" t="s">
        <v>1854</v>
      </c>
      <c r="H560" t="s">
        <v>1837</v>
      </c>
      <c r="I560" s="11">
        <v>46173</v>
      </c>
      <c r="J560" s="12">
        <v>46143</v>
      </c>
      <c r="K560" s="13">
        <f>INDEX(Assumptions!$B$4:$B$23,MATCH(F560,Assumptions!$A$4:$A$23,0))</f>
        <v>0.5780346820809249</v>
      </c>
      <c r="L560" s="14">
        <f t="shared" si="16"/>
        <v>0.89595375722543358</v>
      </c>
      <c r="M560" t="str">
        <f t="shared" si="17"/>
        <v>Yes</v>
      </c>
    </row>
    <row r="561" spans="1:13" x14ac:dyDescent="0.25">
      <c r="A561">
        <v>339078</v>
      </c>
      <c r="C561" t="s">
        <v>6221</v>
      </c>
      <c r="D561" t="s">
        <v>1868</v>
      </c>
      <c r="E561">
        <v>1.0900000000000001</v>
      </c>
      <c r="F561" t="s">
        <v>1836</v>
      </c>
      <c r="G561" t="s">
        <v>1854</v>
      </c>
      <c r="H561" t="s">
        <v>1837</v>
      </c>
      <c r="I561" s="11">
        <v>46173</v>
      </c>
      <c r="J561" s="12">
        <v>46143</v>
      </c>
      <c r="K561" s="13">
        <f>INDEX(Assumptions!$B$4:$B$23,MATCH(F561,Assumptions!$A$4:$A$23,0))</f>
        <v>0.5780346820809249</v>
      </c>
      <c r="L561" s="14">
        <f t="shared" si="16"/>
        <v>0.63005780346820817</v>
      </c>
      <c r="M561" t="str">
        <f t="shared" si="17"/>
        <v>Yes</v>
      </c>
    </row>
    <row r="562" spans="1:13" x14ac:dyDescent="0.25">
      <c r="A562">
        <v>339077</v>
      </c>
      <c r="C562" t="s">
        <v>6221</v>
      </c>
      <c r="D562" t="s">
        <v>1868</v>
      </c>
      <c r="E562">
        <v>1.29</v>
      </c>
      <c r="F562" t="s">
        <v>1836</v>
      </c>
      <c r="G562" t="s">
        <v>1854</v>
      </c>
      <c r="H562" t="s">
        <v>1837</v>
      </c>
      <c r="I562" s="11">
        <v>46173</v>
      </c>
      <c r="J562" s="12">
        <v>46143</v>
      </c>
      <c r="K562" s="13">
        <f>INDEX(Assumptions!$B$4:$B$23,MATCH(F562,Assumptions!$A$4:$A$23,0))</f>
        <v>0.5780346820809249</v>
      </c>
      <c r="L562" s="14">
        <f t="shared" si="16"/>
        <v>0.74566473988439319</v>
      </c>
      <c r="M562" t="str">
        <f t="shared" si="17"/>
        <v>Yes</v>
      </c>
    </row>
    <row r="563" spans="1:13" x14ac:dyDescent="0.25">
      <c r="A563">
        <v>339076</v>
      </c>
      <c r="C563" t="s">
        <v>6221</v>
      </c>
      <c r="D563" t="s">
        <v>1844</v>
      </c>
      <c r="E563">
        <v>3.79</v>
      </c>
      <c r="F563" t="s">
        <v>1836</v>
      </c>
      <c r="G563" t="s">
        <v>1854</v>
      </c>
      <c r="H563" t="s">
        <v>1837</v>
      </c>
      <c r="I563" s="11">
        <v>46173</v>
      </c>
      <c r="J563" s="12">
        <v>46143</v>
      </c>
      <c r="K563" s="13">
        <f>INDEX(Assumptions!$B$4:$B$23,MATCH(F563,Assumptions!$A$4:$A$23,0))</f>
        <v>0.5780346820809249</v>
      </c>
      <c r="L563" s="14">
        <f t="shared" si="16"/>
        <v>2.1907514450867054</v>
      </c>
      <c r="M563" t="str">
        <f t="shared" si="17"/>
        <v>Yes</v>
      </c>
    </row>
    <row r="564" spans="1:13" x14ac:dyDescent="0.25">
      <c r="A564">
        <v>339075</v>
      </c>
      <c r="C564" t="s">
        <v>6221</v>
      </c>
      <c r="D564" t="s">
        <v>1872</v>
      </c>
      <c r="E564">
        <v>11.19</v>
      </c>
      <c r="F564" t="s">
        <v>1836</v>
      </c>
      <c r="G564" t="s">
        <v>1838</v>
      </c>
      <c r="H564" t="s">
        <v>1837</v>
      </c>
      <c r="I564" s="11">
        <v>46157</v>
      </c>
      <c r="J564" s="12">
        <v>46143</v>
      </c>
      <c r="K564" s="13">
        <f>INDEX(Assumptions!$B$4:$B$23,MATCH(F564,Assumptions!$A$4:$A$23,0))</f>
        <v>0.5780346820809249</v>
      </c>
      <c r="L564" s="14">
        <f t="shared" si="16"/>
        <v>6.4682080924855496</v>
      </c>
      <c r="M564" t="str">
        <f t="shared" si="17"/>
        <v>Yes</v>
      </c>
    </row>
    <row r="565" spans="1:13" x14ac:dyDescent="0.25">
      <c r="A565">
        <v>339074</v>
      </c>
      <c r="C565" t="s">
        <v>6221</v>
      </c>
      <c r="D565" t="s">
        <v>1876</v>
      </c>
      <c r="E565">
        <v>10.99</v>
      </c>
      <c r="F565" t="s">
        <v>1836</v>
      </c>
      <c r="G565" t="s">
        <v>1838</v>
      </c>
      <c r="H565" t="s">
        <v>1837</v>
      </c>
      <c r="I565" s="11">
        <v>46157</v>
      </c>
      <c r="J565" s="12">
        <v>46143</v>
      </c>
      <c r="K565" s="13">
        <f>INDEX(Assumptions!$B$4:$B$23,MATCH(F565,Assumptions!$A$4:$A$23,0))</f>
        <v>0.5780346820809249</v>
      </c>
      <c r="L565" s="14">
        <f t="shared" si="16"/>
        <v>6.3526011560693645</v>
      </c>
      <c r="M565" t="str">
        <f t="shared" si="17"/>
        <v>Yes</v>
      </c>
    </row>
    <row r="566" spans="1:13" x14ac:dyDescent="0.25">
      <c r="A566">
        <v>339073</v>
      </c>
      <c r="C566" t="s">
        <v>6221</v>
      </c>
      <c r="D566" t="s">
        <v>1862</v>
      </c>
      <c r="E566">
        <v>2.79</v>
      </c>
      <c r="F566" t="s">
        <v>1836</v>
      </c>
      <c r="G566" t="s">
        <v>1838</v>
      </c>
      <c r="H566" t="s">
        <v>1837</v>
      </c>
      <c r="I566" s="11">
        <v>46157</v>
      </c>
      <c r="J566" s="12">
        <v>46143</v>
      </c>
      <c r="K566" s="13">
        <f>INDEX(Assumptions!$B$4:$B$23,MATCH(F566,Assumptions!$A$4:$A$23,0))</f>
        <v>0.5780346820809249</v>
      </c>
      <c r="L566" s="14">
        <f t="shared" si="16"/>
        <v>1.6127167630057806</v>
      </c>
      <c r="M566" t="str">
        <f t="shared" si="17"/>
        <v>Yes</v>
      </c>
    </row>
    <row r="567" spans="1:13" x14ac:dyDescent="0.25">
      <c r="A567">
        <v>339072</v>
      </c>
      <c r="C567" t="s">
        <v>6221</v>
      </c>
      <c r="D567" t="s">
        <v>1879</v>
      </c>
      <c r="E567">
        <v>2.4900000000000002</v>
      </c>
      <c r="F567" t="s">
        <v>1836</v>
      </c>
      <c r="G567" t="s">
        <v>1838</v>
      </c>
      <c r="H567" t="s">
        <v>1837</v>
      </c>
      <c r="I567" s="11">
        <v>46157</v>
      </c>
      <c r="J567" s="12">
        <v>46143</v>
      </c>
      <c r="K567" s="13">
        <f>INDEX(Assumptions!$B$4:$B$23,MATCH(F567,Assumptions!$A$4:$A$23,0))</f>
        <v>0.5780346820809249</v>
      </c>
      <c r="L567" s="14">
        <f t="shared" si="16"/>
        <v>1.4393063583815031</v>
      </c>
      <c r="M567" t="str">
        <f t="shared" si="17"/>
        <v>Yes</v>
      </c>
    </row>
    <row r="568" spans="1:13" x14ac:dyDescent="0.25">
      <c r="A568">
        <v>339071</v>
      </c>
      <c r="C568" t="s">
        <v>6221</v>
      </c>
      <c r="D568" t="s">
        <v>1881</v>
      </c>
      <c r="E568">
        <v>0.55000000000000004</v>
      </c>
      <c r="F568" t="s">
        <v>1836</v>
      </c>
      <c r="G568" t="s">
        <v>1838</v>
      </c>
      <c r="H568" t="s">
        <v>1837</v>
      </c>
      <c r="I568" s="11">
        <v>46157</v>
      </c>
      <c r="J568" s="12">
        <v>46143</v>
      </c>
      <c r="K568" s="13">
        <f>INDEX(Assumptions!$B$4:$B$23,MATCH(F568,Assumptions!$A$4:$A$23,0))</f>
        <v>0.5780346820809249</v>
      </c>
      <c r="L568" s="14">
        <f t="shared" si="16"/>
        <v>0.31791907514450873</v>
      </c>
      <c r="M568" t="str">
        <f t="shared" si="17"/>
        <v>Yes</v>
      </c>
    </row>
    <row r="569" spans="1:13" x14ac:dyDescent="0.25">
      <c r="A569">
        <v>339070</v>
      </c>
      <c r="C569" t="s">
        <v>6221</v>
      </c>
      <c r="D569" t="s">
        <v>1881</v>
      </c>
      <c r="E569">
        <v>0.95</v>
      </c>
      <c r="F569" t="s">
        <v>1836</v>
      </c>
      <c r="G569" t="s">
        <v>1838</v>
      </c>
      <c r="H569" t="s">
        <v>1837</v>
      </c>
      <c r="I569" s="11">
        <v>46157</v>
      </c>
      <c r="J569" s="12">
        <v>46143</v>
      </c>
      <c r="K569" s="13">
        <f>INDEX(Assumptions!$B$4:$B$23,MATCH(F569,Assumptions!$A$4:$A$23,0))</f>
        <v>0.5780346820809249</v>
      </c>
      <c r="L569" s="14">
        <f t="shared" si="16"/>
        <v>0.54913294797687862</v>
      </c>
      <c r="M569" t="str">
        <f t="shared" si="17"/>
        <v>Yes</v>
      </c>
    </row>
    <row r="570" spans="1:13" x14ac:dyDescent="0.25">
      <c r="A570">
        <v>339068</v>
      </c>
      <c r="C570" t="s">
        <v>6221</v>
      </c>
      <c r="D570" t="s">
        <v>1857</v>
      </c>
      <c r="E570">
        <v>2.89</v>
      </c>
      <c r="F570" t="s">
        <v>1836</v>
      </c>
      <c r="G570" t="s">
        <v>1838</v>
      </c>
      <c r="H570" t="s">
        <v>1837</v>
      </c>
      <c r="I570" s="11">
        <v>46157</v>
      </c>
      <c r="J570" s="12">
        <v>46143</v>
      </c>
      <c r="K570" s="13">
        <f>INDEX(Assumptions!$B$4:$B$23,MATCH(F570,Assumptions!$A$4:$A$23,0))</f>
        <v>0.5780346820809249</v>
      </c>
      <c r="L570" s="14">
        <f t="shared" si="16"/>
        <v>1.6705202312138729</v>
      </c>
      <c r="M570" t="str">
        <f t="shared" si="17"/>
        <v>Yes</v>
      </c>
    </row>
    <row r="571" spans="1:13" x14ac:dyDescent="0.25">
      <c r="A571">
        <v>339067</v>
      </c>
      <c r="C571" t="s">
        <v>6221</v>
      </c>
      <c r="D571" t="s">
        <v>1857</v>
      </c>
      <c r="E571">
        <v>1.49</v>
      </c>
      <c r="F571" t="s">
        <v>1836</v>
      </c>
      <c r="G571" t="s">
        <v>1838</v>
      </c>
      <c r="H571" t="s">
        <v>1837</v>
      </c>
      <c r="I571" s="11">
        <v>46157</v>
      </c>
      <c r="J571" s="12">
        <v>46143</v>
      </c>
      <c r="K571" s="13">
        <f>INDEX(Assumptions!$B$4:$B$23,MATCH(F571,Assumptions!$A$4:$A$23,0))</f>
        <v>0.5780346820809249</v>
      </c>
      <c r="L571" s="14">
        <f t="shared" si="16"/>
        <v>0.8612716763005781</v>
      </c>
      <c r="M571" t="str">
        <f t="shared" si="17"/>
        <v>Yes</v>
      </c>
    </row>
    <row r="572" spans="1:13" x14ac:dyDescent="0.25">
      <c r="A572">
        <v>339066</v>
      </c>
      <c r="C572" t="s">
        <v>6221</v>
      </c>
      <c r="D572" t="s">
        <v>1888</v>
      </c>
      <c r="E572">
        <v>1.19</v>
      </c>
      <c r="F572" t="s">
        <v>1836</v>
      </c>
      <c r="G572" t="s">
        <v>1854</v>
      </c>
      <c r="H572" t="s">
        <v>1837</v>
      </c>
      <c r="I572" s="11">
        <v>46173</v>
      </c>
      <c r="J572" s="12">
        <v>46143</v>
      </c>
      <c r="K572" s="13">
        <f>INDEX(Assumptions!$B$4:$B$23,MATCH(F572,Assumptions!$A$4:$A$23,0))</f>
        <v>0.5780346820809249</v>
      </c>
      <c r="L572" s="14">
        <f t="shared" si="16"/>
        <v>0.68786127167630062</v>
      </c>
      <c r="M572" t="str">
        <f t="shared" si="17"/>
        <v>Yes</v>
      </c>
    </row>
    <row r="573" spans="1:13" x14ac:dyDescent="0.25">
      <c r="A573">
        <v>339065</v>
      </c>
      <c r="C573" t="s">
        <v>6221</v>
      </c>
      <c r="D573" t="s">
        <v>1872</v>
      </c>
      <c r="E573">
        <v>3.49</v>
      </c>
      <c r="F573" t="s">
        <v>1836</v>
      </c>
      <c r="G573" t="s">
        <v>1854</v>
      </c>
      <c r="H573" t="s">
        <v>1837</v>
      </c>
      <c r="I573" s="11">
        <v>46173</v>
      </c>
      <c r="J573" s="12">
        <v>46143</v>
      </c>
      <c r="K573" s="13">
        <f>INDEX(Assumptions!$B$4:$B$23,MATCH(F573,Assumptions!$A$4:$A$23,0))</f>
        <v>0.5780346820809249</v>
      </c>
      <c r="L573" s="14">
        <f t="shared" si="16"/>
        <v>2.0173410404624281</v>
      </c>
      <c r="M573" t="str">
        <f t="shared" si="17"/>
        <v>Yes</v>
      </c>
    </row>
    <row r="574" spans="1:13" x14ac:dyDescent="0.25">
      <c r="A574">
        <v>339064</v>
      </c>
      <c r="C574" t="s">
        <v>6221</v>
      </c>
      <c r="D574" t="s">
        <v>1872</v>
      </c>
      <c r="E574">
        <v>1.99</v>
      </c>
      <c r="F574" t="s">
        <v>1836</v>
      </c>
      <c r="G574" t="s">
        <v>1854</v>
      </c>
      <c r="H574" t="s">
        <v>1837</v>
      </c>
      <c r="I574" s="11">
        <v>46173</v>
      </c>
      <c r="J574" s="12">
        <v>46143</v>
      </c>
      <c r="K574" s="13">
        <f>INDEX(Assumptions!$B$4:$B$23,MATCH(F574,Assumptions!$A$4:$A$23,0))</f>
        <v>0.5780346820809249</v>
      </c>
      <c r="L574" s="14">
        <f t="shared" si="16"/>
        <v>1.1502890173410405</v>
      </c>
      <c r="M574" t="str">
        <f t="shared" si="17"/>
        <v>Yes</v>
      </c>
    </row>
    <row r="575" spans="1:13" x14ac:dyDescent="0.25">
      <c r="A575">
        <v>339063</v>
      </c>
      <c r="C575" t="s">
        <v>6221</v>
      </c>
      <c r="D575" t="s">
        <v>1872</v>
      </c>
      <c r="E575">
        <v>1.29</v>
      </c>
      <c r="F575" t="s">
        <v>1836</v>
      </c>
      <c r="G575" t="s">
        <v>1854</v>
      </c>
      <c r="H575" t="s">
        <v>1837</v>
      </c>
      <c r="I575" s="11">
        <v>46173</v>
      </c>
      <c r="J575" s="12">
        <v>46143</v>
      </c>
      <c r="K575" s="13">
        <f>INDEX(Assumptions!$B$4:$B$23,MATCH(F575,Assumptions!$A$4:$A$23,0))</f>
        <v>0.5780346820809249</v>
      </c>
      <c r="L575" s="14">
        <f t="shared" si="16"/>
        <v>0.74566473988439319</v>
      </c>
      <c r="M575" t="str">
        <f t="shared" si="17"/>
        <v>Yes</v>
      </c>
    </row>
    <row r="576" spans="1:13" x14ac:dyDescent="0.25">
      <c r="A576">
        <v>339062</v>
      </c>
      <c r="C576" t="s">
        <v>6221</v>
      </c>
      <c r="D576" t="s">
        <v>1872</v>
      </c>
      <c r="E576">
        <v>1.99</v>
      </c>
      <c r="F576" t="s">
        <v>1836</v>
      </c>
      <c r="G576" t="s">
        <v>1854</v>
      </c>
      <c r="H576" t="s">
        <v>1837</v>
      </c>
      <c r="I576" s="11">
        <v>46173</v>
      </c>
      <c r="J576" s="12">
        <v>46143</v>
      </c>
      <c r="K576" s="13">
        <f>INDEX(Assumptions!$B$4:$B$23,MATCH(F576,Assumptions!$A$4:$A$23,0))</f>
        <v>0.5780346820809249</v>
      </c>
      <c r="L576" s="14">
        <f t="shared" si="16"/>
        <v>1.1502890173410405</v>
      </c>
      <c r="M576" t="str">
        <f t="shared" si="17"/>
        <v>Yes</v>
      </c>
    </row>
    <row r="577" spans="1:13" x14ac:dyDescent="0.25">
      <c r="A577">
        <v>339061</v>
      </c>
      <c r="C577" t="s">
        <v>6221</v>
      </c>
      <c r="D577" t="s">
        <v>1895</v>
      </c>
      <c r="E577">
        <v>0.99</v>
      </c>
      <c r="F577" t="s">
        <v>1836</v>
      </c>
      <c r="G577" t="s">
        <v>1854</v>
      </c>
      <c r="H577" t="s">
        <v>1837</v>
      </c>
      <c r="I577" s="11">
        <v>46173</v>
      </c>
      <c r="J577" s="12">
        <v>46143</v>
      </c>
      <c r="K577" s="13">
        <f>INDEX(Assumptions!$B$4:$B$23,MATCH(F577,Assumptions!$A$4:$A$23,0))</f>
        <v>0.5780346820809249</v>
      </c>
      <c r="L577" s="14">
        <f t="shared" si="16"/>
        <v>0.5722543352601156</v>
      </c>
      <c r="M577" t="str">
        <f t="shared" si="17"/>
        <v>Yes</v>
      </c>
    </row>
    <row r="578" spans="1:13" x14ac:dyDescent="0.25">
      <c r="A578">
        <v>339060</v>
      </c>
      <c r="C578" t="s">
        <v>6221</v>
      </c>
      <c r="D578" t="s">
        <v>1895</v>
      </c>
      <c r="E578">
        <v>1.99</v>
      </c>
      <c r="F578" t="s">
        <v>1836</v>
      </c>
      <c r="G578" t="s">
        <v>1854</v>
      </c>
      <c r="H578" t="s">
        <v>1837</v>
      </c>
      <c r="I578" s="11">
        <v>46173</v>
      </c>
      <c r="J578" s="12">
        <v>46143</v>
      </c>
      <c r="K578" s="13">
        <f>INDEX(Assumptions!$B$4:$B$23,MATCH(F578,Assumptions!$A$4:$A$23,0))</f>
        <v>0.5780346820809249</v>
      </c>
      <c r="L578" s="14">
        <f t="shared" ref="L578:L641" si="18">E578*K578</f>
        <v>1.1502890173410405</v>
      </c>
      <c r="M578" t="str">
        <f t="shared" ref="M578:M641" si="19">IF(C578="Unnamed product","Yes","No")</f>
        <v>Yes</v>
      </c>
    </row>
    <row r="579" spans="1:13" x14ac:dyDescent="0.25">
      <c r="A579">
        <v>339059</v>
      </c>
      <c r="C579" t="s">
        <v>6221</v>
      </c>
      <c r="D579" t="s">
        <v>1850</v>
      </c>
      <c r="E579">
        <v>2.99</v>
      </c>
      <c r="F579" t="s">
        <v>1836</v>
      </c>
      <c r="G579" t="s">
        <v>1854</v>
      </c>
      <c r="H579" t="s">
        <v>1837</v>
      </c>
      <c r="I579" s="11">
        <v>46145</v>
      </c>
      <c r="J579" s="12">
        <v>46143</v>
      </c>
      <c r="K579" s="13">
        <f>INDEX(Assumptions!$B$4:$B$23,MATCH(F579,Assumptions!$A$4:$A$23,0))</f>
        <v>0.5780346820809249</v>
      </c>
      <c r="L579" s="14">
        <f t="shared" si="18"/>
        <v>1.7283236994219655</v>
      </c>
      <c r="M579" t="str">
        <f t="shared" si="19"/>
        <v>Yes</v>
      </c>
    </row>
    <row r="580" spans="1:13" x14ac:dyDescent="0.25">
      <c r="A580">
        <v>339058</v>
      </c>
      <c r="C580" t="s">
        <v>6221</v>
      </c>
      <c r="D580" t="s">
        <v>1857</v>
      </c>
      <c r="E580">
        <v>0.95</v>
      </c>
      <c r="F580" t="s">
        <v>1836</v>
      </c>
      <c r="G580" t="s">
        <v>1838</v>
      </c>
      <c r="H580" t="s">
        <v>1837</v>
      </c>
      <c r="I580" s="11">
        <v>46158</v>
      </c>
      <c r="J580" s="12">
        <v>46143</v>
      </c>
      <c r="K580" s="13">
        <f>INDEX(Assumptions!$B$4:$B$23,MATCH(F580,Assumptions!$A$4:$A$23,0))</f>
        <v>0.5780346820809249</v>
      </c>
      <c r="L580" s="14">
        <f t="shared" si="18"/>
        <v>0.54913294797687862</v>
      </c>
      <c r="M580" t="str">
        <f t="shared" si="19"/>
        <v>Yes</v>
      </c>
    </row>
    <row r="581" spans="1:13" x14ac:dyDescent="0.25">
      <c r="A581">
        <v>339057</v>
      </c>
      <c r="C581" t="s">
        <v>6221</v>
      </c>
      <c r="D581" t="s">
        <v>1902</v>
      </c>
      <c r="E581">
        <v>1.25</v>
      </c>
      <c r="F581" t="s">
        <v>1836</v>
      </c>
      <c r="G581" t="s">
        <v>1838</v>
      </c>
      <c r="H581" t="s">
        <v>1837</v>
      </c>
      <c r="I581" s="11">
        <v>46158</v>
      </c>
      <c r="J581" s="12">
        <v>46143</v>
      </c>
      <c r="K581" s="13">
        <f>INDEX(Assumptions!$B$4:$B$23,MATCH(F581,Assumptions!$A$4:$A$23,0))</f>
        <v>0.5780346820809249</v>
      </c>
      <c r="L581" s="14">
        <f t="shared" si="18"/>
        <v>0.7225433526011561</v>
      </c>
      <c r="M581" t="str">
        <f t="shared" si="19"/>
        <v>Yes</v>
      </c>
    </row>
    <row r="582" spans="1:13" x14ac:dyDescent="0.25">
      <c r="A582">
        <v>339056</v>
      </c>
      <c r="C582" t="s">
        <v>6221</v>
      </c>
      <c r="D582" t="s">
        <v>1902</v>
      </c>
      <c r="E582">
        <v>1.1499999999999999</v>
      </c>
      <c r="F582" t="s">
        <v>1836</v>
      </c>
      <c r="G582" t="s">
        <v>1838</v>
      </c>
      <c r="H582" t="s">
        <v>1837</v>
      </c>
      <c r="I582" s="11">
        <v>46158</v>
      </c>
      <c r="J582" s="12">
        <v>46143</v>
      </c>
      <c r="K582" s="13">
        <f>INDEX(Assumptions!$B$4:$B$23,MATCH(F582,Assumptions!$A$4:$A$23,0))</f>
        <v>0.5780346820809249</v>
      </c>
      <c r="L582" s="14">
        <f t="shared" si="18"/>
        <v>0.66473988439306353</v>
      </c>
      <c r="M582" t="str">
        <f t="shared" si="19"/>
        <v>Yes</v>
      </c>
    </row>
    <row r="583" spans="1:13" x14ac:dyDescent="0.25">
      <c r="A583">
        <v>339055</v>
      </c>
      <c r="C583" t="s">
        <v>6221</v>
      </c>
      <c r="D583" t="s">
        <v>1905</v>
      </c>
      <c r="E583">
        <v>10.99</v>
      </c>
      <c r="F583" t="s">
        <v>1836</v>
      </c>
      <c r="G583" t="s">
        <v>1838</v>
      </c>
      <c r="H583" t="s">
        <v>1837</v>
      </c>
      <c r="I583" s="11">
        <v>46158</v>
      </c>
      <c r="J583" s="12">
        <v>46143</v>
      </c>
      <c r="K583" s="13">
        <f>INDEX(Assumptions!$B$4:$B$23,MATCH(F583,Assumptions!$A$4:$A$23,0))</f>
        <v>0.5780346820809249</v>
      </c>
      <c r="L583" s="14">
        <f t="shared" si="18"/>
        <v>6.3526011560693645</v>
      </c>
      <c r="M583" t="str">
        <f t="shared" si="19"/>
        <v>Yes</v>
      </c>
    </row>
    <row r="584" spans="1:13" x14ac:dyDescent="0.25">
      <c r="A584">
        <v>339054</v>
      </c>
      <c r="C584" t="s">
        <v>6221</v>
      </c>
      <c r="D584" t="s">
        <v>1907</v>
      </c>
      <c r="E584">
        <v>1.99</v>
      </c>
      <c r="F584" t="s">
        <v>1836</v>
      </c>
      <c r="G584" t="s">
        <v>1908</v>
      </c>
      <c r="H584" t="s">
        <v>1837</v>
      </c>
      <c r="I584" s="11">
        <v>46177</v>
      </c>
      <c r="J584" s="12">
        <v>46174</v>
      </c>
      <c r="K584" s="13">
        <f>INDEX(Assumptions!$B$4:$B$23,MATCH(F584,Assumptions!$A$4:$A$23,0))</f>
        <v>0.5780346820809249</v>
      </c>
      <c r="L584" s="14">
        <f t="shared" si="18"/>
        <v>1.1502890173410405</v>
      </c>
      <c r="M584" t="str">
        <f t="shared" si="19"/>
        <v>Yes</v>
      </c>
    </row>
    <row r="585" spans="1:13" x14ac:dyDescent="0.25">
      <c r="A585">
        <v>339053</v>
      </c>
      <c r="C585" t="s">
        <v>6221</v>
      </c>
      <c r="D585" t="s">
        <v>1911</v>
      </c>
      <c r="E585">
        <v>1.25</v>
      </c>
      <c r="F585" t="s">
        <v>1836</v>
      </c>
      <c r="G585" t="s">
        <v>1908</v>
      </c>
      <c r="H585" t="s">
        <v>1837</v>
      </c>
      <c r="I585" s="11">
        <v>46177</v>
      </c>
      <c r="J585" s="12">
        <v>46174</v>
      </c>
      <c r="K585" s="13">
        <f>INDEX(Assumptions!$B$4:$B$23,MATCH(F585,Assumptions!$A$4:$A$23,0))</f>
        <v>0.5780346820809249</v>
      </c>
      <c r="L585" s="14">
        <f t="shared" si="18"/>
        <v>0.7225433526011561</v>
      </c>
      <c r="M585" t="str">
        <f t="shared" si="19"/>
        <v>Yes</v>
      </c>
    </row>
    <row r="586" spans="1:13" x14ac:dyDescent="0.25">
      <c r="A586">
        <v>339052</v>
      </c>
      <c r="C586" t="s">
        <v>6221</v>
      </c>
      <c r="D586" t="s">
        <v>1913</v>
      </c>
      <c r="E586">
        <v>4.96</v>
      </c>
      <c r="F586" t="s">
        <v>1836</v>
      </c>
      <c r="G586" t="s">
        <v>1854</v>
      </c>
      <c r="H586" t="s">
        <v>1837</v>
      </c>
      <c r="I586" s="11">
        <v>46173</v>
      </c>
      <c r="J586" s="12">
        <v>46143</v>
      </c>
      <c r="K586" s="13">
        <f>INDEX(Assumptions!$B$4:$B$23,MATCH(F586,Assumptions!$A$4:$A$23,0))</f>
        <v>0.5780346820809249</v>
      </c>
      <c r="L586" s="14">
        <f t="shared" si="18"/>
        <v>2.8670520231213876</v>
      </c>
      <c r="M586" t="str">
        <f t="shared" si="19"/>
        <v>Yes</v>
      </c>
    </row>
    <row r="587" spans="1:13" x14ac:dyDescent="0.25">
      <c r="A587">
        <v>339051</v>
      </c>
      <c r="C587" t="s">
        <v>6221</v>
      </c>
      <c r="D587" t="s">
        <v>1916</v>
      </c>
      <c r="E587">
        <v>8.49</v>
      </c>
      <c r="F587" t="s">
        <v>1836</v>
      </c>
      <c r="G587" t="s">
        <v>1854</v>
      </c>
      <c r="H587" t="s">
        <v>1837</v>
      </c>
      <c r="I587" s="11">
        <v>46173</v>
      </c>
      <c r="J587" s="12">
        <v>46143</v>
      </c>
      <c r="K587" s="13">
        <f>INDEX(Assumptions!$B$4:$B$23,MATCH(F587,Assumptions!$A$4:$A$23,0))</f>
        <v>0.5780346820809249</v>
      </c>
      <c r="L587" s="14">
        <f t="shared" si="18"/>
        <v>4.907514450867053</v>
      </c>
      <c r="M587" t="str">
        <f t="shared" si="19"/>
        <v>Yes</v>
      </c>
    </row>
    <row r="588" spans="1:13" x14ac:dyDescent="0.25">
      <c r="A588">
        <v>339050</v>
      </c>
      <c r="C588" t="s">
        <v>6221</v>
      </c>
      <c r="D588" t="s">
        <v>1919</v>
      </c>
      <c r="E588">
        <v>8.49</v>
      </c>
      <c r="F588" t="s">
        <v>1836</v>
      </c>
      <c r="G588" t="s">
        <v>1908</v>
      </c>
      <c r="H588" t="s">
        <v>1837</v>
      </c>
      <c r="I588" s="11">
        <v>46173</v>
      </c>
      <c r="J588" s="12">
        <v>46143</v>
      </c>
      <c r="K588" s="13">
        <f>INDEX(Assumptions!$B$4:$B$23,MATCH(F588,Assumptions!$A$4:$A$23,0))</f>
        <v>0.5780346820809249</v>
      </c>
      <c r="L588" s="14">
        <f t="shared" si="18"/>
        <v>4.907514450867053</v>
      </c>
      <c r="M588" t="str">
        <f t="shared" si="19"/>
        <v>Yes</v>
      </c>
    </row>
    <row r="589" spans="1:13" x14ac:dyDescent="0.25">
      <c r="A589">
        <v>339049</v>
      </c>
      <c r="C589" t="s">
        <v>6221</v>
      </c>
      <c r="D589" t="s">
        <v>1905</v>
      </c>
      <c r="E589">
        <v>10.95</v>
      </c>
      <c r="F589" t="s">
        <v>1836</v>
      </c>
      <c r="G589" t="s">
        <v>1908</v>
      </c>
      <c r="H589" t="s">
        <v>1837</v>
      </c>
      <c r="I589" s="11">
        <v>46173</v>
      </c>
      <c r="J589" s="12">
        <v>46143</v>
      </c>
      <c r="K589" s="13">
        <f>INDEX(Assumptions!$B$4:$B$23,MATCH(F589,Assumptions!$A$4:$A$23,0))</f>
        <v>0.5780346820809249</v>
      </c>
      <c r="L589" s="14">
        <f t="shared" si="18"/>
        <v>6.3294797687861273</v>
      </c>
      <c r="M589" t="str">
        <f t="shared" si="19"/>
        <v>Yes</v>
      </c>
    </row>
    <row r="590" spans="1:13" x14ac:dyDescent="0.25">
      <c r="A590">
        <v>339048</v>
      </c>
      <c r="B590" t="s">
        <v>1923</v>
      </c>
      <c r="C590" t="s">
        <v>1924</v>
      </c>
      <c r="D590" t="s">
        <v>6220</v>
      </c>
      <c r="E590">
        <v>33.9</v>
      </c>
      <c r="F590" t="s">
        <v>1681</v>
      </c>
      <c r="G590" t="s">
        <v>1683</v>
      </c>
      <c r="H590" t="s">
        <v>1682</v>
      </c>
      <c r="I590" s="11">
        <v>46297</v>
      </c>
      <c r="J590" s="12">
        <v>46296</v>
      </c>
      <c r="K590" s="13">
        <f>INDEX(Assumptions!$B$4:$B$23,MATCH(F590,Assumptions!$A$4:$A$23,0))</f>
        <v>0.10101010101010099</v>
      </c>
      <c r="L590" s="14">
        <f t="shared" si="18"/>
        <v>3.4242424242424234</v>
      </c>
      <c r="M590" t="str">
        <f t="shared" si="19"/>
        <v>No</v>
      </c>
    </row>
    <row r="591" spans="1:13" x14ac:dyDescent="0.25">
      <c r="A591">
        <v>339046</v>
      </c>
      <c r="B591" t="s">
        <v>1927</v>
      </c>
      <c r="C591" t="s">
        <v>1928</v>
      </c>
      <c r="D591" t="s">
        <v>6220</v>
      </c>
      <c r="E591">
        <v>29.9</v>
      </c>
      <c r="F591" t="s">
        <v>1681</v>
      </c>
      <c r="G591" t="s">
        <v>1683</v>
      </c>
      <c r="H591" t="s">
        <v>1682</v>
      </c>
      <c r="I591" s="11">
        <v>46297</v>
      </c>
      <c r="J591" s="12">
        <v>46296</v>
      </c>
      <c r="K591" s="13">
        <f>INDEX(Assumptions!$B$4:$B$23,MATCH(F591,Assumptions!$A$4:$A$23,0))</f>
        <v>0.10101010101010099</v>
      </c>
      <c r="L591" s="14">
        <f t="shared" si="18"/>
        <v>3.0202020202020194</v>
      </c>
      <c r="M591" t="str">
        <f t="shared" si="19"/>
        <v>No</v>
      </c>
    </row>
    <row r="592" spans="1:13" x14ac:dyDescent="0.25">
      <c r="A592">
        <v>339047</v>
      </c>
      <c r="B592" t="s">
        <v>1931</v>
      </c>
      <c r="C592" t="s">
        <v>1932</v>
      </c>
      <c r="D592" t="s">
        <v>6220</v>
      </c>
      <c r="E592">
        <v>24.9</v>
      </c>
      <c r="F592" t="s">
        <v>1681</v>
      </c>
      <c r="G592" t="s">
        <v>1683</v>
      </c>
      <c r="H592" t="s">
        <v>1682</v>
      </c>
      <c r="I592" s="11">
        <v>46297</v>
      </c>
      <c r="J592" s="12">
        <v>46296</v>
      </c>
      <c r="K592" s="13">
        <f>INDEX(Assumptions!$B$4:$B$23,MATCH(F592,Assumptions!$A$4:$A$23,0))</f>
        <v>0.10101010101010099</v>
      </c>
      <c r="L592" s="14">
        <f t="shared" si="18"/>
        <v>2.5151515151515147</v>
      </c>
      <c r="M592" t="str">
        <f t="shared" si="19"/>
        <v>No</v>
      </c>
    </row>
    <row r="593" spans="1:13" x14ac:dyDescent="0.25">
      <c r="A593">
        <v>339045</v>
      </c>
      <c r="B593" t="s">
        <v>1934</v>
      </c>
      <c r="C593" t="s">
        <v>1935</v>
      </c>
      <c r="D593" t="s">
        <v>6220</v>
      </c>
      <c r="E593">
        <v>69.900000000000006</v>
      </c>
      <c r="F593" t="s">
        <v>1681</v>
      </c>
      <c r="G593" t="s">
        <v>1683</v>
      </c>
      <c r="H593" t="s">
        <v>1682</v>
      </c>
      <c r="I593" s="11">
        <v>46297</v>
      </c>
      <c r="J593" s="12">
        <v>46296</v>
      </c>
      <c r="K593" s="13">
        <f>INDEX(Assumptions!$B$4:$B$23,MATCH(F593,Assumptions!$A$4:$A$23,0))</f>
        <v>0.10101010101010099</v>
      </c>
      <c r="L593" s="14">
        <f t="shared" si="18"/>
        <v>7.0606060606060597</v>
      </c>
      <c r="M593" t="str">
        <f t="shared" si="19"/>
        <v>No</v>
      </c>
    </row>
    <row r="594" spans="1:13" x14ac:dyDescent="0.25">
      <c r="A594">
        <v>339044</v>
      </c>
      <c r="C594" t="s">
        <v>6221</v>
      </c>
      <c r="D594" t="s">
        <v>1857</v>
      </c>
      <c r="E594">
        <v>0.95</v>
      </c>
      <c r="F594" t="s">
        <v>1836</v>
      </c>
      <c r="G594" t="s">
        <v>1838</v>
      </c>
      <c r="H594" t="s">
        <v>1837</v>
      </c>
      <c r="I594" s="11">
        <v>46087</v>
      </c>
      <c r="J594" s="12">
        <v>46082</v>
      </c>
      <c r="K594" s="13">
        <f>INDEX(Assumptions!$B$4:$B$23,MATCH(F594,Assumptions!$A$4:$A$23,0))</f>
        <v>0.5780346820809249</v>
      </c>
      <c r="L594" s="14">
        <f t="shared" si="18"/>
        <v>0.54913294797687862</v>
      </c>
      <c r="M594" t="str">
        <f t="shared" si="19"/>
        <v>Yes</v>
      </c>
    </row>
    <row r="595" spans="1:13" x14ac:dyDescent="0.25">
      <c r="A595">
        <v>339043</v>
      </c>
      <c r="C595" t="s">
        <v>6221</v>
      </c>
      <c r="D595" t="s">
        <v>1911</v>
      </c>
      <c r="E595">
        <v>5</v>
      </c>
      <c r="F595" t="s">
        <v>1836</v>
      </c>
      <c r="G595" t="s">
        <v>1838</v>
      </c>
      <c r="H595" t="s">
        <v>1837</v>
      </c>
      <c r="I595" s="11">
        <v>46087</v>
      </c>
      <c r="J595" s="12">
        <v>46082</v>
      </c>
      <c r="K595" s="13">
        <f>INDEX(Assumptions!$B$4:$B$23,MATCH(F595,Assumptions!$A$4:$A$23,0))</f>
        <v>0.5780346820809249</v>
      </c>
      <c r="L595" s="14">
        <f t="shared" si="18"/>
        <v>2.8901734104046244</v>
      </c>
      <c r="M595" t="str">
        <f t="shared" si="19"/>
        <v>Yes</v>
      </c>
    </row>
    <row r="596" spans="1:13" x14ac:dyDescent="0.25">
      <c r="A596">
        <v>339042</v>
      </c>
      <c r="C596" t="s">
        <v>6221</v>
      </c>
      <c r="D596" t="s">
        <v>1916</v>
      </c>
      <c r="E596">
        <v>8.49</v>
      </c>
      <c r="F596" t="s">
        <v>1836</v>
      </c>
      <c r="G596" t="s">
        <v>1854</v>
      </c>
      <c r="H596" t="s">
        <v>1837</v>
      </c>
      <c r="I596" s="11">
        <v>46162</v>
      </c>
      <c r="J596" s="12">
        <v>46143</v>
      </c>
      <c r="K596" s="13">
        <f>INDEX(Assumptions!$B$4:$B$23,MATCH(F596,Assumptions!$A$4:$A$23,0))</f>
        <v>0.5780346820809249</v>
      </c>
      <c r="L596" s="14">
        <f t="shared" si="18"/>
        <v>4.907514450867053</v>
      </c>
      <c r="M596" t="str">
        <f t="shared" si="19"/>
        <v>Yes</v>
      </c>
    </row>
    <row r="597" spans="1:13" x14ac:dyDescent="0.25">
      <c r="A597">
        <v>339041</v>
      </c>
      <c r="C597" t="s">
        <v>6221</v>
      </c>
      <c r="D597" t="s">
        <v>1944</v>
      </c>
      <c r="E597">
        <v>1.79</v>
      </c>
      <c r="F597" t="s">
        <v>1836</v>
      </c>
      <c r="G597" t="s">
        <v>1908</v>
      </c>
      <c r="H597" t="s">
        <v>1837</v>
      </c>
      <c r="I597" s="11">
        <v>46101</v>
      </c>
      <c r="J597" s="12">
        <v>46082</v>
      </c>
      <c r="K597" s="13">
        <f>INDEX(Assumptions!$B$4:$B$23,MATCH(F597,Assumptions!$A$4:$A$23,0))</f>
        <v>0.5780346820809249</v>
      </c>
      <c r="L597" s="14">
        <f t="shared" si="18"/>
        <v>1.0346820809248556</v>
      </c>
      <c r="M597" t="str">
        <f t="shared" si="19"/>
        <v>Yes</v>
      </c>
    </row>
    <row r="598" spans="1:13" x14ac:dyDescent="0.25">
      <c r="A598">
        <v>339040</v>
      </c>
      <c r="C598" t="s">
        <v>6221</v>
      </c>
      <c r="D598" t="s">
        <v>1916</v>
      </c>
      <c r="E598">
        <v>8.5</v>
      </c>
      <c r="F598" t="s">
        <v>1836</v>
      </c>
      <c r="G598" t="s">
        <v>1838</v>
      </c>
      <c r="H598" t="s">
        <v>1837</v>
      </c>
      <c r="I598" s="11">
        <v>46127</v>
      </c>
      <c r="J598" s="12">
        <v>46113</v>
      </c>
      <c r="K598" s="13">
        <f>INDEX(Assumptions!$B$4:$B$23,MATCH(F598,Assumptions!$A$4:$A$23,0))</f>
        <v>0.5780346820809249</v>
      </c>
      <c r="L598" s="14">
        <f t="shared" si="18"/>
        <v>4.913294797687862</v>
      </c>
      <c r="M598" t="str">
        <f t="shared" si="19"/>
        <v>Yes</v>
      </c>
    </row>
    <row r="599" spans="1:13" x14ac:dyDescent="0.25">
      <c r="A599">
        <v>339037</v>
      </c>
      <c r="C599" t="s">
        <v>6221</v>
      </c>
      <c r="D599" t="s">
        <v>1950</v>
      </c>
      <c r="E599">
        <v>3.49</v>
      </c>
      <c r="F599" t="s">
        <v>1836</v>
      </c>
      <c r="G599" t="s">
        <v>1838</v>
      </c>
      <c r="H599" t="s">
        <v>1837</v>
      </c>
      <c r="I599" s="11">
        <v>46127</v>
      </c>
      <c r="J599" s="12">
        <v>46113</v>
      </c>
      <c r="K599" s="13">
        <f>INDEX(Assumptions!$B$4:$B$23,MATCH(F599,Assumptions!$A$4:$A$23,0))</f>
        <v>0.5780346820809249</v>
      </c>
      <c r="L599" s="14">
        <f t="shared" si="18"/>
        <v>2.0173410404624281</v>
      </c>
      <c r="M599" t="str">
        <f t="shared" si="19"/>
        <v>Yes</v>
      </c>
    </row>
    <row r="600" spans="1:13" x14ac:dyDescent="0.25">
      <c r="A600">
        <v>339036</v>
      </c>
      <c r="C600" t="s">
        <v>6221</v>
      </c>
      <c r="D600" t="s">
        <v>1952</v>
      </c>
      <c r="E600">
        <v>2.4900000000000002</v>
      </c>
      <c r="F600" t="s">
        <v>1836</v>
      </c>
      <c r="G600" t="s">
        <v>1838</v>
      </c>
      <c r="H600" t="s">
        <v>1837</v>
      </c>
      <c r="I600" s="11">
        <v>46127</v>
      </c>
      <c r="J600" s="12">
        <v>46113</v>
      </c>
      <c r="K600" s="13">
        <f>INDEX(Assumptions!$B$4:$B$23,MATCH(F600,Assumptions!$A$4:$A$23,0))</f>
        <v>0.5780346820809249</v>
      </c>
      <c r="L600" s="14">
        <f t="shared" si="18"/>
        <v>1.4393063583815031</v>
      </c>
      <c r="M600" t="str">
        <f t="shared" si="19"/>
        <v>Yes</v>
      </c>
    </row>
    <row r="601" spans="1:13" x14ac:dyDescent="0.25">
      <c r="A601">
        <v>339035</v>
      </c>
      <c r="C601" t="s">
        <v>6221</v>
      </c>
      <c r="D601" t="s">
        <v>1902</v>
      </c>
      <c r="E601">
        <v>1.69</v>
      </c>
      <c r="F601" t="s">
        <v>1836</v>
      </c>
      <c r="G601" t="s">
        <v>1908</v>
      </c>
      <c r="H601" t="s">
        <v>1837</v>
      </c>
      <c r="I601" s="11">
        <v>46178</v>
      </c>
      <c r="J601" s="12">
        <v>46174</v>
      </c>
      <c r="K601" s="13">
        <f>INDEX(Assumptions!$B$4:$B$23,MATCH(F601,Assumptions!$A$4:$A$23,0))</f>
        <v>0.5780346820809249</v>
      </c>
      <c r="L601" s="14">
        <f t="shared" si="18"/>
        <v>0.97687861271676302</v>
      </c>
      <c r="M601" t="str">
        <f t="shared" si="19"/>
        <v>Yes</v>
      </c>
    </row>
    <row r="602" spans="1:13" x14ac:dyDescent="0.25">
      <c r="A602">
        <v>339034</v>
      </c>
      <c r="C602" t="s">
        <v>6221</v>
      </c>
      <c r="D602" t="s">
        <v>1857</v>
      </c>
      <c r="E602">
        <v>0.69</v>
      </c>
      <c r="F602" t="s">
        <v>1836</v>
      </c>
      <c r="G602" t="s">
        <v>1838</v>
      </c>
      <c r="H602" t="s">
        <v>1837</v>
      </c>
      <c r="I602" s="11">
        <v>46094</v>
      </c>
      <c r="J602" s="12">
        <v>46082</v>
      </c>
      <c r="K602" s="13">
        <f>INDEX(Assumptions!$B$4:$B$23,MATCH(F602,Assumptions!$A$4:$A$23,0))</f>
        <v>0.5780346820809249</v>
      </c>
      <c r="L602" s="14">
        <f t="shared" si="18"/>
        <v>0.39884393063583817</v>
      </c>
      <c r="M602" t="str">
        <f t="shared" si="19"/>
        <v>Yes</v>
      </c>
    </row>
    <row r="603" spans="1:13" x14ac:dyDescent="0.25">
      <c r="A603">
        <v>339033</v>
      </c>
      <c r="C603" t="s">
        <v>6221</v>
      </c>
      <c r="D603" t="s">
        <v>1902</v>
      </c>
      <c r="E603">
        <v>1.79</v>
      </c>
      <c r="F603" t="s">
        <v>1836</v>
      </c>
      <c r="G603" t="s">
        <v>1838</v>
      </c>
      <c r="H603" t="s">
        <v>1837</v>
      </c>
      <c r="I603" s="11">
        <v>46094</v>
      </c>
      <c r="J603" s="12">
        <v>46082</v>
      </c>
      <c r="K603" s="13">
        <f>INDEX(Assumptions!$B$4:$B$23,MATCH(F603,Assumptions!$A$4:$A$23,0))</f>
        <v>0.5780346820809249</v>
      </c>
      <c r="L603" s="14">
        <f t="shared" si="18"/>
        <v>1.0346820809248556</v>
      </c>
      <c r="M603" t="str">
        <f t="shared" si="19"/>
        <v>Yes</v>
      </c>
    </row>
    <row r="604" spans="1:13" x14ac:dyDescent="0.25">
      <c r="A604">
        <v>339032</v>
      </c>
      <c r="C604" t="s">
        <v>6221</v>
      </c>
      <c r="D604" t="s">
        <v>1960</v>
      </c>
      <c r="E604">
        <v>1.49</v>
      </c>
      <c r="F604" t="s">
        <v>1836</v>
      </c>
      <c r="G604" t="s">
        <v>1838</v>
      </c>
      <c r="H604" t="s">
        <v>1837</v>
      </c>
      <c r="I604" s="11">
        <v>46094</v>
      </c>
      <c r="J604" s="12">
        <v>46082</v>
      </c>
      <c r="K604" s="13">
        <f>INDEX(Assumptions!$B$4:$B$23,MATCH(F604,Assumptions!$A$4:$A$23,0))</f>
        <v>0.5780346820809249</v>
      </c>
      <c r="L604" s="14">
        <f t="shared" si="18"/>
        <v>0.8612716763005781</v>
      </c>
      <c r="M604" t="str">
        <f t="shared" si="19"/>
        <v>Yes</v>
      </c>
    </row>
    <row r="605" spans="1:13" x14ac:dyDescent="0.25">
      <c r="A605">
        <v>339031</v>
      </c>
      <c r="C605" t="s">
        <v>6221</v>
      </c>
      <c r="D605" t="s">
        <v>1962</v>
      </c>
      <c r="E605">
        <v>3.99</v>
      </c>
      <c r="F605" t="s">
        <v>1836</v>
      </c>
      <c r="G605" t="s">
        <v>1908</v>
      </c>
      <c r="H605" t="s">
        <v>1837</v>
      </c>
      <c r="I605" s="11">
        <v>46090</v>
      </c>
      <c r="J605" s="12">
        <v>46082</v>
      </c>
      <c r="K605" s="13">
        <f>INDEX(Assumptions!$B$4:$B$23,MATCH(F605,Assumptions!$A$4:$A$23,0))</f>
        <v>0.5780346820809249</v>
      </c>
      <c r="L605" s="14">
        <f t="shared" si="18"/>
        <v>2.3063583815028905</v>
      </c>
      <c r="M605" t="str">
        <f t="shared" si="19"/>
        <v>Yes</v>
      </c>
    </row>
    <row r="606" spans="1:13" x14ac:dyDescent="0.25">
      <c r="A606">
        <v>339029</v>
      </c>
      <c r="C606" t="s">
        <v>6221</v>
      </c>
      <c r="D606" t="s">
        <v>1965</v>
      </c>
      <c r="E606">
        <v>1.99</v>
      </c>
      <c r="F606" t="s">
        <v>1836</v>
      </c>
      <c r="G606" t="s">
        <v>1908</v>
      </c>
      <c r="H606" t="s">
        <v>1837</v>
      </c>
      <c r="I606" s="11">
        <v>46093</v>
      </c>
      <c r="J606" s="12">
        <v>46082</v>
      </c>
      <c r="K606" s="13">
        <f>INDEX(Assumptions!$B$4:$B$23,MATCH(F606,Assumptions!$A$4:$A$23,0))</f>
        <v>0.5780346820809249</v>
      </c>
      <c r="L606" s="14">
        <f t="shared" si="18"/>
        <v>1.1502890173410405</v>
      </c>
      <c r="M606" t="str">
        <f t="shared" si="19"/>
        <v>Yes</v>
      </c>
    </row>
    <row r="607" spans="1:13" x14ac:dyDescent="0.25">
      <c r="A607">
        <v>339028</v>
      </c>
      <c r="C607" t="s">
        <v>6221</v>
      </c>
      <c r="D607" t="s">
        <v>1965</v>
      </c>
      <c r="E607">
        <v>2.65</v>
      </c>
      <c r="F607" t="s">
        <v>1836</v>
      </c>
      <c r="G607" t="s">
        <v>1908</v>
      </c>
      <c r="H607" t="s">
        <v>1837</v>
      </c>
      <c r="I607" s="11">
        <v>46176</v>
      </c>
      <c r="J607" s="12">
        <v>46174</v>
      </c>
      <c r="K607" s="13">
        <f>INDEX(Assumptions!$B$4:$B$23,MATCH(F607,Assumptions!$A$4:$A$23,0))</f>
        <v>0.5780346820809249</v>
      </c>
      <c r="L607" s="14">
        <f t="shared" si="18"/>
        <v>1.5317919075144508</v>
      </c>
      <c r="M607" t="str">
        <f t="shared" si="19"/>
        <v>Yes</v>
      </c>
    </row>
    <row r="608" spans="1:13" x14ac:dyDescent="0.25">
      <c r="A608">
        <v>339027</v>
      </c>
      <c r="C608" t="s">
        <v>6221</v>
      </c>
      <c r="D608" t="s">
        <v>89</v>
      </c>
      <c r="E608">
        <v>2.4900000000000002</v>
      </c>
      <c r="F608" t="s">
        <v>1836</v>
      </c>
      <c r="G608" t="s">
        <v>1908</v>
      </c>
      <c r="H608" t="s">
        <v>1837</v>
      </c>
      <c r="I608" s="11">
        <v>46176</v>
      </c>
      <c r="J608" s="12">
        <v>46174</v>
      </c>
      <c r="K608" s="13">
        <f>INDEX(Assumptions!$B$4:$B$23,MATCH(F608,Assumptions!$A$4:$A$23,0))</f>
        <v>0.5780346820809249</v>
      </c>
      <c r="L608" s="14">
        <f t="shared" si="18"/>
        <v>1.4393063583815031</v>
      </c>
      <c r="M608" t="str">
        <f t="shared" si="19"/>
        <v>Yes</v>
      </c>
    </row>
    <row r="609" spans="1:13" x14ac:dyDescent="0.25">
      <c r="A609">
        <v>339026</v>
      </c>
      <c r="C609" t="s">
        <v>6221</v>
      </c>
      <c r="D609" t="s">
        <v>89</v>
      </c>
      <c r="E609">
        <v>2.79</v>
      </c>
      <c r="F609" t="s">
        <v>1836</v>
      </c>
      <c r="G609" t="s">
        <v>1838</v>
      </c>
      <c r="H609" t="s">
        <v>1837</v>
      </c>
      <c r="I609" s="11">
        <v>46154</v>
      </c>
      <c r="J609" s="12">
        <v>46143</v>
      </c>
      <c r="K609" s="13">
        <f>INDEX(Assumptions!$B$4:$B$23,MATCH(F609,Assumptions!$A$4:$A$23,0))</f>
        <v>0.5780346820809249</v>
      </c>
      <c r="L609" s="14">
        <f t="shared" si="18"/>
        <v>1.6127167630057806</v>
      </c>
      <c r="M609" t="str">
        <f t="shared" si="19"/>
        <v>Yes</v>
      </c>
    </row>
    <row r="610" spans="1:13" x14ac:dyDescent="0.25">
      <c r="A610">
        <v>339025</v>
      </c>
      <c r="C610" t="s">
        <v>6221</v>
      </c>
      <c r="D610" t="s">
        <v>1973</v>
      </c>
      <c r="E610">
        <v>1.99</v>
      </c>
      <c r="F610" t="s">
        <v>1836</v>
      </c>
      <c r="G610" t="s">
        <v>1838</v>
      </c>
      <c r="H610" t="s">
        <v>1837</v>
      </c>
      <c r="I610" s="11">
        <v>46154</v>
      </c>
      <c r="J610" s="12">
        <v>46143</v>
      </c>
      <c r="K610" s="13">
        <f>INDEX(Assumptions!$B$4:$B$23,MATCH(F610,Assumptions!$A$4:$A$23,0))</f>
        <v>0.5780346820809249</v>
      </c>
      <c r="L610" s="14">
        <f t="shared" si="18"/>
        <v>1.1502890173410405</v>
      </c>
      <c r="M610" t="str">
        <f t="shared" si="19"/>
        <v>Yes</v>
      </c>
    </row>
    <row r="611" spans="1:13" x14ac:dyDescent="0.25">
      <c r="A611">
        <v>339024</v>
      </c>
      <c r="C611" t="s">
        <v>6221</v>
      </c>
      <c r="D611" t="s">
        <v>1975</v>
      </c>
      <c r="E611">
        <v>1.79</v>
      </c>
      <c r="F611" t="s">
        <v>1836</v>
      </c>
      <c r="G611" t="s">
        <v>1838</v>
      </c>
      <c r="H611" t="s">
        <v>1837</v>
      </c>
      <c r="I611" s="11">
        <v>46156</v>
      </c>
      <c r="J611" s="12">
        <v>46143</v>
      </c>
      <c r="K611" s="13">
        <f>INDEX(Assumptions!$B$4:$B$23,MATCH(F611,Assumptions!$A$4:$A$23,0))</f>
        <v>0.5780346820809249</v>
      </c>
      <c r="L611" s="14">
        <f t="shared" si="18"/>
        <v>1.0346820809248556</v>
      </c>
      <c r="M611" t="str">
        <f t="shared" si="19"/>
        <v>Yes</v>
      </c>
    </row>
    <row r="612" spans="1:13" x14ac:dyDescent="0.25">
      <c r="A612">
        <v>339023</v>
      </c>
      <c r="C612" t="s">
        <v>6221</v>
      </c>
      <c r="D612" t="s">
        <v>1978</v>
      </c>
      <c r="E612">
        <v>5.29</v>
      </c>
      <c r="F612" t="s">
        <v>1836</v>
      </c>
      <c r="G612" t="s">
        <v>1838</v>
      </c>
      <c r="H612" t="s">
        <v>1837</v>
      </c>
      <c r="I612" s="11">
        <v>46156</v>
      </c>
      <c r="J612" s="12">
        <v>46143</v>
      </c>
      <c r="K612" s="13">
        <f>INDEX(Assumptions!$B$4:$B$23,MATCH(F612,Assumptions!$A$4:$A$23,0))</f>
        <v>0.5780346820809249</v>
      </c>
      <c r="L612" s="14">
        <f t="shared" si="18"/>
        <v>3.0578034682080926</v>
      </c>
      <c r="M612" t="str">
        <f t="shared" si="19"/>
        <v>Yes</v>
      </c>
    </row>
    <row r="613" spans="1:13" x14ac:dyDescent="0.25">
      <c r="A613">
        <v>339022</v>
      </c>
      <c r="C613" t="s">
        <v>6221</v>
      </c>
      <c r="D613" t="s">
        <v>1916</v>
      </c>
      <c r="E613">
        <v>8.49</v>
      </c>
      <c r="F613" t="s">
        <v>1836</v>
      </c>
      <c r="G613" t="s">
        <v>1838</v>
      </c>
      <c r="H613" t="s">
        <v>1837</v>
      </c>
      <c r="I613" s="11">
        <v>46155</v>
      </c>
      <c r="J613" s="12">
        <v>46143</v>
      </c>
      <c r="K613" s="13">
        <f>INDEX(Assumptions!$B$4:$B$23,MATCH(F613,Assumptions!$A$4:$A$23,0))</f>
        <v>0.5780346820809249</v>
      </c>
      <c r="L613" s="14">
        <f t="shared" si="18"/>
        <v>4.907514450867053</v>
      </c>
      <c r="M613" t="str">
        <f t="shared" si="19"/>
        <v>Yes</v>
      </c>
    </row>
    <row r="614" spans="1:13" x14ac:dyDescent="0.25">
      <c r="A614">
        <v>339021</v>
      </c>
      <c r="C614" t="s">
        <v>6221</v>
      </c>
      <c r="D614" t="s">
        <v>1950</v>
      </c>
      <c r="E614">
        <v>7.94</v>
      </c>
      <c r="F614" t="s">
        <v>1836</v>
      </c>
      <c r="G614" t="s">
        <v>1838</v>
      </c>
      <c r="H614" t="s">
        <v>1837</v>
      </c>
      <c r="I614" s="11">
        <v>46153</v>
      </c>
      <c r="J614" s="12">
        <v>46143</v>
      </c>
      <c r="K614" s="13">
        <f>INDEX(Assumptions!$B$4:$B$23,MATCH(F614,Assumptions!$A$4:$A$23,0))</f>
        <v>0.5780346820809249</v>
      </c>
      <c r="L614" s="14">
        <f t="shared" si="18"/>
        <v>4.5895953757225438</v>
      </c>
      <c r="M614" t="str">
        <f t="shared" si="19"/>
        <v>Yes</v>
      </c>
    </row>
    <row r="615" spans="1:13" x14ac:dyDescent="0.25">
      <c r="A615">
        <v>339020</v>
      </c>
      <c r="C615" t="s">
        <v>6221</v>
      </c>
      <c r="D615" t="s">
        <v>1857</v>
      </c>
      <c r="E615">
        <v>0.99</v>
      </c>
      <c r="F615" t="s">
        <v>1836</v>
      </c>
      <c r="G615" t="s">
        <v>1838</v>
      </c>
      <c r="H615" t="s">
        <v>1837</v>
      </c>
      <c r="I615" s="11">
        <v>46153</v>
      </c>
      <c r="J615" s="12">
        <v>46143</v>
      </c>
      <c r="K615" s="13">
        <f>INDEX(Assumptions!$B$4:$B$23,MATCH(F615,Assumptions!$A$4:$A$23,0))</f>
        <v>0.5780346820809249</v>
      </c>
      <c r="L615" s="14">
        <f t="shared" si="18"/>
        <v>0.5722543352601156</v>
      </c>
      <c r="M615" t="str">
        <f t="shared" si="19"/>
        <v>Yes</v>
      </c>
    </row>
    <row r="616" spans="1:13" x14ac:dyDescent="0.25">
      <c r="A616">
        <v>339018</v>
      </c>
      <c r="C616" t="s">
        <v>6221</v>
      </c>
      <c r="D616" t="s">
        <v>1950</v>
      </c>
      <c r="E616">
        <v>7.93</v>
      </c>
      <c r="F616" t="s">
        <v>1836</v>
      </c>
      <c r="G616" t="s">
        <v>1838</v>
      </c>
      <c r="H616" t="s">
        <v>1837</v>
      </c>
      <c r="I616" s="11">
        <v>46153</v>
      </c>
      <c r="J616" s="12">
        <v>46143</v>
      </c>
      <c r="K616" s="13">
        <f>INDEX(Assumptions!$B$4:$B$23,MATCH(F616,Assumptions!$A$4:$A$23,0))</f>
        <v>0.5780346820809249</v>
      </c>
      <c r="L616" s="14">
        <f t="shared" si="18"/>
        <v>4.5838150289017339</v>
      </c>
      <c r="M616" t="str">
        <f t="shared" si="19"/>
        <v>Yes</v>
      </c>
    </row>
    <row r="617" spans="1:13" x14ac:dyDescent="0.25">
      <c r="A617">
        <v>339017</v>
      </c>
      <c r="C617" t="s">
        <v>6221</v>
      </c>
      <c r="D617" t="s">
        <v>1962</v>
      </c>
      <c r="E617">
        <v>2.99</v>
      </c>
      <c r="F617" t="s">
        <v>1836</v>
      </c>
      <c r="G617" t="s">
        <v>1908</v>
      </c>
      <c r="H617" t="s">
        <v>1837</v>
      </c>
      <c r="I617" s="11">
        <v>46159</v>
      </c>
      <c r="J617" s="12">
        <v>46143</v>
      </c>
      <c r="K617" s="13">
        <f>INDEX(Assumptions!$B$4:$B$23,MATCH(F617,Assumptions!$A$4:$A$23,0))</f>
        <v>0.5780346820809249</v>
      </c>
      <c r="L617" s="14">
        <f t="shared" si="18"/>
        <v>1.7283236994219655</v>
      </c>
      <c r="M617" t="str">
        <f t="shared" si="19"/>
        <v>Yes</v>
      </c>
    </row>
    <row r="618" spans="1:13" x14ac:dyDescent="0.25">
      <c r="A618">
        <v>339016</v>
      </c>
      <c r="C618" t="s">
        <v>6221</v>
      </c>
      <c r="D618" t="s">
        <v>1916</v>
      </c>
      <c r="E618">
        <v>8.4700000000000006</v>
      </c>
      <c r="F618" t="s">
        <v>1836</v>
      </c>
      <c r="G618" t="s">
        <v>1838</v>
      </c>
      <c r="H618" t="s">
        <v>1837</v>
      </c>
      <c r="I618" s="11">
        <v>46156</v>
      </c>
      <c r="J618" s="12">
        <v>46143</v>
      </c>
      <c r="K618" s="13">
        <f>INDEX(Assumptions!$B$4:$B$23,MATCH(F618,Assumptions!$A$4:$A$23,0))</f>
        <v>0.5780346820809249</v>
      </c>
      <c r="L618" s="14">
        <f t="shared" si="18"/>
        <v>4.8959537572254339</v>
      </c>
      <c r="M618" t="str">
        <f t="shared" si="19"/>
        <v>Yes</v>
      </c>
    </row>
    <row r="619" spans="1:13" x14ac:dyDescent="0.25">
      <c r="A619">
        <v>339015</v>
      </c>
      <c r="C619" t="s">
        <v>6221</v>
      </c>
      <c r="D619" t="s">
        <v>1992</v>
      </c>
      <c r="E619">
        <v>15.99</v>
      </c>
      <c r="F619" t="s">
        <v>1836</v>
      </c>
      <c r="G619" t="s">
        <v>1908</v>
      </c>
      <c r="H619" t="s">
        <v>1837</v>
      </c>
      <c r="I619" s="11">
        <v>46153</v>
      </c>
      <c r="J619" s="12">
        <v>46143</v>
      </c>
      <c r="K619" s="13">
        <f>INDEX(Assumptions!$B$4:$B$23,MATCH(F619,Assumptions!$A$4:$A$23,0))</f>
        <v>0.5780346820809249</v>
      </c>
      <c r="L619" s="14">
        <f t="shared" si="18"/>
        <v>9.2427745664739884</v>
      </c>
      <c r="M619" t="str">
        <f t="shared" si="19"/>
        <v>Yes</v>
      </c>
    </row>
    <row r="620" spans="1:13" x14ac:dyDescent="0.25">
      <c r="A620">
        <v>339014</v>
      </c>
      <c r="B620" t="s">
        <v>1994</v>
      </c>
      <c r="C620" t="s">
        <v>1995</v>
      </c>
      <c r="D620" t="s">
        <v>6220</v>
      </c>
      <c r="E620">
        <v>75.5</v>
      </c>
      <c r="F620" t="s">
        <v>1681</v>
      </c>
      <c r="G620" t="s">
        <v>1683</v>
      </c>
      <c r="H620" t="s">
        <v>1682</v>
      </c>
      <c r="I620" s="11">
        <v>46297</v>
      </c>
      <c r="J620" s="12">
        <v>46296</v>
      </c>
      <c r="K620" s="13">
        <f>INDEX(Assumptions!$B$4:$B$23,MATCH(F620,Assumptions!$A$4:$A$23,0))</f>
        <v>0.10101010101010099</v>
      </c>
      <c r="L620" s="14">
        <f t="shared" si="18"/>
        <v>7.6262626262626254</v>
      </c>
      <c r="M620" t="str">
        <f t="shared" si="19"/>
        <v>No</v>
      </c>
    </row>
    <row r="621" spans="1:13" x14ac:dyDescent="0.25">
      <c r="A621">
        <v>339013</v>
      </c>
      <c r="B621" t="s">
        <v>1998</v>
      </c>
      <c r="C621" t="s">
        <v>1999</v>
      </c>
      <c r="D621" t="s">
        <v>6220</v>
      </c>
      <c r="E621">
        <v>61.9</v>
      </c>
      <c r="F621" t="s">
        <v>1681</v>
      </c>
      <c r="G621" t="s">
        <v>1683</v>
      </c>
      <c r="H621" t="s">
        <v>1682</v>
      </c>
      <c r="I621" s="11">
        <v>46297</v>
      </c>
      <c r="J621" s="12">
        <v>46296</v>
      </c>
      <c r="K621" s="13">
        <f>INDEX(Assumptions!$B$4:$B$23,MATCH(F621,Assumptions!$A$4:$A$23,0))</f>
        <v>0.10101010101010099</v>
      </c>
      <c r="L621" s="14">
        <f t="shared" si="18"/>
        <v>6.2525252525252517</v>
      </c>
      <c r="M621" t="str">
        <f t="shared" si="19"/>
        <v>No</v>
      </c>
    </row>
    <row r="622" spans="1:13" x14ac:dyDescent="0.25">
      <c r="A622">
        <v>339012</v>
      </c>
      <c r="B622" t="s">
        <v>2002</v>
      </c>
      <c r="C622" t="s">
        <v>2003</v>
      </c>
      <c r="D622" t="s">
        <v>6220</v>
      </c>
      <c r="E622">
        <v>36.9</v>
      </c>
      <c r="F622" t="s">
        <v>1681</v>
      </c>
      <c r="G622" t="s">
        <v>1683</v>
      </c>
      <c r="H622" t="s">
        <v>1682</v>
      </c>
      <c r="I622" s="11">
        <v>46297</v>
      </c>
      <c r="J622" s="12">
        <v>46296</v>
      </c>
      <c r="K622" s="13">
        <f>INDEX(Assumptions!$B$4:$B$23,MATCH(F622,Assumptions!$A$4:$A$23,0))</f>
        <v>0.10101010101010099</v>
      </c>
      <c r="L622" s="14">
        <f t="shared" si="18"/>
        <v>3.7272727272727266</v>
      </c>
      <c r="M622" t="str">
        <f t="shared" si="19"/>
        <v>No</v>
      </c>
    </row>
    <row r="623" spans="1:13" x14ac:dyDescent="0.25">
      <c r="A623">
        <v>339011</v>
      </c>
      <c r="C623" t="s">
        <v>6221</v>
      </c>
      <c r="D623" t="s">
        <v>1850</v>
      </c>
      <c r="E623">
        <v>2.99</v>
      </c>
      <c r="F623" t="s">
        <v>1836</v>
      </c>
      <c r="G623" t="s">
        <v>1838</v>
      </c>
      <c r="H623" t="s">
        <v>1837</v>
      </c>
      <c r="I623" s="11">
        <v>46155</v>
      </c>
      <c r="J623" s="12">
        <v>46143</v>
      </c>
      <c r="K623" s="13">
        <f>INDEX(Assumptions!$B$4:$B$23,MATCH(F623,Assumptions!$A$4:$A$23,0))</f>
        <v>0.5780346820809249</v>
      </c>
      <c r="L623" s="14">
        <f t="shared" si="18"/>
        <v>1.7283236994219655</v>
      </c>
      <c r="M623" t="str">
        <f t="shared" si="19"/>
        <v>Yes</v>
      </c>
    </row>
    <row r="624" spans="1:13" x14ac:dyDescent="0.25">
      <c r="A624">
        <v>339010</v>
      </c>
      <c r="C624" t="s">
        <v>6221</v>
      </c>
      <c r="D624" t="s">
        <v>1973</v>
      </c>
      <c r="E624">
        <v>13.99</v>
      </c>
      <c r="F624" t="s">
        <v>1836</v>
      </c>
      <c r="G624" t="s">
        <v>1838</v>
      </c>
      <c r="H624" t="s">
        <v>1837</v>
      </c>
      <c r="I624" s="11">
        <v>46155</v>
      </c>
      <c r="J624" s="12">
        <v>46143</v>
      </c>
      <c r="K624" s="13">
        <f>INDEX(Assumptions!$B$4:$B$23,MATCH(F624,Assumptions!$A$4:$A$23,0))</f>
        <v>0.5780346820809249</v>
      </c>
      <c r="L624" s="14">
        <f t="shared" si="18"/>
        <v>8.0867052023121389</v>
      </c>
      <c r="M624" t="str">
        <f t="shared" si="19"/>
        <v>Yes</v>
      </c>
    </row>
    <row r="625" spans="1:13" x14ac:dyDescent="0.25">
      <c r="A625">
        <v>339009</v>
      </c>
      <c r="C625" t="s">
        <v>6221</v>
      </c>
      <c r="D625" t="s">
        <v>1857</v>
      </c>
      <c r="E625">
        <v>0.95</v>
      </c>
      <c r="F625" t="s">
        <v>1836</v>
      </c>
      <c r="G625" t="s">
        <v>1838</v>
      </c>
      <c r="H625" t="s">
        <v>1837</v>
      </c>
      <c r="I625" s="11">
        <v>46136</v>
      </c>
      <c r="J625" s="12">
        <v>46113</v>
      </c>
      <c r="K625" s="13">
        <f>INDEX(Assumptions!$B$4:$B$23,MATCH(F625,Assumptions!$A$4:$A$23,0))</f>
        <v>0.5780346820809249</v>
      </c>
      <c r="L625" s="14">
        <f t="shared" si="18"/>
        <v>0.54913294797687862</v>
      </c>
      <c r="M625" t="str">
        <f t="shared" si="19"/>
        <v>Yes</v>
      </c>
    </row>
    <row r="626" spans="1:13" x14ac:dyDescent="0.25">
      <c r="A626">
        <v>339008</v>
      </c>
      <c r="C626" t="s">
        <v>6221</v>
      </c>
      <c r="D626" t="s">
        <v>1950</v>
      </c>
      <c r="E626">
        <v>7.94</v>
      </c>
      <c r="F626" t="s">
        <v>1836</v>
      </c>
      <c r="G626" t="s">
        <v>1838</v>
      </c>
      <c r="H626" t="s">
        <v>1837</v>
      </c>
      <c r="I626" s="11">
        <v>46177</v>
      </c>
      <c r="J626" s="12">
        <v>46174</v>
      </c>
      <c r="K626" s="13">
        <f>INDEX(Assumptions!$B$4:$B$23,MATCH(F626,Assumptions!$A$4:$A$23,0))</f>
        <v>0.5780346820809249</v>
      </c>
      <c r="L626" s="14">
        <f t="shared" si="18"/>
        <v>4.5895953757225438</v>
      </c>
      <c r="M626" t="str">
        <f t="shared" si="19"/>
        <v>Yes</v>
      </c>
    </row>
    <row r="627" spans="1:13" x14ac:dyDescent="0.25">
      <c r="A627">
        <v>339007</v>
      </c>
      <c r="C627" t="s">
        <v>6221</v>
      </c>
      <c r="D627" t="s">
        <v>1992</v>
      </c>
      <c r="E627">
        <v>27.99</v>
      </c>
      <c r="F627" t="s">
        <v>1836</v>
      </c>
      <c r="G627" t="s">
        <v>1908</v>
      </c>
      <c r="H627" t="s">
        <v>1837</v>
      </c>
      <c r="I627" s="11">
        <v>46169</v>
      </c>
      <c r="J627" s="12">
        <v>46143</v>
      </c>
      <c r="K627" s="13">
        <f>INDEX(Assumptions!$B$4:$B$23,MATCH(F627,Assumptions!$A$4:$A$23,0))</f>
        <v>0.5780346820809249</v>
      </c>
      <c r="L627" s="14">
        <f t="shared" si="18"/>
        <v>16.179190751445088</v>
      </c>
      <c r="M627" t="str">
        <f t="shared" si="19"/>
        <v>Yes</v>
      </c>
    </row>
    <row r="628" spans="1:13" x14ac:dyDescent="0.25">
      <c r="A628">
        <v>339006</v>
      </c>
      <c r="C628" t="s">
        <v>6221</v>
      </c>
      <c r="D628" t="s">
        <v>2015</v>
      </c>
      <c r="E628">
        <v>2.29</v>
      </c>
      <c r="F628" t="s">
        <v>1836</v>
      </c>
      <c r="G628" t="s">
        <v>1838</v>
      </c>
      <c r="H628" t="s">
        <v>1837</v>
      </c>
      <c r="I628" s="11">
        <v>46145</v>
      </c>
      <c r="J628" s="12">
        <v>46143</v>
      </c>
      <c r="K628" s="13">
        <f>INDEX(Assumptions!$B$4:$B$23,MATCH(F628,Assumptions!$A$4:$A$23,0))</f>
        <v>0.5780346820809249</v>
      </c>
      <c r="L628" s="14">
        <f t="shared" si="18"/>
        <v>1.323699421965318</v>
      </c>
      <c r="M628" t="str">
        <f t="shared" si="19"/>
        <v>Yes</v>
      </c>
    </row>
    <row r="629" spans="1:13" x14ac:dyDescent="0.25">
      <c r="A629">
        <v>339005</v>
      </c>
      <c r="C629" t="s">
        <v>6221</v>
      </c>
      <c r="D629" t="s">
        <v>2017</v>
      </c>
      <c r="E629">
        <v>0.99</v>
      </c>
      <c r="F629" t="s">
        <v>1836</v>
      </c>
      <c r="G629" t="s">
        <v>1854</v>
      </c>
      <c r="H629" t="s">
        <v>1837</v>
      </c>
      <c r="I629" s="11">
        <v>46169</v>
      </c>
      <c r="J629" s="12">
        <v>46143</v>
      </c>
      <c r="K629" s="13">
        <f>INDEX(Assumptions!$B$4:$B$23,MATCH(F629,Assumptions!$A$4:$A$23,0))</f>
        <v>0.5780346820809249</v>
      </c>
      <c r="L629" s="14">
        <f t="shared" si="18"/>
        <v>0.5722543352601156</v>
      </c>
      <c r="M629" t="str">
        <f t="shared" si="19"/>
        <v>Yes</v>
      </c>
    </row>
    <row r="630" spans="1:13" x14ac:dyDescent="0.25">
      <c r="A630">
        <v>339004</v>
      </c>
      <c r="C630" t="s">
        <v>6221</v>
      </c>
      <c r="D630" t="s">
        <v>2019</v>
      </c>
      <c r="E630">
        <v>0.39</v>
      </c>
      <c r="F630" t="s">
        <v>1836</v>
      </c>
      <c r="G630" t="s">
        <v>1854</v>
      </c>
      <c r="H630" t="s">
        <v>1837</v>
      </c>
      <c r="I630" s="11">
        <v>46169</v>
      </c>
      <c r="J630" s="12">
        <v>46143</v>
      </c>
      <c r="K630" s="13">
        <f>INDEX(Assumptions!$B$4:$B$23,MATCH(F630,Assumptions!$A$4:$A$23,0))</f>
        <v>0.5780346820809249</v>
      </c>
      <c r="L630" s="14">
        <f t="shared" si="18"/>
        <v>0.22543352601156072</v>
      </c>
      <c r="M630" t="str">
        <f t="shared" si="19"/>
        <v>Yes</v>
      </c>
    </row>
    <row r="631" spans="1:13" x14ac:dyDescent="0.25">
      <c r="A631">
        <v>339003</v>
      </c>
      <c r="C631" t="s">
        <v>6221</v>
      </c>
      <c r="D631" t="s">
        <v>1895</v>
      </c>
      <c r="E631">
        <v>0.49</v>
      </c>
      <c r="F631" t="s">
        <v>1836</v>
      </c>
      <c r="G631" t="s">
        <v>1854</v>
      </c>
      <c r="H631" t="s">
        <v>1837</v>
      </c>
      <c r="I631" s="11">
        <v>46169</v>
      </c>
      <c r="J631" s="12">
        <v>46143</v>
      </c>
      <c r="K631" s="13">
        <f>INDEX(Assumptions!$B$4:$B$23,MATCH(F631,Assumptions!$A$4:$A$23,0))</f>
        <v>0.5780346820809249</v>
      </c>
      <c r="L631" s="14">
        <f t="shared" si="18"/>
        <v>0.2832369942196532</v>
      </c>
      <c r="M631" t="str">
        <f t="shared" si="19"/>
        <v>Yes</v>
      </c>
    </row>
    <row r="632" spans="1:13" x14ac:dyDescent="0.25">
      <c r="A632">
        <v>339002</v>
      </c>
      <c r="C632" t="s">
        <v>6221</v>
      </c>
      <c r="D632" t="s">
        <v>2022</v>
      </c>
      <c r="E632">
        <v>15.99</v>
      </c>
      <c r="F632" t="s">
        <v>1836</v>
      </c>
      <c r="G632" t="s">
        <v>1908</v>
      </c>
      <c r="H632" t="s">
        <v>1837</v>
      </c>
      <c r="I632" s="11">
        <v>46165</v>
      </c>
      <c r="J632" s="12">
        <v>46143</v>
      </c>
      <c r="K632" s="13">
        <f>INDEX(Assumptions!$B$4:$B$23,MATCH(F632,Assumptions!$A$4:$A$23,0))</f>
        <v>0.5780346820809249</v>
      </c>
      <c r="L632" s="14">
        <f t="shared" si="18"/>
        <v>9.2427745664739884</v>
      </c>
      <c r="M632" t="str">
        <f t="shared" si="19"/>
        <v>Yes</v>
      </c>
    </row>
    <row r="633" spans="1:13" x14ac:dyDescent="0.25">
      <c r="A633">
        <v>339001</v>
      </c>
      <c r="B633" t="s">
        <v>2025</v>
      </c>
      <c r="C633" t="s">
        <v>2026</v>
      </c>
      <c r="D633" t="s">
        <v>6220</v>
      </c>
      <c r="E633">
        <v>20</v>
      </c>
      <c r="F633" t="s">
        <v>1681</v>
      </c>
      <c r="G633" t="s">
        <v>1683</v>
      </c>
      <c r="H633" t="s">
        <v>1682</v>
      </c>
      <c r="I633" s="11">
        <v>46297</v>
      </c>
      <c r="J633" s="12">
        <v>46296</v>
      </c>
      <c r="K633" s="13">
        <f>INDEX(Assumptions!$B$4:$B$23,MATCH(F633,Assumptions!$A$4:$A$23,0))</f>
        <v>0.10101010101010099</v>
      </c>
      <c r="L633" s="14">
        <f t="shared" si="18"/>
        <v>2.0202020202020199</v>
      </c>
      <c r="M633" t="str">
        <f t="shared" si="19"/>
        <v>No</v>
      </c>
    </row>
    <row r="634" spans="1:13" x14ac:dyDescent="0.25">
      <c r="A634">
        <v>339000</v>
      </c>
      <c r="B634" t="s">
        <v>2028</v>
      </c>
      <c r="C634" t="s">
        <v>2029</v>
      </c>
      <c r="D634" t="s">
        <v>6220</v>
      </c>
      <c r="E634">
        <v>20</v>
      </c>
      <c r="F634" t="s">
        <v>1681</v>
      </c>
      <c r="G634" t="s">
        <v>1683</v>
      </c>
      <c r="H634" t="s">
        <v>1682</v>
      </c>
      <c r="I634" s="11">
        <v>46297</v>
      </c>
      <c r="J634" s="12">
        <v>46296</v>
      </c>
      <c r="K634" s="13">
        <f>INDEX(Assumptions!$B$4:$B$23,MATCH(F634,Assumptions!$A$4:$A$23,0))</f>
        <v>0.10101010101010099</v>
      </c>
      <c r="L634" s="14">
        <f t="shared" si="18"/>
        <v>2.0202020202020199</v>
      </c>
      <c r="M634" t="str">
        <f t="shared" si="19"/>
        <v>No</v>
      </c>
    </row>
    <row r="635" spans="1:13" x14ac:dyDescent="0.25">
      <c r="A635">
        <v>338999</v>
      </c>
      <c r="B635" t="s">
        <v>2031</v>
      </c>
      <c r="C635" t="s">
        <v>2032</v>
      </c>
      <c r="D635" t="s">
        <v>6220</v>
      </c>
      <c r="E635">
        <v>20</v>
      </c>
      <c r="F635" t="s">
        <v>1681</v>
      </c>
      <c r="G635" t="s">
        <v>1683</v>
      </c>
      <c r="H635" t="s">
        <v>1682</v>
      </c>
      <c r="I635" s="11">
        <v>46297</v>
      </c>
      <c r="J635" s="12">
        <v>46296</v>
      </c>
      <c r="K635" s="13">
        <f>INDEX(Assumptions!$B$4:$B$23,MATCH(F635,Assumptions!$A$4:$A$23,0))</f>
        <v>0.10101010101010099</v>
      </c>
      <c r="L635" s="14">
        <f t="shared" si="18"/>
        <v>2.0202020202020199</v>
      </c>
      <c r="M635" t="str">
        <f t="shared" si="19"/>
        <v>No</v>
      </c>
    </row>
    <row r="636" spans="1:13" x14ac:dyDescent="0.25">
      <c r="A636">
        <v>338998</v>
      </c>
      <c r="B636" t="s">
        <v>2034</v>
      </c>
      <c r="C636" t="s">
        <v>2035</v>
      </c>
      <c r="D636" t="s">
        <v>6220</v>
      </c>
      <c r="E636">
        <v>20</v>
      </c>
      <c r="F636" t="s">
        <v>1681</v>
      </c>
      <c r="G636" t="s">
        <v>1683</v>
      </c>
      <c r="H636" t="s">
        <v>1682</v>
      </c>
      <c r="I636" s="11">
        <v>46297</v>
      </c>
      <c r="J636" s="12">
        <v>46296</v>
      </c>
      <c r="K636" s="13">
        <f>INDEX(Assumptions!$B$4:$B$23,MATCH(F636,Assumptions!$A$4:$A$23,0))</f>
        <v>0.10101010101010099</v>
      </c>
      <c r="L636" s="14">
        <f t="shared" si="18"/>
        <v>2.0202020202020199</v>
      </c>
      <c r="M636" t="str">
        <f t="shared" si="19"/>
        <v>No</v>
      </c>
    </row>
    <row r="637" spans="1:13" x14ac:dyDescent="0.25">
      <c r="A637">
        <v>338997</v>
      </c>
      <c r="C637" t="s">
        <v>6221</v>
      </c>
      <c r="D637" t="s">
        <v>2022</v>
      </c>
      <c r="E637">
        <v>16.989999999999998</v>
      </c>
      <c r="F637" t="s">
        <v>1836</v>
      </c>
      <c r="G637" t="s">
        <v>1908</v>
      </c>
      <c r="H637" t="s">
        <v>1837</v>
      </c>
      <c r="I637" s="11">
        <v>46113</v>
      </c>
      <c r="J637" s="12">
        <v>46113</v>
      </c>
      <c r="K637" s="13">
        <f>INDEX(Assumptions!$B$4:$B$23,MATCH(F637,Assumptions!$A$4:$A$23,0))</f>
        <v>0.5780346820809249</v>
      </c>
      <c r="L637" s="14">
        <f t="shared" si="18"/>
        <v>9.8208092485549123</v>
      </c>
      <c r="M637" t="str">
        <f t="shared" si="19"/>
        <v>Yes</v>
      </c>
    </row>
    <row r="638" spans="1:13" x14ac:dyDescent="0.25">
      <c r="A638">
        <v>338996</v>
      </c>
      <c r="C638" t="s">
        <v>6221</v>
      </c>
      <c r="D638" t="s">
        <v>1888</v>
      </c>
      <c r="E638">
        <v>0.85</v>
      </c>
      <c r="F638" t="s">
        <v>1836</v>
      </c>
      <c r="G638" t="s">
        <v>1854</v>
      </c>
      <c r="H638" t="s">
        <v>1837</v>
      </c>
      <c r="I638" s="11">
        <v>46162</v>
      </c>
      <c r="J638" s="12">
        <v>46143</v>
      </c>
      <c r="K638" s="13">
        <f>INDEX(Assumptions!$B$4:$B$23,MATCH(F638,Assumptions!$A$4:$A$23,0))</f>
        <v>0.5780346820809249</v>
      </c>
      <c r="L638" s="14">
        <f t="shared" si="18"/>
        <v>0.49132947976878616</v>
      </c>
      <c r="M638" t="str">
        <f t="shared" si="19"/>
        <v>Yes</v>
      </c>
    </row>
    <row r="639" spans="1:13" x14ac:dyDescent="0.25">
      <c r="A639">
        <v>338995</v>
      </c>
      <c r="C639" t="s">
        <v>6221</v>
      </c>
      <c r="D639" t="s">
        <v>1857</v>
      </c>
      <c r="E639">
        <v>2.19</v>
      </c>
      <c r="F639" t="s">
        <v>1836</v>
      </c>
      <c r="G639" t="s">
        <v>1838</v>
      </c>
      <c r="H639" t="s">
        <v>1837</v>
      </c>
      <c r="I639" s="11">
        <v>46142</v>
      </c>
      <c r="J639" s="12">
        <v>46113</v>
      </c>
      <c r="K639" s="13">
        <f>INDEX(Assumptions!$B$4:$B$23,MATCH(F639,Assumptions!$A$4:$A$23,0))</f>
        <v>0.5780346820809249</v>
      </c>
      <c r="L639" s="14">
        <f t="shared" si="18"/>
        <v>1.2658959537572254</v>
      </c>
      <c r="M639" t="str">
        <f t="shared" si="19"/>
        <v>Yes</v>
      </c>
    </row>
    <row r="640" spans="1:13" x14ac:dyDescent="0.25">
      <c r="A640">
        <v>338994</v>
      </c>
      <c r="C640" t="s">
        <v>6221</v>
      </c>
      <c r="D640" t="s">
        <v>1960</v>
      </c>
      <c r="E640">
        <v>2.35</v>
      </c>
      <c r="F640" t="s">
        <v>1836</v>
      </c>
      <c r="G640" t="s">
        <v>1908</v>
      </c>
      <c r="H640" t="s">
        <v>1837</v>
      </c>
      <c r="I640" s="11">
        <v>46150</v>
      </c>
      <c r="J640" s="12">
        <v>46143</v>
      </c>
      <c r="K640" s="13">
        <f>INDEX(Assumptions!$B$4:$B$23,MATCH(F640,Assumptions!$A$4:$A$23,0))</f>
        <v>0.5780346820809249</v>
      </c>
      <c r="L640" s="14">
        <f t="shared" si="18"/>
        <v>1.3583815028901736</v>
      </c>
      <c r="M640" t="str">
        <f t="shared" si="19"/>
        <v>Yes</v>
      </c>
    </row>
    <row r="641" spans="1:13" x14ac:dyDescent="0.25">
      <c r="A641">
        <v>338992</v>
      </c>
      <c r="C641" t="s">
        <v>6221</v>
      </c>
      <c r="D641" t="s">
        <v>1857</v>
      </c>
      <c r="E641">
        <v>0.95</v>
      </c>
      <c r="F641" t="s">
        <v>1836</v>
      </c>
      <c r="G641" t="s">
        <v>1838</v>
      </c>
      <c r="H641" t="s">
        <v>1837</v>
      </c>
      <c r="I641" s="11">
        <v>46157</v>
      </c>
      <c r="J641" s="12">
        <v>46143</v>
      </c>
      <c r="K641" s="13">
        <f>INDEX(Assumptions!$B$4:$B$23,MATCH(F641,Assumptions!$A$4:$A$23,0))</f>
        <v>0.5780346820809249</v>
      </c>
      <c r="L641" s="14">
        <f t="shared" si="18"/>
        <v>0.54913294797687862</v>
      </c>
      <c r="M641" t="str">
        <f t="shared" si="19"/>
        <v>Yes</v>
      </c>
    </row>
    <row r="642" spans="1:13" x14ac:dyDescent="0.25">
      <c r="A642">
        <v>338991</v>
      </c>
      <c r="B642" t="s">
        <v>2046</v>
      </c>
      <c r="C642" t="s">
        <v>6221</v>
      </c>
      <c r="D642" t="s">
        <v>6220</v>
      </c>
      <c r="E642">
        <v>44.9</v>
      </c>
      <c r="F642" t="s">
        <v>1681</v>
      </c>
      <c r="G642" t="s">
        <v>1691</v>
      </c>
      <c r="H642" t="s">
        <v>1682</v>
      </c>
      <c r="I642" s="11">
        <v>46297</v>
      </c>
      <c r="J642" s="12">
        <v>46296</v>
      </c>
      <c r="K642" s="13">
        <f>INDEX(Assumptions!$B$4:$B$23,MATCH(F642,Assumptions!$A$4:$A$23,0))</f>
        <v>0.10101010101010099</v>
      </c>
      <c r="L642" s="14">
        <f t="shared" ref="L642:L705" si="20">E642*K642</f>
        <v>4.5353535353535346</v>
      </c>
      <c r="M642" t="str">
        <f t="shared" ref="M642:M705" si="21">IF(C642="Unnamed product","Yes","No")</f>
        <v>Yes</v>
      </c>
    </row>
    <row r="643" spans="1:13" x14ac:dyDescent="0.25">
      <c r="A643">
        <v>338990</v>
      </c>
      <c r="B643" t="s">
        <v>1781</v>
      </c>
      <c r="C643" t="s">
        <v>2048</v>
      </c>
      <c r="D643" t="s">
        <v>6220</v>
      </c>
      <c r="E643">
        <v>39.9</v>
      </c>
      <c r="F643" t="s">
        <v>1681</v>
      </c>
      <c r="G643" t="s">
        <v>1691</v>
      </c>
      <c r="H643" t="s">
        <v>1682</v>
      </c>
      <c r="I643" s="11">
        <v>46297</v>
      </c>
      <c r="J643" s="12">
        <v>46296</v>
      </c>
      <c r="K643" s="13">
        <f>INDEX(Assumptions!$B$4:$B$23,MATCH(F643,Assumptions!$A$4:$A$23,0))</f>
        <v>0.10101010101010099</v>
      </c>
      <c r="L643" s="14">
        <f t="shared" si="20"/>
        <v>4.0303030303030294</v>
      </c>
      <c r="M643" t="str">
        <f t="shared" si="21"/>
        <v>No</v>
      </c>
    </row>
    <row r="644" spans="1:13" x14ac:dyDescent="0.25">
      <c r="A644">
        <v>338989</v>
      </c>
      <c r="B644" t="s">
        <v>1800</v>
      </c>
      <c r="C644" t="s">
        <v>2050</v>
      </c>
      <c r="D644" t="s">
        <v>6220</v>
      </c>
      <c r="E644">
        <v>49.9</v>
      </c>
      <c r="F644" t="s">
        <v>1681</v>
      </c>
      <c r="G644" t="s">
        <v>1691</v>
      </c>
      <c r="H644" t="s">
        <v>1682</v>
      </c>
      <c r="I644" s="11">
        <v>46297</v>
      </c>
      <c r="J644" s="12">
        <v>46296</v>
      </c>
      <c r="K644" s="13">
        <f>INDEX(Assumptions!$B$4:$B$23,MATCH(F644,Assumptions!$A$4:$A$23,0))</f>
        <v>0.10101010101010099</v>
      </c>
      <c r="L644" s="14">
        <f t="shared" si="20"/>
        <v>5.0404040404040398</v>
      </c>
      <c r="M644" t="str">
        <f t="shared" si="21"/>
        <v>No</v>
      </c>
    </row>
    <row r="645" spans="1:13" x14ac:dyDescent="0.25">
      <c r="A645">
        <v>338988</v>
      </c>
      <c r="B645" t="s">
        <v>2052</v>
      </c>
      <c r="C645" t="s">
        <v>2053</v>
      </c>
      <c r="D645" t="s">
        <v>6220</v>
      </c>
      <c r="E645">
        <v>39.9</v>
      </c>
      <c r="F645" t="s">
        <v>1681</v>
      </c>
      <c r="G645" t="s">
        <v>1691</v>
      </c>
      <c r="H645" t="s">
        <v>1682</v>
      </c>
      <c r="I645" s="11">
        <v>46297</v>
      </c>
      <c r="J645" s="12">
        <v>46296</v>
      </c>
      <c r="K645" s="13">
        <f>INDEX(Assumptions!$B$4:$B$23,MATCH(F645,Assumptions!$A$4:$A$23,0))</f>
        <v>0.10101010101010099</v>
      </c>
      <c r="L645" s="14">
        <f t="shared" si="20"/>
        <v>4.0303030303030294</v>
      </c>
      <c r="M645" t="str">
        <f t="shared" si="21"/>
        <v>No</v>
      </c>
    </row>
    <row r="646" spans="1:13" x14ac:dyDescent="0.25">
      <c r="A646">
        <v>338987</v>
      </c>
      <c r="B646" t="s">
        <v>2055</v>
      </c>
      <c r="C646" t="s">
        <v>2056</v>
      </c>
      <c r="D646" t="s">
        <v>6220</v>
      </c>
      <c r="E646">
        <v>49.9</v>
      </c>
      <c r="F646" t="s">
        <v>1681</v>
      </c>
      <c r="G646" t="s">
        <v>1691</v>
      </c>
      <c r="H646" t="s">
        <v>1682</v>
      </c>
      <c r="I646" s="11">
        <v>46297</v>
      </c>
      <c r="J646" s="12">
        <v>46296</v>
      </c>
      <c r="K646" s="13">
        <f>INDEX(Assumptions!$B$4:$B$23,MATCH(F646,Assumptions!$A$4:$A$23,0))</f>
        <v>0.10101010101010099</v>
      </c>
      <c r="L646" s="14">
        <f t="shared" si="20"/>
        <v>5.0404040404040398</v>
      </c>
      <c r="M646" t="str">
        <f t="shared" si="21"/>
        <v>No</v>
      </c>
    </row>
    <row r="647" spans="1:13" x14ac:dyDescent="0.25">
      <c r="A647">
        <v>338986</v>
      </c>
      <c r="B647" t="s">
        <v>2058</v>
      </c>
      <c r="C647" t="s">
        <v>2059</v>
      </c>
      <c r="D647" t="s">
        <v>6220</v>
      </c>
      <c r="E647">
        <v>49.9</v>
      </c>
      <c r="F647" t="s">
        <v>1681</v>
      </c>
      <c r="G647" t="s">
        <v>1691</v>
      </c>
      <c r="H647" t="s">
        <v>1682</v>
      </c>
      <c r="I647" s="11">
        <v>46297</v>
      </c>
      <c r="J647" s="12">
        <v>46296</v>
      </c>
      <c r="K647" s="13">
        <f>INDEX(Assumptions!$B$4:$B$23,MATCH(F647,Assumptions!$A$4:$A$23,0))</f>
        <v>0.10101010101010099</v>
      </c>
      <c r="L647" s="14">
        <f t="shared" si="20"/>
        <v>5.0404040404040398</v>
      </c>
      <c r="M647" t="str">
        <f t="shared" si="21"/>
        <v>No</v>
      </c>
    </row>
    <row r="648" spans="1:13" x14ac:dyDescent="0.25">
      <c r="A648">
        <v>338984</v>
      </c>
      <c r="B648" t="s">
        <v>2061</v>
      </c>
      <c r="C648" t="s">
        <v>2062</v>
      </c>
      <c r="D648" t="s">
        <v>6220</v>
      </c>
      <c r="E648">
        <v>49.9</v>
      </c>
      <c r="F648" t="s">
        <v>1681</v>
      </c>
      <c r="G648" t="s">
        <v>1691</v>
      </c>
      <c r="H648" t="s">
        <v>1682</v>
      </c>
      <c r="I648" s="11">
        <v>46297</v>
      </c>
      <c r="J648" s="12">
        <v>46296</v>
      </c>
      <c r="K648" s="13">
        <f>INDEX(Assumptions!$B$4:$B$23,MATCH(F648,Assumptions!$A$4:$A$23,0))</f>
        <v>0.10101010101010099</v>
      </c>
      <c r="L648" s="14">
        <f t="shared" si="20"/>
        <v>5.0404040404040398</v>
      </c>
      <c r="M648" t="str">
        <f t="shared" si="21"/>
        <v>No</v>
      </c>
    </row>
    <row r="649" spans="1:13" x14ac:dyDescent="0.25">
      <c r="A649">
        <v>338985</v>
      </c>
      <c r="B649" t="s">
        <v>2064</v>
      </c>
      <c r="C649" t="s">
        <v>2065</v>
      </c>
      <c r="D649" t="s">
        <v>6220</v>
      </c>
      <c r="E649">
        <v>49.9</v>
      </c>
      <c r="F649" t="s">
        <v>1681</v>
      </c>
      <c r="G649" t="s">
        <v>1691</v>
      </c>
      <c r="H649" t="s">
        <v>1682</v>
      </c>
      <c r="I649" s="11">
        <v>46297</v>
      </c>
      <c r="J649" s="12">
        <v>46296</v>
      </c>
      <c r="K649" s="13">
        <f>INDEX(Assumptions!$B$4:$B$23,MATCH(F649,Assumptions!$A$4:$A$23,0))</f>
        <v>0.10101010101010099</v>
      </c>
      <c r="L649" s="14">
        <f t="shared" si="20"/>
        <v>5.0404040404040398</v>
      </c>
      <c r="M649" t="str">
        <f t="shared" si="21"/>
        <v>No</v>
      </c>
    </row>
    <row r="650" spans="1:13" x14ac:dyDescent="0.25">
      <c r="A650">
        <v>338983</v>
      </c>
      <c r="C650" t="s">
        <v>6221</v>
      </c>
      <c r="D650" t="s">
        <v>1857</v>
      </c>
      <c r="E650">
        <v>0.95</v>
      </c>
      <c r="F650" t="s">
        <v>1836</v>
      </c>
      <c r="G650" t="s">
        <v>1838</v>
      </c>
      <c r="H650" t="s">
        <v>1837</v>
      </c>
      <c r="I650" s="11">
        <v>46165</v>
      </c>
      <c r="J650" s="12">
        <v>46143</v>
      </c>
      <c r="K650" s="13">
        <f>INDEX(Assumptions!$B$4:$B$23,MATCH(F650,Assumptions!$A$4:$A$23,0))</f>
        <v>0.5780346820809249</v>
      </c>
      <c r="L650" s="14">
        <f t="shared" si="20"/>
        <v>0.54913294797687862</v>
      </c>
      <c r="M650" t="str">
        <f t="shared" si="21"/>
        <v>Yes</v>
      </c>
    </row>
    <row r="651" spans="1:13" x14ac:dyDescent="0.25">
      <c r="A651">
        <v>338982</v>
      </c>
      <c r="C651" t="s">
        <v>6221</v>
      </c>
      <c r="D651" t="s">
        <v>2068</v>
      </c>
      <c r="E651">
        <v>2.4900000000000002</v>
      </c>
      <c r="F651" t="s">
        <v>1836</v>
      </c>
      <c r="G651" t="s">
        <v>1838</v>
      </c>
      <c r="H651" t="s">
        <v>1837</v>
      </c>
      <c r="I651" s="11">
        <v>46165</v>
      </c>
      <c r="J651" s="12">
        <v>46143</v>
      </c>
      <c r="K651" s="13">
        <f>INDEX(Assumptions!$B$4:$B$23,MATCH(F651,Assumptions!$A$4:$A$23,0))</f>
        <v>0.5780346820809249</v>
      </c>
      <c r="L651" s="14">
        <f t="shared" si="20"/>
        <v>1.4393063583815031</v>
      </c>
      <c r="M651" t="str">
        <f t="shared" si="21"/>
        <v>Yes</v>
      </c>
    </row>
    <row r="652" spans="1:13" x14ac:dyDescent="0.25">
      <c r="A652">
        <v>338981</v>
      </c>
      <c r="C652" t="s">
        <v>6221</v>
      </c>
      <c r="D652" t="s">
        <v>1911</v>
      </c>
      <c r="E652">
        <v>5</v>
      </c>
      <c r="F652" t="s">
        <v>1836</v>
      </c>
      <c r="G652" t="s">
        <v>1838</v>
      </c>
      <c r="H652" t="s">
        <v>1837</v>
      </c>
      <c r="I652" s="11">
        <v>46165</v>
      </c>
      <c r="J652" s="12">
        <v>46143</v>
      </c>
      <c r="K652" s="13">
        <f>INDEX(Assumptions!$B$4:$B$23,MATCH(F652,Assumptions!$A$4:$A$23,0))</f>
        <v>0.5780346820809249</v>
      </c>
      <c r="L652" s="14">
        <f t="shared" si="20"/>
        <v>2.8901734104046244</v>
      </c>
      <c r="M652" t="str">
        <f t="shared" si="21"/>
        <v>Yes</v>
      </c>
    </row>
    <row r="653" spans="1:13" x14ac:dyDescent="0.25">
      <c r="A653">
        <v>338980</v>
      </c>
      <c r="C653" t="s">
        <v>6221</v>
      </c>
      <c r="D653" t="s">
        <v>1973</v>
      </c>
      <c r="E653">
        <v>1.99</v>
      </c>
      <c r="F653" t="s">
        <v>1836</v>
      </c>
      <c r="G653" t="s">
        <v>1838</v>
      </c>
      <c r="H653" t="s">
        <v>1837</v>
      </c>
      <c r="I653" s="11">
        <v>46165</v>
      </c>
      <c r="J653" s="12">
        <v>46143</v>
      </c>
      <c r="K653" s="13">
        <f>INDEX(Assumptions!$B$4:$B$23,MATCH(F653,Assumptions!$A$4:$A$23,0))</f>
        <v>0.5780346820809249</v>
      </c>
      <c r="L653" s="14">
        <f t="shared" si="20"/>
        <v>1.1502890173410405</v>
      </c>
      <c r="M653" t="str">
        <f t="shared" si="21"/>
        <v>Yes</v>
      </c>
    </row>
    <row r="654" spans="1:13" x14ac:dyDescent="0.25">
      <c r="A654">
        <v>338979</v>
      </c>
      <c r="C654" t="s">
        <v>6221</v>
      </c>
      <c r="D654" t="s">
        <v>1916</v>
      </c>
      <c r="E654">
        <v>8.49</v>
      </c>
      <c r="F654" t="s">
        <v>1836</v>
      </c>
      <c r="G654" t="s">
        <v>1854</v>
      </c>
      <c r="H654" t="s">
        <v>1837</v>
      </c>
      <c r="I654" s="11">
        <v>46169</v>
      </c>
      <c r="J654" s="12">
        <v>46143</v>
      </c>
      <c r="K654" s="13">
        <f>INDEX(Assumptions!$B$4:$B$23,MATCH(F654,Assumptions!$A$4:$A$23,0))</f>
        <v>0.5780346820809249</v>
      </c>
      <c r="L654" s="14">
        <f t="shared" si="20"/>
        <v>4.907514450867053</v>
      </c>
      <c r="M654" t="str">
        <f t="shared" si="21"/>
        <v>Yes</v>
      </c>
    </row>
    <row r="655" spans="1:13" x14ac:dyDescent="0.25">
      <c r="A655">
        <v>338978</v>
      </c>
      <c r="C655" t="s">
        <v>6221</v>
      </c>
      <c r="D655" t="s">
        <v>1950</v>
      </c>
      <c r="E655">
        <v>7.89</v>
      </c>
      <c r="F655" t="s">
        <v>1836</v>
      </c>
      <c r="G655" t="s">
        <v>1838</v>
      </c>
      <c r="H655" t="s">
        <v>1837</v>
      </c>
      <c r="I655" s="11">
        <v>46178</v>
      </c>
      <c r="J655" s="12">
        <v>46174</v>
      </c>
      <c r="K655" s="13">
        <f>INDEX(Assumptions!$B$4:$B$23,MATCH(F655,Assumptions!$A$4:$A$23,0))</f>
        <v>0.5780346820809249</v>
      </c>
      <c r="L655" s="14">
        <f t="shared" si="20"/>
        <v>4.5606936416184976</v>
      </c>
      <c r="M655" t="str">
        <f t="shared" si="21"/>
        <v>Yes</v>
      </c>
    </row>
    <row r="656" spans="1:13" x14ac:dyDescent="0.25">
      <c r="A656">
        <v>338977</v>
      </c>
      <c r="C656" t="s">
        <v>6221</v>
      </c>
      <c r="D656" t="s">
        <v>2075</v>
      </c>
      <c r="E656">
        <v>1.99</v>
      </c>
      <c r="F656" t="s">
        <v>1836</v>
      </c>
      <c r="G656" t="s">
        <v>1838</v>
      </c>
      <c r="H656" t="s">
        <v>1837</v>
      </c>
      <c r="I656" s="11">
        <v>46178</v>
      </c>
      <c r="J656" s="12">
        <v>46174</v>
      </c>
      <c r="K656" s="13">
        <f>INDEX(Assumptions!$B$4:$B$23,MATCH(F656,Assumptions!$A$4:$A$23,0))</f>
        <v>0.5780346820809249</v>
      </c>
      <c r="L656" s="14">
        <f t="shared" si="20"/>
        <v>1.1502890173410405</v>
      </c>
      <c r="M656" t="str">
        <f t="shared" si="21"/>
        <v>Yes</v>
      </c>
    </row>
    <row r="657" spans="1:13" x14ac:dyDescent="0.25">
      <c r="A657">
        <v>338976</v>
      </c>
      <c r="C657" t="s">
        <v>6221</v>
      </c>
      <c r="D657" t="s">
        <v>1916</v>
      </c>
      <c r="E657">
        <v>8.49</v>
      </c>
      <c r="F657" t="s">
        <v>1836</v>
      </c>
      <c r="G657" t="s">
        <v>1838</v>
      </c>
      <c r="H657" t="s">
        <v>1837</v>
      </c>
      <c r="I657" s="11">
        <v>46164</v>
      </c>
      <c r="J657" s="12">
        <v>46143</v>
      </c>
      <c r="K657" s="13">
        <f>INDEX(Assumptions!$B$4:$B$23,MATCH(F657,Assumptions!$A$4:$A$23,0))</f>
        <v>0.5780346820809249</v>
      </c>
      <c r="L657" s="14">
        <f t="shared" si="20"/>
        <v>4.907514450867053</v>
      </c>
      <c r="M657" t="str">
        <f t="shared" si="21"/>
        <v>Yes</v>
      </c>
    </row>
    <row r="658" spans="1:13" x14ac:dyDescent="0.25">
      <c r="A658">
        <v>338975</v>
      </c>
      <c r="C658" t="s">
        <v>6221</v>
      </c>
      <c r="D658" t="s">
        <v>1950</v>
      </c>
      <c r="E658">
        <v>5</v>
      </c>
      <c r="F658" t="s">
        <v>1836</v>
      </c>
      <c r="G658" t="s">
        <v>1838</v>
      </c>
      <c r="H658" t="s">
        <v>1837</v>
      </c>
      <c r="I658" s="11">
        <v>46164</v>
      </c>
      <c r="J658" s="12">
        <v>46143</v>
      </c>
      <c r="K658" s="13">
        <f>INDEX(Assumptions!$B$4:$B$23,MATCH(F658,Assumptions!$A$4:$A$23,0))</f>
        <v>0.5780346820809249</v>
      </c>
      <c r="L658" s="14">
        <f t="shared" si="20"/>
        <v>2.8901734104046244</v>
      </c>
      <c r="M658" t="str">
        <f t="shared" si="21"/>
        <v>Yes</v>
      </c>
    </row>
    <row r="659" spans="1:13" x14ac:dyDescent="0.25">
      <c r="A659">
        <v>338974</v>
      </c>
      <c r="C659" t="s">
        <v>6221</v>
      </c>
      <c r="D659" t="s">
        <v>1960</v>
      </c>
      <c r="E659">
        <v>1.0900000000000001</v>
      </c>
      <c r="F659" t="s">
        <v>1836</v>
      </c>
      <c r="G659" t="s">
        <v>1838</v>
      </c>
      <c r="H659" t="s">
        <v>1837</v>
      </c>
      <c r="I659" s="11">
        <v>46178</v>
      </c>
      <c r="J659" s="12">
        <v>46174</v>
      </c>
      <c r="K659" s="13">
        <f>INDEX(Assumptions!$B$4:$B$23,MATCH(F659,Assumptions!$A$4:$A$23,0))</f>
        <v>0.5780346820809249</v>
      </c>
      <c r="L659" s="14">
        <f t="shared" si="20"/>
        <v>0.63005780346820817</v>
      </c>
      <c r="M659" t="str">
        <f t="shared" si="21"/>
        <v>Yes</v>
      </c>
    </row>
    <row r="660" spans="1:13" x14ac:dyDescent="0.25">
      <c r="A660">
        <v>338973</v>
      </c>
      <c r="C660" t="s">
        <v>6221</v>
      </c>
      <c r="D660" t="s">
        <v>1973</v>
      </c>
      <c r="E660">
        <v>10.99</v>
      </c>
      <c r="F660" t="s">
        <v>1836</v>
      </c>
      <c r="G660" t="s">
        <v>1854</v>
      </c>
      <c r="H660" t="s">
        <v>1837</v>
      </c>
      <c r="I660" s="11">
        <v>46167</v>
      </c>
      <c r="J660" s="12">
        <v>46143</v>
      </c>
      <c r="K660" s="13">
        <f>INDEX(Assumptions!$B$4:$B$23,MATCH(F660,Assumptions!$A$4:$A$23,0))</f>
        <v>0.5780346820809249</v>
      </c>
      <c r="L660" s="14">
        <f t="shared" si="20"/>
        <v>6.3526011560693645</v>
      </c>
      <c r="M660" t="str">
        <f t="shared" si="21"/>
        <v>Yes</v>
      </c>
    </row>
    <row r="661" spans="1:13" x14ac:dyDescent="0.25">
      <c r="A661">
        <v>338972</v>
      </c>
      <c r="C661" t="s">
        <v>6221</v>
      </c>
      <c r="D661" t="s">
        <v>1844</v>
      </c>
      <c r="E661">
        <v>0.83</v>
      </c>
      <c r="F661" t="s">
        <v>1836</v>
      </c>
      <c r="G661" t="s">
        <v>1854</v>
      </c>
      <c r="H661" t="s">
        <v>1837</v>
      </c>
      <c r="I661" s="11">
        <v>46167</v>
      </c>
      <c r="J661" s="12">
        <v>46143</v>
      </c>
      <c r="K661" s="13">
        <f>INDEX(Assumptions!$B$4:$B$23,MATCH(F661,Assumptions!$A$4:$A$23,0))</f>
        <v>0.5780346820809249</v>
      </c>
      <c r="L661" s="14">
        <f t="shared" si="20"/>
        <v>0.47976878612716767</v>
      </c>
      <c r="M661" t="str">
        <f t="shared" si="21"/>
        <v>Yes</v>
      </c>
    </row>
    <row r="662" spans="1:13" x14ac:dyDescent="0.25">
      <c r="A662">
        <v>338971</v>
      </c>
      <c r="C662" t="s">
        <v>6221</v>
      </c>
      <c r="D662" t="s">
        <v>2085</v>
      </c>
      <c r="E662">
        <v>1.19</v>
      </c>
      <c r="F662" t="s">
        <v>1836</v>
      </c>
      <c r="G662" t="s">
        <v>1854</v>
      </c>
      <c r="H662" t="s">
        <v>1837</v>
      </c>
      <c r="I662" s="11">
        <v>46167</v>
      </c>
      <c r="J662" s="12">
        <v>46143</v>
      </c>
      <c r="K662" s="13">
        <f>INDEX(Assumptions!$B$4:$B$23,MATCH(F662,Assumptions!$A$4:$A$23,0))</f>
        <v>0.5780346820809249</v>
      </c>
      <c r="L662" s="14">
        <f t="shared" si="20"/>
        <v>0.68786127167630062</v>
      </c>
      <c r="M662" t="str">
        <f t="shared" si="21"/>
        <v>Yes</v>
      </c>
    </row>
    <row r="663" spans="1:13" x14ac:dyDescent="0.25">
      <c r="A663">
        <v>338970</v>
      </c>
      <c r="C663" t="s">
        <v>6221</v>
      </c>
      <c r="D663" t="s">
        <v>1879</v>
      </c>
      <c r="E663">
        <v>2.4900000000000002</v>
      </c>
      <c r="F663" t="s">
        <v>1836</v>
      </c>
      <c r="G663" t="s">
        <v>1838</v>
      </c>
      <c r="H663" t="s">
        <v>1837</v>
      </c>
      <c r="I663" s="11">
        <v>46161</v>
      </c>
      <c r="J663" s="12">
        <v>46143</v>
      </c>
      <c r="K663" s="13">
        <f>INDEX(Assumptions!$B$4:$B$23,MATCH(F663,Assumptions!$A$4:$A$23,0))</f>
        <v>0.5780346820809249</v>
      </c>
      <c r="L663" s="14">
        <f t="shared" si="20"/>
        <v>1.4393063583815031</v>
      </c>
      <c r="M663" t="str">
        <f t="shared" si="21"/>
        <v>Yes</v>
      </c>
    </row>
    <row r="664" spans="1:13" x14ac:dyDescent="0.25">
      <c r="A664">
        <v>338969</v>
      </c>
      <c r="C664" t="s">
        <v>6221</v>
      </c>
      <c r="D664" t="s">
        <v>1973</v>
      </c>
      <c r="E664">
        <v>1.99</v>
      </c>
      <c r="F664" t="s">
        <v>1836</v>
      </c>
      <c r="G664" t="s">
        <v>1838</v>
      </c>
      <c r="H664" t="s">
        <v>1837</v>
      </c>
      <c r="I664" s="11">
        <v>46166</v>
      </c>
      <c r="J664" s="12">
        <v>46143</v>
      </c>
      <c r="K664" s="13">
        <f>INDEX(Assumptions!$B$4:$B$23,MATCH(F664,Assumptions!$A$4:$A$23,0))</f>
        <v>0.5780346820809249</v>
      </c>
      <c r="L664" s="14">
        <f t="shared" si="20"/>
        <v>1.1502890173410405</v>
      </c>
      <c r="M664" t="str">
        <f t="shared" si="21"/>
        <v>Yes</v>
      </c>
    </row>
    <row r="665" spans="1:13" x14ac:dyDescent="0.25">
      <c r="A665">
        <v>338968</v>
      </c>
      <c r="B665" t="s">
        <v>2091</v>
      </c>
      <c r="C665" t="s">
        <v>2092</v>
      </c>
      <c r="D665" t="s">
        <v>6220</v>
      </c>
      <c r="E665">
        <v>33.9</v>
      </c>
      <c r="F665" t="s">
        <v>1681</v>
      </c>
      <c r="G665" t="s">
        <v>1691</v>
      </c>
      <c r="H665" t="s">
        <v>1682</v>
      </c>
      <c r="I665" s="11">
        <v>46297</v>
      </c>
      <c r="J665" s="12">
        <v>46296</v>
      </c>
      <c r="K665" s="13">
        <f>INDEX(Assumptions!$B$4:$B$23,MATCH(F665,Assumptions!$A$4:$A$23,0))</f>
        <v>0.10101010101010099</v>
      </c>
      <c r="L665" s="14">
        <f t="shared" si="20"/>
        <v>3.4242424242424234</v>
      </c>
      <c r="M665" t="str">
        <f t="shared" si="21"/>
        <v>No</v>
      </c>
    </row>
    <row r="666" spans="1:13" x14ac:dyDescent="0.25">
      <c r="A666">
        <v>338967</v>
      </c>
      <c r="B666" t="s">
        <v>2094</v>
      </c>
      <c r="C666" t="s">
        <v>2095</v>
      </c>
      <c r="D666" t="s">
        <v>6220</v>
      </c>
      <c r="E666">
        <v>27.9</v>
      </c>
      <c r="F666" t="s">
        <v>1681</v>
      </c>
      <c r="G666" t="s">
        <v>1691</v>
      </c>
      <c r="H666" t="s">
        <v>1682</v>
      </c>
      <c r="I666" s="11">
        <v>46297</v>
      </c>
      <c r="J666" s="12">
        <v>46296</v>
      </c>
      <c r="K666" s="13">
        <f>INDEX(Assumptions!$B$4:$B$23,MATCH(F666,Assumptions!$A$4:$A$23,0))</f>
        <v>0.10101010101010099</v>
      </c>
      <c r="L666" s="14">
        <f t="shared" si="20"/>
        <v>2.8181818181818175</v>
      </c>
      <c r="M666" t="str">
        <f t="shared" si="21"/>
        <v>No</v>
      </c>
    </row>
    <row r="667" spans="1:13" x14ac:dyDescent="0.25">
      <c r="A667">
        <v>338966</v>
      </c>
      <c r="B667" t="s">
        <v>2097</v>
      </c>
      <c r="C667" t="s">
        <v>2098</v>
      </c>
      <c r="D667" t="s">
        <v>6220</v>
      </c>
      <c r="E667">
        <v>31.9</v>
      </c>
      <c r="F667" t="s">
        <v>1681</v>
      </c>
      <c r="G667" t="s">
        <v>1691</v>
      </c>
      <c r="H667" t="s">
        <v>1682</v>
      </c>
      <c r="I667" s="11">
        <v>46297</v>
      </c>
      <c r="J667" s="12">
        <v>46296</v>
      </c>
      <c r="K667" s="13">
        <f>INDEX(Assumptions!$B$4:$B$23,MATCH(F667,Assumptions!$A$4:$A$23,0))</f>
        <v>0.10101010101010099</v>
      </c>
      <c r="L667" s="14">
        <f t="shared" si="20"/>
        <v>3.2222222222222214</v>
      </c>
      <c r="M667" t="str">
        <f t="shared" si="21"/>
        <v>No</v>
      </c>
    </row>
    <row r="668" spans="1:13" x14ac:dyDescent="0.25">
      <c r="A668">
        <v>338965</v>
      </c>
      <c r="C668" t="s">
        <v>6221</v>
      </c>
      <c r="D668" t="s">
        <v>1850</v>
      </c>
      <c r="E668">
        <v>2.99</v>
      </c>
      <c r="F668" t="s">
        <v>1836</v>
      </c>
      <c r="G668" t="s">
        <v>1854</v>
      </c>
      <c r="H668" t="s">
        <v>1837</v>
      </c>
      <c r="I668" s="11">
        <v>46169</v>
      </c>
      <c r="J668" s="12">
        <v>46143</v>
      </c>
      <c r="K668" s="13">
        <f>INDEX(Assumptions!$B$4:$B$23,MATCH(F668,Assumptions!$A$4:$A$23,0))</f>
        <v>0.5780346820809249</v>
      </c>
      <c r="L668" s="14">
        <f t="shared" si="20"/>
        <v>1.7283236994219655</v>
      </c>
      <c r="M668" t="str">
        <f t="shared" si="21"/>
        <v>Yes</v>
      </c>
    </row>
    <row r="669" spans="1:13" x14ac:dyDescent="0.25">
      <c r="A669">
        <v>338964</v>
      </c>
      <c r="C669" t="s">
        <v>6221</v>
      </c>
      <c r="D669" t="s">
        <v>1952</v>
      </c>
      <c r="E669">
        <v>2.99</v>
      </c>
      <c r="F669" t="s">
        <v>1836</v>
      </c>
      <c r="G669" t="s">
        <v>1838</v>
      </c>
      <c r="H669" t="s">
        <v>1837</v>
      </c>
      <c r="I669" s="11">
        <v>46168</v>
      </c>
      <c r="J669" s="12">
        <v>46143</v>
      </c>
      <c r="K669" s="13">
        <f>INDEX(Assumptions!$B$4:$B$23,MATCH(F669,Assumptions!$A$4:$A$23,0))</f>
        <v>0.5780346820809249</v>
      </c>
      <c r="L669" s="14">
        <f t="shared" si="20"/>
        <v>1.7283236994219655</v>
      </c>
      <c r="M669" t="str">
        <f t="shared" si="21"/>
        <v>Yes</v>
      </c>
    </row>
    <row r="670" spans="1:13" x14ac:dyDescent="0.25">
      <c r="A670">
        <v>338963</v>
      </c>
      <c r="C670" t="s">
        <v>6221</v>
      </c>
      <c r="D670" t="s">
        <v>2104</v>
      </c>
      <c r="E670">
        <v>0.99</v>
      </c>
      <c r="F670" t="s">
        <v>1836</v>
      </c>
      <c r="G670" t="s">
        <v>1838</v>
      </c>
      <c r="H670" t="s">
        <v>1837</v>
      </c>
      <c r="I670" s="11">
        <v>46167</v>
      </c>
      <c r="J670" s="12">
        <v>46143</v>
      </c>
      <c r="K670" s="13">
        <f>INDEX(Assumptions!$B$4:$B$23,MATCH(F670,Assumptions!$A$4:$A$23,0))</f>
        <v>0.5780346820809249</v>
      </c>
      <c r="L670" s="14">
        <f t="shared" si="20"/>
        <v>0.5722543352601156</v>
      </c>
      <c r="M670" t="str">
        <f t="shared" si="21"/>
        <v>Yes</v>
      </c>
    </row>
    <row r="671" spans="1:13" x14ac:dyDescent="0.25">
      <c r="A671">
        <v>338962</v>
      </c>
      <c r="C671" t="s">
        <v>6221</v>
      </c>
      <c r="D671" t="s">
        <v>1857</v>
      </c>
      <c r="E671">
        <v>0.95</v>
      </c>
      <c r="F671" t="s">
        <v>1836</v>
      </c>
      <c r="G671" t="s">
        <v>1838</v>
      </c>
      <c r="H671" t="s">
        <v>1837</v>
      </c>
      <c r="I671" s="11">
        <v>46169</v>
      </c>
      <c r="J671" s="12">
        <v>46143</v>
      </c>
      <c r="K671" s="13">
        <f>INDEX(Assumptions!$B$4:$B$23,MATCH(F671,Assumptions!$A$4:$A$23,0))</f>
        <v>0.5780346820809249</v>
      </c>
      <c r="L671" s="14">
        <f t="shared" si="20"/>
        <v>0.54913294797687862</v>
      </c>
      <c r="M671" t="str">
        <f t="shared" si="21"/>
        <v>Yes</v>
      </c>
    </row>
    <row r="672" spans="1:13" x14ac:dyDescent="0.25">
      <c r="A672">
        <v>338961</v>
      </c>
      <c r="C672" t="s">
        <v>6221</v>
      </c>
      <c r="D672" t="s">
        <v>1944</v>
      </c>
      <c r="E672">
        <v>0.99</v>
      </c>
      <c r="F672" t="s">
        <v>1836</v>
      </c>
      <c r="G672" t="s">
        <v>1838</v>
      </c>
      <c r="H672" t="s">
        <v>1837</v>
      </c>
      <c r="I672" s="11">
        <v>46169</v>
      </c>
      <c r="J672" s="12">
        <v>46143</v>
      </c>
      <c r="K672" s="13">
        <f>INDEX(Assumptions!$B$4:$B$23,MATCH(F672,Assumptions!$A$4:$A$23,0))</f>
        <v>0.5780346820809249</v>
      </c>
      <c r="L672" s="14">
        <f t="shared" si="20"/>
        <v>0.5722543352601156</v>
      </c>
      <c r="M672" t="str">
        <f t="shared" si="21"/>
        <v>Yes</v>
      </c>
    </row>
    <row r="673" spans="1:13" x14ac:dyDescent="0.25">
      <c r="A673">
        <v>338960</v>
      </c>
      <c r="C673" t="s">
        <v>6221</v>
      </c>
      <c r="D673" t="s">
        <v>2108</v>
      </c>
      <c r="E673">
        <v>1.25</v>
      </c>
      <c r="F673" t="s">
        <v>1836</v>
      </c>
      <c r="G673" t="s">
        <v>1908</v>
      </c>
      <c r="H673" t="s">
        <v>1837</v>
      </c>
      <c r="I673" s="11">
        <v>46166</v>
      </c>
      <c r="J673" s="12">
        <v>46143</v>
      </c>
      <c r="K673" s="13">
        <f>INDEX(Assumptions!$B$4:$B$23,MATCH(F673,Assumptions!$A$4:$A$23,0))</f>
        <v>0.5780346820809249</v>
      </c>
      <c r="L673" s="14">
        <f t="shared" si="20"/>
        <v>0.7225433526011561</v>
      </c>
      <c r="M673" t="str">
        <f t="shared" si="21"/>
        <v>Yes</v>
      </c>
    </row>
    <row r="674" spans="1:13" x14ac:dyDescent="0.25">
      <c r="A674">
        <v>338959</v>
      </c>
      <c r="C674" t="s">
        <v>6221</v>
      </c>
      <c r="D674" t="s">
        <v>2110</v>
      </c>
      <c r="E674">
        <v>1.49</v>
      </c>
      <c r="F674" t="s">
        <v>1836</v>
      </c>
      <c r="G674" t="s">
        <v>1908</v>
      </c>
      <c r="H674" t="s">
        <v>1837</v>
      </c>
      <c r="I674" s="11">
        <v>46166</v>
      </c>
      <c r="J674" s="12">
        <v>46143</v>
      </c>
      <c r="K674" s="13">
        <f>INDEX(Assumptions!$B$4:$B$23,MATCH(F674,Assumptions!$A$4:$A$23,0))</f>
        <v>0.5780346820809249</v>
      </c>
      <c r="L674" s="14">
        <f t="shared" si="20"/>
        <v>0.8612716763005781</v>
      </c>
      <c r="M674" t="str">
        <f t="shared" si="21"/>
        <v>Yes</v>
      </c>
    </row>
    <row r="675" spans="1:13" x14ac:dyDescent="0.25">
      <c r="A675">
        <v>338958</v>
      </c>
      <c r="C675" t="s">
        <v>6221</v>
      </c>
      <c r="D675" t="s">
        <v>1944</v>
      </c>
      <c r="E675">
        <v>1.7</v>
      </c>
      <c r="F675" t="s">
        <v>1836</v>
      </c>
      <c r="G675" t="s">
        <v>1854</v>
      </c>
      <c r="H675" t="s">
        <v>1837</v>
      </c>
      <c r="I675" s="11">
        <v>46167</v>
      </c>
      <c r="J675" s="12">
        <v>46143</v>
      </c>
      <c r="K675" s="13">
        <f>INDEX(Assumptions!$B$4:$B$23,MATCH(F675,Assumptions!$A$4:$A$23,0))</f>
        <v>0.5780346820809249</v>
      </c>
      <c r="L675" s="14">
        <f t="shared" si="20"/>
        <v>0.98265895953757232</v>
      </c>
      <c r="M675" t="str">
        <f t="shared" si="21"/>
        <v>Yes</v>
      </c>
    </row>
    <row r="676" spans="1:13" x14ac:dyDescent="0.25">
      <c r="A676">
        <v>338957</v>
      </c>
      <c r="C676" t="s">
        <v>6221</v>
      </c>
      <c r="D676" t="s">
        <v>1916</v>
      </c>
      <c r="E676">
        <v>16.989999999999998</v>
      </c>
      <c r="F676" t="s">
        <v>1836</v>
      </c>
      <c r="G676" t="s">
        <v>1838</v>
      </c>
      <c r="H676" t="s">
        <v>1837</v>
      </c>
      <c r="I676" s="11">
        <v>46167</v>
      </c>
      <c r="J676" s="12">
        <v>46143</v>
      </c>
      <c r="K676" s="13">
        <f>INDEX(Assumptions!$B$4:$B$23,MATCH(F676,Assumptions!$A$4:$A$23,0))</f>
        <v>0.5780346820809249</v>
      </c>
      <c r="L676" s="14">
        <f t="shared" si="20"/>
        <v>9.8208092485549123</v>
      </c>
      <c r="M676" t="str">
        <f t="shared" si="21"/>
        <v>Yes</v>
      </c>
    </row>
    <row r="677" spans="1:13" x14ac:dyDescent="0.25">
      <c r="A677">
        <v>338956</v>
      </c>
      <c r="C677" t="s">
        <v>6221</v>
      </c>
      <c r="D677" t="s">
        <v>1916</v>
      </c>
      <c r="E677">
        <v>8.5</v>
      </c>
      <c r="F677" t="s">
        <v>1836</v>
      </c>
      <c r="G677" t="s">
        <v>1854</v>
      </c>
      <c r="H677" t="s">
        <v>1837</v>
      </c>
      <c r="I677" s="11">
        <v>46167</v>
      </c>
      <c r="J677" s="12">
        <v>46143</v>
      </c>
      <c r="K677" s="13">
        <f>INDEX(Assumptions!$B$4:$B$23,MATCH(F677,Assumptions!$A$4:$A$23,0))</f>
        <v>0.5780346820809249</v>
      </c>
      <c r="L677" s="14">
        <f t="shared" si="20"/>
        <v>4.913294797687862</v>
      </c>
      <c r="M677" t="str">
        <f t="shared" si="21"/>
        <v>Yes</v>
      </c>
    </row>
    <row r="678" spans="1:13" x14ac:dyDescent="0.25">
      <c r="A678">
        <v>338955</v>
      </c>
      <c r="C678" t="s">
        <v>6221</v>
      </c>
      <c r="D678" t="s">
        <v>1950</v>
      </c>
      <c r="E678">
        <v>7.93</v>
      </c>
      <c r="F678" t="s">
        <v>1836</v>
      </c>
      <c r="G678" t="s">
        <v>1838</v>
      </c>
      <c r="H678" t="s">
        <v>1837</v>
      </c>
      <c r="I678" s="11">
        <v>46145</v>
      </c>
      <c r="J678" s="12">
        <v>46143</v>
      </c>
      <c r="K678" s="13">
        <f>INDEX(Assumptions!$B$4:$B$23,MATCH(F678,Assumptions!$A$4:$A$23,0))</f>
        <v>0.5780346820809249</v>
      </c>
      <c r="L678" s="14">
        <f t="shared" si="20"/>
        <v>4.5838150289017339</v>
      </c>
      <c r="M678" t="str">
        <f t="shared" si="21"/>
        <v>Yes</v>
      </c>
    </row>
    <row r="679" spans="1:13" x14ac:dyDescent="0.25">
      <c r="A679">
        <v>338954</v>
      </c>
      <c r="C679" t="s">
        <v>6221</v>
      </c>
      <c r="D679" t="s">
        <v>2116</v>
      </c>
      <c r="E679">
        <v>3.49</v>
      </c>
      <c r="F679" t="s">
        <v>1836</v>
      </c>
      <c r="G679" t="s">
        <v>1838</v>
      </c>
      <c r="H679" t="s">
        <v>1837</v>
      </c>
      <c r="I679" s="11">
        <v>46168</v>
      </c>
      <c r="J679" s="12">
        <v>46143</v>
      </c>
      <c r="K679" s="13">
        <f>INDEX(Assumptions!$B$4:$B$23,MATCH(F679,Assumptions!$A$4:$A$23,0))</f>
        <v>0.5780346820809249</v>
      </c>
      <c r="L679" s="14">
        <f t="shared" si="20"/>
        <v>2.0173410404624281</v>
      </c>
      <c r="M679" t="str">
        <f t="shared" si="21"/>
        <v>Yes</v>
      </c>
    </row>
    <row r="680" spans="1:13" x14ac:dyDescent="0.25">
      <c r="A680">
        <v>338953</v>
      </c>
      <c r="C680" t="s">
        <v>6221</v>
      </c>
      <c r="D680" t="s">
        <v>2118</v>
      </c>
      <c r="E680">
        <v>7.39</v>
      </c>
      <c r="F680" t="s">
        <v>1836</v>
      </c>
      <c r="G680" t="s">
        <v>1838</v>
      </c>
      <c r="H680" t="s">
        <v>1837</v>
      </c>
      <c r="I680" s="11">
        <v>46168</v>
      </c>
      <c r="J680" s="12">
        <v>46143</v>
      </c>
      <c r="K680" s="13">
        <f>INDEX(Assumptions!$B$4:$B$23,MATCH(F680,Assumptions!$A$4:$A$23,0))</f>
        <v>0.5780346820809249</v>
      </c>
      <c r="L680" s="14">
        <f t="shared" si="20"/>
        <v>4.2716763005780347</v>
      </c>
      <c r="M680" t="str">
        <f t="shared" si="21"/>
        <v>Yes</v>
      </c>
    </row>
    <row r="681" spans="1:13" x14ac:dyDescent="0.25">
      <c r="A681">
        <v>338952</v>
      </c>
      <c r="B681" t="s">
        <v>2121</v>
      </c>
      <c r="C681" t="s">
        <v>2122</v>
      </c>
      <c r="D681" t="s">
        <v>6220</v>
      </c>
      <c r="E681">
        <v>16.899999999999999</v>
      </c>
      <c r="F681" t="s">
        <v>1681</v>
      </c>
      <c r="G681" t="s">
        <v>1691</v>
      </c>
      <c r="H681" t="s">
        <v>1682</v>
      </c>
      <c r="I681" s="11">
        <v>46297</v>
      </c>
      <c r="J681" s="12">
        <v>46296</v>
      </c>
      <c r="K681" s="13">
        <f>INDEX(Assumptions!$B$4:$B$23,MATCH(F681,Assumptions!$A$4:$A$23,0))</f>
        <v>0.10101010101010099</v>
      </c>
      <c r="L681" s="14">
        <f t="shared" si="20"/>
        <v>1.7070707070707067</v>
      </c>
      <c r="M681" t="str">
        <f t="shared" si="21"/>
        <v>No</v>
      </c>
    </row>
    <row r="682" spans="1:13" x14ac:dyDescent="0.25">
      <c r="A682">
        <v>338951</v>
      </c>
      <c r="B682" t="s">
        <v>2125</v>
      </c>
      <c r="C682" t="s">
        <v>2126</v>
      </c>
      <c r="D682" t="s">
        <v>6220</v>
      </c>
      <c r="E682">
        <v>19.899999999999999</v>
      </c>
      <c r="F682" t="s">
        <v>1681</v>
      </c>
      <c r="G682" t="s">
        <v>1691</v>
      </c>
      <c r="H682" t="s">
        <v>1682</v>
      </c>
      <c r="I682" s="11">
        <v>46297</v>
      </c>
      <c r="J682" s="12">
        <v>46296</v>
      </c>
      <c r="K682" s="13">
        <f>INDEX(Assumptions!$B$4:$B$23,MATCH(F682,Assumptions!$A$4:$A$23,0))</f>
        <v>0.10101010101010099</v>
      </c>
      <c r="L682" s="14">
        <f t="shared" si="20"/>
        <v>2.0101010101010095</v>
      </c>
      <c r="M682" t="str">
        <f t="shared" si="21"/>
        <v>No</v>
      </c>
    </row>
    <row r="683" spans="1:13" x14ac:dyDescent="0.25">
      <c r="A683">
        <v>338950</v>
      </c>
      <c r="B683" t="s">
        <v>2128</v>
      </c>
      <c r="C683" t="s">
        <v>2129</v>
      </c>
      <c r="D683" t="s">
        <v>6220</v>
      </c>
      <c r="E683">
        <v>16.899999999999999</v>
      </c>
      <c r="F683" t="s">
        <v>1681</v>
      </c>
      <c r="G683" t="s">
        <v>1691</v>
      </c>
      <c r="H683" t="s">
        <v>1682</v>
      </c>
      <c r="I683" s="11">
        <v>46297</v>
      </c>
      <c r="J683" s="12">
        <v>46296</v>
      </c>
      <c r="K683" s="13">
        <f>INDEX(Assumptions!$B$4:$B$23,MATCH(F683,Assumptions!$A$4:$A$23,0))</f>
        <v>0.10101010101010099</v>
      </c>
      <c r="L683" s="14">
        <f t="shared" si="20"/>
        <v>1.7070707070707067</v>
      </c>
      <c r="M683" t="str">
        <f t="shared" si="21"/>
        <v>No</v>
      </c>
    </row>
    <row r="684" spans="1:13" x14ac:dyDescent="0.25">
      <c r="A684">
        <v>338949</v>
      </c>
      <c r="B684" t="s">
        <v>2131</v>
      </c>
      <c r="C684" t="s">
        <v>6221</v>
      </c>
      <c r="D684" t="s">
        <v>6220</v>
      </c>
      <c r="E684">
        <v>5.99</v>
      </c>
      <c r="F684" t="s">
        <v>1836</v>
      </c>
      <c r="G684" t="s">
        <v>1908</v>
      </c>
      <c r="H684" t="s">
        <v>1837</v>
      </c>
      <c r="I684" s="11">
        <v>46180</v>
      </c>
      <c r="J684" s="12">
        <v>46174</v>
      </c>
      <c r="K684" s="13">
        <f>INDEX(Assumptions!$B$4:$B$23,MATCH(F684,Assumptions!$A$4:$A$23,0))</f>
        <v>0.5780346820809249</v>
      </c>
      <c r="L684" s="14">
        <f t="shared" si="20"/>
        <v>3.4624277456647401</v>
      </c>
      <c r="M684" t="str">
        <f t="shared" si="21"/>
        <v>Yes</v>
      </c>
    </row>
    <row r="685" spans="1:13" x14ac:dyDescent="0.25">
      <c r="A685">
        <v>338948</v>
      </c>
      <c r="B685" t="s">
        <v>2134</v>
      </c>
      <c r="C685" t="s">
        <v>6221</v>
      </c>
      <c r="D685" t="s">
        <v>6220</v>
      </c>
      <c r="E685">
        <v>3.69</v>
      </c>
      <c r="F685" t="s">
        <v>1836</v>
      </c>
      <c r="G685" t="s">
        <v>1908</v>
      </c>
      <c r="H685" t="s">
        <v>1837</v>
      </c>
      <c r="I685" s="11">
        <v>46180</v>
      </c>
      <c r="J685" s="12">
        <v>46174</v>
      </c>
      <c r="K685" s="13">
        <f>INDEX(Assumptions!$B$4:$B$23,MATCH(F685,Assumptions!$A$4:$A$23,0))</f>
        <v>0.5780346820809249</v>
      </c>
      <c r="L685" s="14">
        <f t="shared" si="20"/>
        <v>2.1329479768786128</v>
      </c>
      <c r="M685" t="str">
        <f t="shared" si="21"/>
        <v>Yes</v>
      </c>
    </row>
    <row r="686" spans="1:13" x14ac:dyDescent="0.25">
      <c r="A686">
        <v>338947</v>
      </c>
      <c r="B686" t="s">
        <v>2136</v>
      </c>
      <c r="C686" t="s">
        <v>6221</v>
      </c>
      <c r="D686" t="s">
        <v>6220</v>
      </c>
      <c r="E686">
        <v>3.49</v>
      </c>
      <c r="F686" t="s">
        <v>1836</v>
      </c>
      <c r="G686" t="s">
        <v>1908</v>
      </c>
      <c r="H686" t="s">
        <v>1837</v>
      </c>
      <c r="I686" s="11">
        <v>46180</v>
      </c>
      <c r="J686" s="12">
        <v>46174</v>
      </c>
      <c r="K686" s="13">
        <f>INDEX(Assumptions!$B$4:$B$23,MATCH(F686,Assumptions!$A$4:$A$23,0))</f>
        <v>0.5780346820809249</v>
      </c>
      <c r="L686" s="14">
        <f t="shared" si="20"/>
        <v>2.0173410404624281</v>
      </c>
      <c r="M686" t="str">
        <f t="shared" si="21"/>
        <v>Yes</v>
      </c>
    </row>
    <row r="687" spans="1:13" x14ac:dyDescent="0.25">
      <c r="A687">
        <v>338946</v>
      </c>
      <c r="B687" t="s">
        <v>2138</v>
      </c>
      <c r="C687" t="s">
        <v>6221</v>
      </c>
      <c r="D687" t="s">
        <v>6220</v>
      </c>
      <c r="E687">
        <v>2.4500000000000002</v>
      </c>
      <c r="F687" t="s">
        <v>1836</v>
      </c>
      <c r="G687" t="s">
        <v>1908</v>
      </c>
      <c r="H687" t="s">
        <v>1837</v>
      </c>
      <c r="I687" s="11">
        <v>46180</v>
      </c>
      <c r="J687" s="12">
        <v>46174</v>
      </c>
      <c r="K687" s="13">
        <f>INDEX(Assumptions!$B$4:$B$23,MATCH(F687,Assumptions!$A$4:$A$23,0))</f>
        <v>0.5780346820809249</v>
      </c>
      <c r="L687" s="14">
        <f t="shared" si="20"/>
        <v>1.4161849710982661</v>
      </c>
      <c r="M687" t="str">
        <f t="shared" si="21"/>
        <v>Yes</v>
      </c>
    </row>
    <row r="688" spans="1:13" x14ac:dyDescent="0.25">
      <c r="A688">
        <v>338945</v>
      </c>
      <c r="B688" t="s">
        <v>2140</v>
      </c>
      <c r="C688" t="s">
        <v>6221</v>
      </c>
      <c r="D688" t="s">
        <v>6220</v>
      </c>
      <c r="E688">
        <v>2.4500000000000002</v>
      </c>
      <c r="F688" t="s">
        <v>1836</v>
      </c>
      <c r="G688" t="s">
        <v>1908</v>
      </c>
      <c r="H688" t="s">
        <v>1837</v>
      </c>
      <c r="I688" s="11">
        <v>46180</v>
      </c>
      <c r="J688" s="12">
        <v>46174</v>
      </c>
      <c r="K688" s="13">
        <f>INDEX(Assumptions!$B$4:$B$23,MATCH(F688,Assumptions!$A$4:$A$23,0))</f>
        <v>0.5780346820809249</v>
      </c>
      <c r="L688" s="14">
        <f t="shared" si="20"/>
        <v>1.4161849710982661</v>
      </c>
      <c r="M688" t="str">
        <f t="shared" si="21"/>
        <v>Yes</v>
      </c>
    </row>
    <row r="689" spans="1:13" x14ac:dyDescent="0.25">
      <c r="A689">
        <v>338944</v>
      </c>
      <c r="B689" t="s">
        <v>2142</v>
      </c>
      <c r="C689" t="s">
        <v>2143</v>
      </c>
      <c r="D689" t="s">
        <v>6220</v>
      </c>
      <c r="E689">
        <v>14.2</v>
      </c>
      <c r="F689" t="s">
        <v>1681</v>
      </c>
      <c r="G689" t="s">
        <v>1691</v>
      </c>
      <c r="H689" t="s">
        <v>1682</v>
      </c>
      <c r="I689" s="11">
        <v>46297</v>
      </c>
      <c r="J689" s="12">
        <v>46296</v>
      </c>
      <c r="K689" s="13">
        <f>INDEX(Assumptions!$B$4:$B$23,MATCH(F689,Assumptions!$A$4:$A$23,0))</f>
        <v>0.10101010101010099</v>
      </c>
      <c r="L689" s="14">
        <f t="shared" si="20"/>
        <v>1.434343434343434</v>
      </c>
      <c r="M689" t="str">
        <f t="shared" si="21"/>
        <v>No</v>
      </c>
    </row>
    <row r="690" spans="1:13" x14ac:dyDescent="0.25">
      <c r="A690">
        <v>338942</v>
      </c>
      <c r="B690" t="s">
        <v>2121</v>
      </c>
      <c r="C690" t="s">
        <v>2146</v>
      </c>
      <c r="D690" t="s">
        <v>6220</v>
      </c>
      <c r="E690">
        <v>16.899999999999999</v>
      </c>
      <c r="F690" t="s">
        <v>1681</v>
      </c>
      <c r="G690" t="s">
        <v>1691</v>
      </c>
      <c r="H690" t="s">
        <v>1682</v>
      </c>
      <c r="I690" s="11">
        <v>46297</v>
      </c>
      <c r="J690" s="12">
        <v>46296</v>
      </c>
      <c r="K690" s="13">
        <f>INDEX(Assumptions!$B$4:$B$23,MATCH(F690,Assumptions!$A$4:$A$23,0))</f>
        <v>0.10101010101010099</v>
      </c>
      <c r="L690" s="14">
        <f t="shared" si="20"/>
        <v>1.7070707070707067</v>
      </c>
      <c r="M690" t="str">
        <f t="shared" si="21"/>
        <v>No</v>
      </c>
    </row>
    <row r="691" spans="1:13" x14ac:dyDescent="0.25">
      <c r="A691">
        <v>338943</v>
      </c>
      <c r="B691" t="s">
        <v>2148</v>
      </c>
      <c r="C691" t="s">
        <v>2149</v>
      </c>
      <c r="D691" t="s">
        <v>6220</v>
      </c>
      <c r="E691">
        <v>14.9</v>
      </c>
      <c r="F691" t="s">
        <v>1681</v>
      </c>
      <c r="G691" t="s">
        <v>1691</v>
      </c>
      <c r="H691" t="s">
        <v>1682</v>
      </c>
      <c r="I691" s="11">
        <v>46297</v>
      </c>
      <c r="J691" s="12">
        <v>46296</v>
      </c>
      <c r="K691" s="13">
        <f>INDEX(Assumptions!$B$4:$B$23,MATCH(F691,Assumptions!$A$4:$A$23,0))</f>
        <v>0.10101010101010099</v>
      </c>
      <c r="L691" s="14">
        <f t="shared" si="20"/>
        <v>1.5050505050505047</v>
      </c>
      <c r="M691" t="str">
        <f t="shared" si="21"/>
        <v>No</v>
      </c>
    </row>
    <row r="692" spans="1:13" x14ac:dyDescent="0.25">
      <c r="A692">
        <v>338941</v>
      </c>
      <c r="B692" t="s">
        <v>2151</v>
      </c>
      <c r="C692" t="s">
        <v>2152</v>
      </c>
      <c r="D692" t="s">
        <v>6220</v>
      </c>
      <c r="E692">
        <v>19.899999999999999</v>
      </c>
      <c r="F692" t="s">
        <v>1681</v>
      </c>
      <c r="G692" t="s">
        <v>1691</v>
      </c>
      <c r="H692" t="s">
        <v>1682</v>
      </c>
      <c r="I692" s="11">
        <v>46297</v>
      </c>
      <c r="J692" s="12">
        <v>46296</v>
      </c>
      <c r="K692" s="13">
        <f>INDEX(Assumptions!$B$4:$B$23,MATCH(F692,Assumptions!$A$4:$A$23,0))</f>
        <v>0.10101010101010099</v>
      </c>
      <c r="L692" s="14">
        <f t="shared" si="20"/>
        <v>2.0101010101010095</v>
      </c>
      <c r="M692" t="str">
        <f t="shared" si="21"/>
        <v>No</v>
      </c>
    </row>
    <row r="693" spans="1:13" x14ac:dyDescent="0.25">
      <c r="A693">
        <v>338939</v>
      </c>
      <c r="B693" t="s">
        <v>2151</v>
      </c>
      <c r="C693" t="s">
        <v>2154</v>
      </c>
      <c r="D693" t="s">
        <v>6220</v>
      </c>
      <c r="E693">
        <v>19.899999999999999</v>
      </c>
      <c r="F693" t="s">
        <v>1681</v>
      </c>
      <c r="G693" t="s">
        <v>1691</v>
      </c>
      <c r="H693" t="s">
        <v>1682</v>
      </c>
      <c r="I693" s="11">
        <v>46297</v>
      </c>
      <c r="J693" s="12">
        <v>46296</v>
      </c>
      <c r="K693" s="13">
        <f>INDEX(Assumptions!$B$4:$B$23,MATCH(F693,Assumptions!$A$4:$A$23,0))</f>
        <v>0.10101010101010099</v>
      </c>
      <c r="L693" s="14">
        <f t="shared" si="20"/>
        <v>2.0101010101010095</v>
      </c>
      <c r="M693" t="str">
        <f t="shared" si="21"/>
        <v>No</v>
      </c>
    </row>
    <row r="694" spans="1:13" x14ac:dyDescent="0.25">
      <c r="A694">
        <v>338940</v>
      </c>
      <c r="B694" t="s">
        <v>2121</v>
      </c>
      <c r="C694" t="s">
        <v>2156</v>
      </c>
      <c r="D694" t="s">
        <v>6220</v>
      </c>
      <c r="E694">
        <v>16.899999999999999</v>
      </c>
      <c r="F694" t="s">
        <v>1681</v>
      </c>
      <c r="G694" t="s">
        <v>1691</v>
      </c>
      <c r="H694" t="s">
        <v>1682</v>
      </c>
      <c r="I694" s="11">
        <v>46297</v>
      </c>
      <c r="J694" s="12">
        <v>46296</v>
      </c>
      <c r="K694" s="13">
        <f>INDEX(Assumptions!$B$4:$B$23,MATCH(F694,Assumptions!$A$4:$A$23,0))</f>
        <v>0.10101010101010099</v>
      </c>
      <c r="L694" s="14">
        <f t="shared" si="20"/>
        <v>1.7070707070707067</v>
      </c>
      <c r="M694" t="str">
        <f t="shared" si="21"/>
        <v>No</v>
      </c>
    </row>
    <row r="695" spans="1:13" x14ac:dyDescent="0.25">
      <c r="A695">
        <v>338938</v>
      </c>
      <c r="B695" t="s">
        <v>2148</v>
      </c>
      <c r="C695" t="s">
        <v>2158</v>
      </c>
      <c r="D695" t="s">
        <v>6220</v>
      </c>
      <c r="E695">
        <v>14.9</v>
      </c>
      <c r="F695" t="s">
        <v>1681</v>
      </c>
      <c r="G695" t="s">
        <v>1691</v>
      </c>
      <c r="H695" t="s">
        <v>1682</v>
      </c>
      <c r="I695" s="11">
        <v>46297</v>
      </c>
      <c r="J695" s="12">
        <v>46296</v>
      </c>
      <c r="K695" s="13">
        <f>INDEX(Assumptions!$B$4:$B$23,MATCH(F695,Assumptions!$A$4:$A$23,0))</f>
        <v>0.10101010101010099</v>
      </c>
      <c r="L695" s="14">
        <f t="shared" si="20"/>
        <v>1.5050505050505047</v>
      </c>
      <c r="M695" t="str">
        <f t="shared" si="21"/>
        <v>No</v>
      </c>
    </row>
    <row r="696" spans="1:13" x14ac:dyDescent="0.25">
      <c r="A696">
        <v>338937</v>
      </c>
      <c r="B696" t="s">
        <v>2160</v>
      </c>
      <c r="C696" t="s">
        <v>2161</v>
      </c>
      <c r="D696" t="s">
        <v>6220</v>
      </c>
      <c r="E696">
        <v>19.899999999999999</v>
      </c>
      <c r="F696" t="s">
        <v>1681</v>
      </c>
      <c r="G696" t="s">
        <v>1691</v>
      </c>
      <c r="H696" t="s">
        <v>1682</v>
      </c>
      <c r="I696" s="11">
        <v>46297</v>
      </c>
      <c r="J696" s="12">
        <v>46296</v>
      </c>
      <c r="K696" s="13">
        <f>INDEX(Assumptions!$B$4:$B$23,MATCH(F696,Assumptions!$A$4:$A$23,0))</f>
        <v>0.10101010101010099</v>
      </c>
      <c r="L696" s="14">
        <f t="shared" si="20"/>
        <v>2.0101010101010095</v>
      </c>
      <c r="M696" t="str">
        <f t="shared" si="21"/>
        <v>No</v>
      </c>
    </row>
    <row r="697" spans="1:13" x14ac:dyDescent="0.25">
      <c r="A697">
        <v>338936</v>
      </c>
      <c r="B697" t="s">
        <v>2160</v>
      </c>
      <c r="C697" t="s">
        <v>2163</v>
      </c>
      <c r="D697" t="s">
        <v>6220</v>
      </c>
      <c r="E697">
        <v>19.899999999999999</v>
      </c>
      <c r="F697" t="s">
        <v>1681</v>
      </c>
      <c r="G697" t="s">
        <v>1691</v>
      </c>
      <c r="H697" t="s">
        <v>1682</v>
      </c>
      <c r="I697" s="11">
        <v>46297</v>
      </c>
      <c r="J697" s="12">
        <v>46296</v>
      </c>
      <c r="K697" s="13">
        <f>INDEX(Assumptions!$B$4:$B$23,MATCH(F697,Assumptions!$A$4:$A$23,0))</f>
        <v>0.10101010101010099</v>
      </c>
      <c r="L697" s="14">
        <f t="shared" si="20"/>
        <v>2.0101010101010095</v>
      </c>
      <c r="M697" t="str">
        <f t="shared" si="21"/>
        <v>No</v>
      </c>
    </row>
    <row r="698" spans="1:13" x14ac:dyDescent="0.25">
      <c r="A698">
        <v>338935</v>
      </c>
      <c r="B698" t="s">
        <v>2165</v>
      </c>
      <c r="C698" t="s">
        <v>2166</v>
      </c>
      <c r="D698" t="s">
        <v>6220</v>
      </c>
      <c r="E698">
        <v>39.9</v>
      </c>
      <c r="F698" t="s">
        <v>1681</v>
      </c>
      <c r="G698" t="s">
        <v>1691</v>
      </c>
      <c r="H698" t="s">
        <v>1682</v>
      </c>
      <c r="I698" s="11">
        <v>46297</v>
      </c>
      <c r="J698" s="12">
        <v>46296</v>
      </c>
      <c r="K698" s="13">
        <f>INDEX(Assumptions!$B$4:$B$23,MATCH(F698,Assumptions!$A$4:$A$23,0))</f>
        <v>0.10101010101010099</v>
      </c>
      <c r="L698" s="14">
        <f t="shared" si="20"/>
        <v>4.0303030303030294</v>
      </c>
      <c r="M698" t="str">
        <f t="shared" si="21"/>
        <v>No</v>
      </c>
    </row>
    <row r="699" spans="1:13" x14ac:dyDescent="0.25">
      <c r="A699">
        <v>338934</v>
      </c>
      <c r="B699" t="s">
        <v>2168</v>
      </c>
      <c r="C699" t="s">
        <v>2169</v>
      </c>
      <c r="D699" t="s">
        <v>6220</v>
      </c>
      <c r="E699">
        <v>31.9</v>
      </c>
      <c r="F699" t="s">
        <v>1681</v>
      </c>
      <c r="G699" t="s">
        <v>1691</v>
      </c>
      <c r="H699" t="s">
        <v>1682</v>
      </c>
      <c r="I699" s="11">
        <v>46297</v>
      </c>
      <c r="J699" s="12">
        <v>46296</v>
      </c>
      <c r="K699" s="13">
        <f>INDEX(Assumptions!$B$4:$B$23,MATCH(F699,Assumptions!$A$4:$A$23,0))</f>
        <v>0.10101010101010099</v>
      </c>
      <c r="L699" s="14">
        <f t="shared" si="20"/>
        <v>3.2222222222222214</v>
      </c>
      <c r="M699" t="str">
        <f t="shared" si="21"/>
        <v>No</v>
      </c>
    </row>
    <row r="700" spans="1:13" x14ac:dyDescent="0.25">
      <c r="A700">
        <v>338933</v>
      </c>
      <c r="B700" t="s">
        <v>2125</v>
      </c>
      <c r="C700" t="s">
        <v>2171</v>
      </c>
      <c r="D700" t="s">
        <v>6220</v>
      </c>
      <c r="E700">
        <v>19.899999999999999</v>
      </c>
      <c r="F700" t="s">
        <v>1681</v>
      </c>
      <c r="G700" t="s">
        <v>1691</v>
      </c>
      <c r="H700" t="s">
        <v>1682</v>
      </c>
      <c r="I700" s="11">
        <v>46297</v>
      </c>
      <c r="J700" s="12">
        <v>46296</v>
      </c>
      <c r="K700" s="13">
        <f>INDEX(Assumptions!$B$4:$B$23,MATCH(F700,Assumptions!$A$4:$A$23,0))</f>
        <v>0.10101010101010099</v>
      </c>
      <c r="L700" s="14">
        <f t="shared" si="20"/>
        <v>2.0101010101010095</v>
      </c>
      <c r="M700" t="str">
        <f t="shared" si="21"/>
        <v>No</v>
      </c>
    </row>
    <row r="701" spans="1:13" x14ac:dyDescent="0.25">
      <c r="A701">
        <v>338932</v>
      </c>
      <c r="B701" t="s">
        <v>2173</v>
      </c>
      <c r="C701" t="s">
        <v>2174</v>
      </c>
      <c r="D701" t="s">
        <v>6220</v>
      </c>
      <c r="E701">
        <v>17.899999999999999</v>
      </c>
      <c r="F701" t="s">
        <v>1681</v>
      </c>
      <c r="G701" t="s">
        <v>1691</v>
      </c>
      <c r="H701" t="s">
        <v>1682</v>
      </c>
      <c r="I701" s="11">
        <v>46297</v>
      </c>
      <c r="J701" s="12">
        <v>46296</v>
      </c>
      <c r="K701" s="13">
        <f>INDEX(Assumptions!$B$4:$B$23,MATCH(F701,Assumptions!$A$4:$A$23,0))</f>
        <v>0.10101010101010099</v>
      </c>
      <c r="L701" s="14">
        <f t="shared" si="20"/>
        <v>1.8080808080808077</v>
      </c>
      <c r="M701" t="str">
        <f t="shared" si="21"/>
        <v>No</v>
      </c>
    </row>
    <row r="702" spans="1:13" x14ac:dyDescent="0.25">
      <c r="A702">
        <v>338931</v>
      </c>
      <c r="B702" t="s">
        <v>2176</v>
      </c>
      <c r="C702" t="s">
        <v>2177</v>
      </c>
      <c r="D702" t="s">
        <v>6220</v>
      </c>
      <c r="E702">
        <v>31.9</v>
      </c>
      <c r="F702" t="s">
        <v>1681</v>
      </c>
      <c r="G702" t="s">
        <v>1691</v>
      </c>
      <c r="H702" t="s">
        <v>1682</v>
      </c>
      <c r="I702" s="11">
        <v>46297</v>
      </c>
      <c r="J702" s="12">
        <v>46296</v>
      </c>
      <c r="K702" s="13">
        <f>INDEX(Assumptions!$B$4:$B$23,MATCH(F702,Assumptions!$A$4:$A$23,0))</f>
        <v>0.10101010101010099</v>
      </c>
      <c r="L702" s="14">
        <f t="shared" si="20"/>
        <v>3.2222222222222214</v>
      </c>
      <c r="M702" t="str">
        <f t="shared" si="21"/>
        <v>No</v>
      </c>
    </row>
    <row r="703" spans="1:13" x14ac:dyDescent="0.25">
      <c r="A703">
        <v>338930</v>
      </c>
      <c r="B703" t="s">
        <v>2173</v>
      </c>
      <c r="C703" t="s">
        <v>2179</v>
      </c>
      <c r="D703" t="s">
        <v>6220</v>
      </c>
      <c r="E703">
        <v>17.899999999999999</v>
      </c>
      <c r="F703" t="s">
        <v>1681</v>
      </c>
      <c r="G703" t="s">
        <v>1691</v>
      </c>
      <c r="H703" t="s">
        <v>1682</v>
      </c>
      <c r="I703" s="11">
        <v>46297</v>
      </c>
      <c r="J703" s="12">
        <v>46296</v>
      </c>
      <c r="K703" s="13">
        <f>INDEX(Assumptions!$B$4:$B$23,MATCH(F703,Assumptions!$A$4:$A$23,0))</f>
        <v>0.10101010101010099</v>
      </c>
      <c r="L703" s="14">
        <f t="shared" si="20"/>
        <v>1.8080808080808077</v>
      </c>
      <c r="M703" t="str">
        <f t="shared" si="21"/>
        <v>No</v>
      </c>
    </row>
    <row r="704" spans="1:13" x14ac:dyDescent="0.25">
      <c r="A704">
        <v>338929</v>
      </c>
      <c r="B704" t="s">
        <v>2181</v>
      </c>
      <c r="C704" t="s">
        <v>2182</v>
      </c>
      <c r="D704" t="s">
        <v>6220</v>
      </c>
      <c r="E704">
        <v>87.4</v>
      </c>
      <c r="F704" t="s">
        <v>1681</v>
      </c>
      <c r="G704" t="s">
        <v>1691</v>
      </c>
      <c r="H704" t="s">
        <v>1682</v>
      </c>
      <c r="I704" s="11">
        <v>46297</v>
      </c>
      <c r="J704" s="12">
        <v>46296</v>
      </c>
      <c r="K704" s="13">
        <f>INDEX(Assumptions!$B$4:$B$23,MATCH(F704,Assumptions!$A$4:$A$23,0))</f>
        <v>0.10101010101010099</v>
      </c>
      <c r="L704" s="14">
        <f t="shared" si="20"/>
        <v>8.828282828282827</v>
      </c>
      <c r="M704" t="str">
        <f t="shared" si="21"/>
        <v>No</v>
      </c>
    </row>
    <row r="705" spans="1:13" x14ac:dyDescent="0.25">
      <c r="A705">
        <v>338927</v>
      </c>
      <c r="B705" t="s">
        <v>2185</v>
      </c>
      <c r="C705" t="s">
        <v>2186</v>
      </c>
      <c r="D705" t="s">
        <v>6220</v>
      </c>
      <c r="E705">
        <v>40.4</v>
      </c>
      <c r="F705" t="s">
        <v>1681</v>
      </c>
      <c r="G705" t="s">
        <v>1691</v>
      </c>
      <c r="H705" t="s">
        <v>1682</v>
      </c>
      <c r="I705" s="11">
        <v>46297</v>
      </c>
      <c r="J705" s="12">
        <v>46296</v>
      </c>
      <c r="K705" s="13">
        <f>INDEX(Assumptions!$B$4:$B$23,MATCH(F705,Assumptions!$A$4:$A$23,0))</f>
        <v>0.10101010101010099</v>
      </c>
      <c r="L705" s="14">
        <f t="shared" si="20"/>
        <v>4.0808080808080804</v>
      </c>
      <c r="M705" t="str">
        <f t="shared" si="21"/>
        <v>No</v>
      </c>
    </row>
    <row r="706" spans="1:13" x14ac:dyDescent="0.25">
      <c r="A706">
        <v>338926</v>
      </c>
      <c r="B706" t="s">
        <v>2189</v>
      </c>
      <c r="C706" t="s">
        <v>2190</v>
      </c>
      <c r="D706" t="s">
        <v>6220</v>
      </c>
      <c r="E706">
        <v>34.9</v>
      </c>
      <c r="F706" t="s">
        <v>1681</v>
      </c>
      <c r="G706" t="s">
        <v>1691</v>
      </c>
      <c r="H706" t="s">
        <v>1682</v>
      </c>
      <c r="I706" s="11">
        <v>46297</v>
      </c>
      <c r="J706" s="12">
        <v>46296</v>
      </c>
      <c r="K706" s="13">
        <f>INDEX(Assumptions!$B$4:$B$23,MATCH(F706,Assumptions!$A$4:$A$23,0))</f>
        <v>0.10101010101010099</v>
      </c>
      <c r="L706" s="14">
        <f t="shared" ref="L706:L769" si="22">E706*K706</f>
        <v>3.5252525252525246</v>
      </c>
      <c r="M706" t="str">
        <f t="shared" ref="M706:M769" si="23">IF(C706="Unnamed product","Yes","No")</f>
        <v>No</v>
      </c>
    </row>
    <row r="707" spans="1:13" x14ac:dyDescent="0.25">
      <c r="A707">
        <v>338928</v>
      </c>
      <c r="B707" t="s">
        <v>2192</v>
      </c>
      <c r="C707" t="s">
        <v>2193</v>
      </c>
      <c r="D707" t="s">
        <v>6220</v>
      </c>
      <c r="E707">
        <v>15.9</v>
      </c>
      <c r="F707" t="s">
        <v>1681</v>
      </c>
      <c r="G707" t="s">
        <v>1691</v>
      </c>
      <c r="H707" t="s">
        <v>1682</v>
      </c>
      <c r="I707" s="11">
        <v>46297</v>
      </c>
      <c r="J707" s="12">
        <v>46296</v>
      </c>
      <c r="K707" s="13">
        <f>INDEX(Assumptions!$B$4:$B$23,MATCH(F707,Assumptions!$A$4:$A$23,0))</f>
        <v>0.10101010101010099</v>
      </c>
      <c r="L707" s="14">
        <f t="shared" si="22"/>
        <v>1.6060606060606057</v>
      </c>
      <c r="M707" t="str">
        <f t="shared" si="23"/>
        <v>No</v>
      </c>
    </row>
    <row r="708" spans="1:13" x14ac:dyDescent="0.25">
      <c r="A708">
        <v>338925</v>
      </c>
      <c r="B708" t="s">
        <v>2195</v>
      </c>
      <c r="C708" t="s">
        <v>2196</v>
      </c>
      <c r="D708" t="s">
        <v>6220</v>
      </c>
      <c r="E708">
        <v>13.9</v>
      </c>
      <c r="F708" t="s">
        <v>1681</v>
      </c>
      <c r="G708" t="s">
        <v>1691</v>
      </c>
      <c r="H708" t="s">
        <v>1682</v>
      </c>
      <c r="I708" s="11">
        <v>46297</v>
      </c>
      <c r="J708" s="12">
        <v>46296</v>
      </c>
      <c r="K708" s="13">
        <f>INDEX(Assumptions!$B$4:$B$23,MATCH(F708,Assumptions!$A$4:$A$23,0))</f>
        <v>0.10101010101010099</v>
      </c>
      <c r="L708" s="14">
        <f t="shared" si="22"/>
        <v>1.4040404040404038</v>
      </c>
      <c r="M708" t="str">
        <f t="shared" si="23"/>
        <v>No</v>
      </c>
    </row>
    <row r="709" spans="1:13" x14ac:dyDescent="0.25">
      <c r="A709">
        <v>338924</v>
      </c>
      <c r="B709" t="s">
        <v>2198</v>
      </c>
      <c r="C709" t="s">
        <v>2199</v>
      </c>
      <c r="D709" t="s">
        <v>6220</v>
      </c>
      <c r="E709">
        <v>23.6</v>
      </c>
      <c r="F709" t="s">
        <v>1681</v>
      </c>
      <c r="G709" t="s">
        <v>1691</v>
      </c>
      <c r="H709" t="s">
        <v>1682</v>
      </c>
      <c r="I709" s="11">
        <v>46297</v>
      </c>
      <c r="J709" s="12">
        <v>46296</v>
      </c>
      <c r="K709" s="13">
        <f>INDEX(Assumptions!$B$4:$B$23,MATCH(F709,Assumptions!$A$4:$A$23,0))</f>
        <v>0.10101010101010099</v>
      </c>
      <c r="L709" s="14">
        <f t="shared" si="22"/>
        <v>2.3838383838383836</v>
      </c>
      <c r="M709" t="str">
        <f t="shared" si="23"/>
        <v>No</v>
      </c>
    </row>
    <row r="710" spans="1:13" x14ac:dyDescent="0.25">
      <c r="A710">
        <v>338923</v>
      </c>
      <c r="B710" t="s">
        <v>2202</v>
      </c>
      <c r="C710" t="s">
        <v>2203</v>
      </c>
      <c r="D710" t="s">
        <v>6220</v>
      </c>
      <c r="E710">
        <v>49.9</v>
      </c>
      <c r="F710" t="s">
        <v>1681</v>
      </c>
      <c r="G710" t="s">
        <v>1691</v>
      </c>
      <c r="H710" t="s">
        <v>1682</v>
      </c>
      <c r="I710" s="11">
        <v>46297</v>
      </c>
      <c r="J710" s="12">
        <v>46296</v>
      </c>
      <c r="K710" s="13">
        <f>INDEX(Assumptions!$B$4:$B$23,MATCH(F710,Assumptions!$A$4:$A$23,0))</f>
        <v>0.10101010101010099</v>
      </c>
      <c r="L710" s="14">
        <f t="shared" si="22"/>
        <v>5.0404040404040398</v>
      </c>
      <c r="M710" t="str">
        <f t="shared" si="23"/>
        <v>No</v>
      </c>
    </row>
    <row r="711" spans="1:13" x14ac:dyDescent="0.25">
      <c r="A711">
        <v>338922</v>
      </c>
      <c r="B711" t="s">
        <v>2205</v>
      </c>
      <c r="C711" t="s">
        <v>2206</v>
      </c>
      <c r="D711" t="s">
        <v>6220</v>
      </c>
      <c r="E711">
        <v>44.9</v>
      </c>
      <c r="F711" t="s">
        <v>1681</v>
      </c>
      <c r="G711" t="s">
        <v>1691</v>
      </c>
      <c r="H711" t="s">
        <v>1682</v>
      </c>
      <c r="I711" s="11">
        <v>46297</v>
      </c>
      <c r="J711" s="12">
        <v>46296</v>
      </c>
      <c r="K711" s="13">
        <f>INDEX(Assumptions!$B$4:$B$23,MATCH(F711,Assumptions!$A$4:$A$23,0))</f>
        <v>0.10101010101010099</v>
      </c>
      <c r="L711" s="14">
        <f t="shared" si="22"/>
        <v>4.5353535353535346</v>
      </c>
      <c r="M711" t="str">
        <f t="shared" si="23"/>
        <v>No</v>
      </c>
    </row>
    <row r="712" spans="1:13" x14ac:dyDescent="0.25">
      <c r="A712">
        <v>338921</v>
      </c>
      <c r="B712" t="s">
        <v>2208</v>
      </c>
      <c r="C712" t="s">
        <v>2209</v>
      </c>
      <c r="D712" t="s">
        <v>6220</v>
      </c>
      <c r="E712">
        <v>29.9</v>
      </c>
      <c r="F712" t="s">
        <v>1681</v>
      </c>
      <c r="G712" t="s">
        <v>1691</v>
      </c>
      <c r="H712" t="s">
        <v>1682</v>
      </c>
      <c r="I712" s="11">
        <v>46297</v>
      </c>
      <c r="J712" s="12">
        <v>46296</v>
      </c>
      <c r="K712" s="13">
        <f>INDEX(Assumptions!$B$4:$B$23,MATCH(F712,Assumptions!$A$4:$A$23,0))</f>
        <v>0.10101010101010099</v>
      </c>
      <c r="L712" s="14">
        <f t="shared" si="22"/>
        <v>3.0202020202020194</v>
      </c>
      <c r="M712" t="str">
        <f t="shared" si="23"/>
        <v>No</v>
      </c>
    </row>
    <row r="713" spans="1:13" x14ac:dyDescent="0.25">
      <c r="A713">
        <v>338920</v>
      </c>
      <c r="B713" t="s">
        <v>2211</v>
      </c>
      <c r="C713" t="s">
        <v>2212</v>
      </c>
      <c r="D713" t="s">
        <v>6220</v>
      </c>
      <c r="E713">
        <v>42.4</v>
      </c>
      <c r="F713" t="s">
        <v>1681</v>
      </c>
      <c r="G713" t="s">
        <v>1691</v>
      </c>
      <c r="H713" t="s">
        <v>1682</v>
      </c>
      <c r="I713" s="11">
        <v>46297</v>
      </c>
      <c r="J713" s="12">
        <v>46296</v>
      </c>
      <c r="K713" s="13">
        <f>INDEX(Assumptions!$B$4:$B$23,MATCH(F713,Assumptions!$A$4:$A$23,0))</f>
        <v>0.10101010101010099</v>
      </c>
      <c r="L713" s="14">
        <f t="shared" si="22"/>
        <v>4.282828282828282</v>
      </c>
      <c r="M713" t="str">
        <f t="shared" si="23"/>
        <v>No</v>
      </c>
    </row>
    <row r="714" spans="1:13" x14ac:dyDescent="0.25">
      <c r="A714">
        <v>338919</v>
      </c>
      <c r="C714" t="s">
        <v>6221</v>
      </c>
      <c r="D714" t="s">
        <v>1919</v>
      </c>
      <c r="E714">
        <v>9.99</v>
      </c>
      <c r="F714" t="s">
        <v>1836</v>
      </c>
      <c r="G714" t="s">
        <v>1908</v>
      </c>
      <c r="H714" t="s">
        <v>1837</v>
      </c>
      <c r="I714" s="11">
        <v>46207</v>
      </c>
      <c r="J714" s="12">
        <v>46204</v>
      </c>
      <c r="K714" s="13">
        <f>INDEX(Assumptions!$B$4:$B$23,MATCH(F714,Assumptions!$A$4:$A$23,0))</f>
        <v>0.5780346820809249</v>
      </c>
      <c r="L714" s="14">
        <f t="shared" si="22"/>
        <v>5.7745664739884397</v>
      </c>
      <c r="M714" t="str">
        <f t="shared" si="23"/>
        <v>Yes</v>
      </c>
    </row>
    <row r="715" spans="1:13" x14ac:dyDescent="0.25">
      <c r="A715">
        <v>338918</v>
      </c>
      <c r="B715" t="s">
        <v>2217</v>
      </c>
      <c r="C715" t="s">
        <v>6221</v>
      </c>
      <c r="D715" t="s">
        <v>6220</v>
      </c>
      <c r="E715">
        <v>28.29</v>
      </c>
      <c r="F715" t="s">
        <v>123</v>
      </c>
      <c r="G715" t="s">
        <v>125</v>
      </c>
      <c r="H715" t="s">
        <v>124</v>
      </c>
      <c r="I715" s="11">
        <v>46271</v>
      </c>
      <c r="J715" s="12">
        <v>46266</v>
      </c>
      <c r="K715" s="13">
        <f>INDEX(Assumptions!$B$4:$B$23,MATCH(F715,Assumptions!$A$4:$A$23,0))</f>
        <v>0.10526315789473679</v>
      </c>
      <c r="L715" s="14">
        <f t="shared" si="22"/>
        <v>2.9778947368421038</v>
      </c>
      <c r="M715" t="str">
        <f t="shared" si="23"/>
        <v>Yes</v>
      </c>
    </row>
    <row r="716" spans="1:13" x14ac:dyDescent="0.25">
      <c r="A716">
        <v>338917</v>
      </c>
      <c r="B716" t="s">
        <v>2219</v>
      </c>
      <c r="C716" t="s">
        <v>6221</v>
      </c>
      <c r="D716" t="s">
        <v>6220</v>
      </c>
      <c r="E716">
        <v>28.29</v>
      </c>
      <c r="F716" t="s">
        <v>123</v>
      </c>
      <c r="G716" t="s">
        <v>125</v>
      </c>
      <c r="H716" t="s">
        <v>124</v>
      </c>
      <c r="I716" s="11">
        <v>46271</v>
      </c>
      <c r="J716" s="12">
        <v>46266</v>
      </c>
      <c r="K716" s="13">
        <f>INDEX(Assumptions!$B$4:$B$23,MATCH(F716,Assumptions!$A$4:$A$23,0))</f>
        <v>0.10526315789473679</v>
      </c>
      <c r="L716" s="14">
        <f t="shared" si="22"/>
        <v>2.9778947368421038</v>
      </c>
      <c r="M716" t="str">
        <f t="shared" si="23"/>
        <v>Yes</v>
      </c>
    </row>
    <row r="717" spans="1:13" x14ac:dyDescent="0.25">
      <c r="A717">
        <v>338916</v>
      </c>
      <c r="B717" t="s">
        <v>2221</v>
      </c>
      <c r="C717" t="s">
        <v>6221</v>
      </c>
      <c r="D717" t="s">
        <v>6220</v>
      </c>
      <c r="E717">
        <v>24.9</v>
      </c>
      <c r="F717" t="s">
        <v>123</v>
      </c>
      <c r="G717" t="s">
        <v>125</v>
      </c>
      <c r="H717" t="s">
        <v>124</v>
      </c>
      <c r="I717" s="11">
        <v>46271</v>
      </c>
      <c r="J717" s="12">
        <v>46266</v>
      </c>
      <c r="K717" s="13">
        <f>INDEX(Assumptions!$B$4:$B$23,MATCH(F717,Assumptions!$A$4:$A$23,0))</f>
        <v>0.10526315789473679</v>
      </c>
      <c r="L717" s="14">
        <f t="shared" si="22"/>
        <v>2.6210526315789462</v>
      </c>
      <c r="M717" t="str">
        <f t="shared" si="23"/>
        <v>Yes</v>
      </c>
    </row>
    <row r="718" spans="1:13" x14ac:dyDescent="0.25">
      <c r="A718">
        <v>338915</v>
      </c>
      <c r="B718" t="s">
        <v>2223</v>
      </c>
      <c r="C718" t="s">
        <v>6221</v>
      </c>
      <c r="D718" t="s">
        <v>6220</v>
      </c>
      <c r="E718">
        <v>24.9</v>
      </c>
      <c r="F718" t="s">
        <v>123</v>
      </c>
      <c r="G718" t="s">
        <v>125</v>
      </c>
      <c r="H718" t="s">
        <v>124</v>
      </c>
      <c r="I718" s="11">
        <v>46271</v>
      </c>
      <c r="J718" s="12">
        <v>46266</v>
      </c>
      <c r="K718" s="13">
        <f>INDEX(Assumptions!$B$4:$B$23,MATCH(F718,Assumptions!$A$4:$A$23,0))</f>
        <v>0.10526315789473679</v>
      </c>
      <c r="L718" s="14">
        <f t="shared" si="22"/>
        <v>2.6210526315789462</v>
      </c>
      <c r="M718" t="str">
        <f t="shared" si="23"/>
        <v>Yes</v>
      </c>
    </row>
    <row r="719" spans="1:13" x14ac:dyDescent="0.25">
      <c r="A719">
        <v>338914</v>
      </c>
      <c r="B719" t="s">
        <v>2225</v>
      </c>
      <c r="C719" t="s">
        <v>2226</v>
      </c>
      <c r="D719" t="s">
        <v>6220</v>
      </c>
      <c r="E719">
        <v>11.84</v>
      </c>
      <c r="F719" t="s">
        <v>1722</v>
      </c>
      <c r="G719" t="s">
        <v>1724</v>
      </c>
      <c r="H719" t="s">
        <v>1723</v>
      </c>
      <c r="I719" s="11">
        <v>46297</v>
      </c>
      <c r="J719" s="12">
        <v>46296</v>
      </c>
      <c r="K719" s="13">
        <f>INDEX(Assumptions!$B$4:$B$23,MATCH(F719,Assumptions!$A$4:$A$23,0))</f>
        <v>1</v>
      </c>
      <c r="L719" s="14">
        <f t="shared" si="22"/>
        <v>11.84</v>
      </c>
      <c r="M719" t="str">
        <f t="shared" si="23"/>
        <v>No</v>
      </c>
    </row>
    <row r="720" spans="1:13" x14ac:dyDescent="0.25">
      <c r="A720">
        <v>338913</v>
      </c>
      <c r="B720" t="s">
        <v>2229</v>
      </c>
      <c r="C720" t="s">
        <v>2230</v>
      </c>
      <c r="D720" t="s">
        <v>6220</v>
      </c>
      <c r="E720">
        <v>13.79</v>
      </c>
      <c r="F720" t="s">
        <v>1722</v>
      </c>
      <c r="G720" t="s">
        <v>1724</v>
      </c>
      <c r="H720" t="s">
        <v>1723</v>
      </c>
      <c r="I720" s="11">
        <v>46297</v>
      </c>
      <c r="J720" s="12">
        <v>46296</v>
      </c>
      <c r="K720" s="13">
        <f>INDEX(Assumptions!$B$4:$B$23,MATCH(F720,Assumptions!$A$4:$A$23,0))</f>
        <v>1</v>
      </c>
      <c r="L720" s="14">
        <f t="shared" si="22"/>
        <v>13.79</v>
      </c>
      <c r="M720" t="str">
        <f t="shared" si="23"/>
        <v>No</v>
      </c>
    </row>
    <row r="721" spans="1:13" x14ac:dyDescent="0.25">
      <c r="A721">
        <v>338912</v>
      </c>
      <c r="B721" t="s">
        <v>2233</v>
      </c>
      <c r="C721" t="s">
        <v>2234</v>
      </c>
      <c r="D721" t="s">
        <v>6220</v>
      </c>
      <c r="E721">
        <v>10.49</v>
      </c>
      <c r="F721" t="s">
        <v>1722</v>
      </c>
      <c r="G721" t="s">
        <v>1724</v>
      </c>
      <c r="H721" t="s">
        <v>1723</v>
      </c>
      <c r="I721" s="11">
        <v>46297</v>
      </c>
      <c r="J721" s="12">
        <v>46296</v>
      </c>
      <c r="K721" s="13">
        <f>INDEX(Assumptions!$B$4:$B$23,MATCH(F721,Assumptions!$A$4:$A$23,0))</f>
        <v>1</v>
      </c>
      <c r="L721" s="14">
        <f t="shared" si="22"/>
        <v>10.49</v>
      </c>
      <c r="M721" t="str">
        <f t="shared" si="23"/>
        <v>No</v>
      </c>
    </row>
    <row r="722" spans="1:13" x14ac:dyDescent="0.25">
      <c r="A722">
        <v>338911</v>
      </c>
      <c r="B722" t="s">
        <v>2237</v>
      </c>
      <c r="C722" t="s">
        <v>2238</v>
      </c>
      <c r="D722" t="s">
        <v>6220</v>
      </c>
      <c r="E722">
        <v>12.49</v>
      </c>
      <c r="F722" t="s">
        <v>1722</v>
      </c>
      <c r="G722" t="s">
        <v>1724</v>
      </c>
      <c r="H722" t="s">
        <v>1723</v>
      </c>
      <c r="I722" s="11">
        <v>46297</v>
      </c>
      <c r="J722" s="12">
        <v>46296</v>
      </c>
      <c r="K722" s="13">
        <f>INDEX(Assumptions!$B$4:$B$23,MATCH(F722,Assumptions!$A$4:$A$23,0))</f>
        <v>1</v>
      </c>
      <c r="L722" s="14">
        <f t="shared" si="22"/>
        <v>12.49</v>
      </c>
      <c r="M722" t="str">
        <f t="shared" si="23"/>
        <v>No</v>
      </c>
    </row>
    <row r="723" spans="1:13" x14ac:dyDescent="0.25">
      <c r="A723">
        <v>338910</v>
      </c>
      <c r="B723" t="s">
        <v>2241</v>
      </c>
      <c r="C723" t="s">
        <v>2242</v>
      </c>
      <c r="D723" t="s">
        <v>6220</v>
      </c>
      <c r="E723">
        <v>18.29</v>
      </c>
      <c r="F723" t="s">
        <v>1722</v>
      </c>
      <c r="G723" t="s">
        <v>1724</v>
      </c>
      <c r="H723" t="s">
        <v>1723</v>
      </c>
      <c r="I723" s="11">
        <v>46297</v>
      </c>
      <c r="J723" s="12">
        <v>46296</v>
      </c>
      <c r="K723" s="13">
        <f>INDEX(Assumptions!$B$4:$B$23,MATCH(F723,Assumptions!$A$4:$A$23,0))</f>
        <v>1</v>
      </c>
      <c r="L723" s="14">
        <f t="shared" si="22"/>
        <v>18.29</v>
      </c>
      <c r="M723" t="str">
        <f t="shared" si="23"/>
        <v>No</v>
      </c>
    </row>
    <row r="724" spans="1:13" x14ac:dyDescent="0.25">
      <c r="A724">
        <v>338909</v>
      </c>
      <c r="B724" t="s">
        <v>2245</v>
      </c>
      <c r="C724" t="s">
        <v>2246</v>
      </c>
      <c r="D724" t="s">
        <v>6220</v>
      </c>
      <c r="E724">
        <v>22.49</v>
      </c>
      <c r="F724" t="s">
        <v>1722</v>
      </c>
      <c r="G724" t="s">
        <v>1724</v>
      </c>
      <c r="H724" t="s">
        <v>1723</v>
      </c>
      <c r="I724" s="11">
        <v>46297</v>
      </c>
      <c r="J724" s="12">
        <v>46296</v>
      </c>
      <c r="K724" s="13">
        <f>INDEX(Assumptions!$B$4:$B$23,MATCH(F724,Assumptions!$A$4:$A$23,0))</f>
        <v>1</v>
      </c>
      <c r="L724" s="14">
        <f t="shared" si="22"/>
        <v>22.49</v>
      </c>
      <c r="M724" t="str">
        <f t="shared" si="23"/>
        <v>No</v>
      </c>
    </row>
    <row r="725" spans="1:13" x14ac:dyDescent="0.25">
      <c r="A725">
        <v>338908</v>
      </c>
      <c r="B725" t="s">
        <v>2249</v>
      </c>
      <c r="C725" t="s">
        <v>2250</v>
      </c>
      <c r="D725" t="s">
        <v>6220</v>
      </c>
      <c r="E725">
        <v>20.99</v>
      </c>
      <c r="F725" t="s">
        <v>1722</v>
      </c>
      <c r="G725" t="s">
        <v>1724</v>
      </c>
      <c r="H725" t="s">
        <v>1723</v>
      </c>
      <c r="I725" s="11">
        <v>46297</v>
      </c>
      <c r="J725" s="12">
        <v>46296</v>
      </c>
      <c r="K725" s="13">
        <f>INDEX(Assumptions!$B$4:$B$23,MATCH(F725,Assumptions!$A$4:$A$23,0))</f>
        <v>1</v>
      </c>
      <c r="L725" s="14">
        <f t="shared" si="22"/>
        <v>20.99</v>
      </c>
      <c r="M725" t="str">
        <f t="shared" si="23"/>
        <v>No</v>
      </c>
    </row>
    <row r="726" spans="1:13" x14ac:dyDescent="0.25">
      <c r="A726">
        <v>338907</v>
      </c>
      <c r="B726" t="s">
        <v>2253</v>
      </c>
      <c r="C726" t="s">
        <v>2254</v>
      </c>
      <c r="D726" t="s">
        <v>6220</v>
      </c>
      <c r="E726">
        <v>20.99</v>
      </c>
      <c r="F726" t="s">
        <v>1722</v>
      </c>
      <c r="G726" t="s">
        <v>1724</v>
      </c>
      <c r="H726" t="s">
        <v>1723</v>
      </c>
      <c r="I726" s="11">
        <v>46297</v>
      </c>
      <c r="J726" s="12">
        <v>46296</v>
      </c>
      <c r="K726" s="13">
        <f>INDEX(Assumptions!$B$4:$B$23,MATCH(F726,Assumptions!$A$4:$A$23,0))</f>
        <v>1</v>
      </c>
      <c r="L726" s="14">
        <f t="shared" si="22"/>
        <v>20.99</v>
      </c>
      <c r="M726" t="str">
        <f t="shared" si="23"/>
        <v>No</v>
      </c>
    </row>
    <row r="727" spans="1:13" x14ac:dyDescent="0.25">
      <c r="A727">
        <v>338906</v>
      </c>
      <c r="B727" t="s">
        <v>2256</v>
      </c>
      <c r="C727" t="s">
        <v>2257</v>
      </c>
      <c r="D727" t="s">
        <v>6220</v>
      </c>
      <c r="E727">
        <v>20.99</v>
      </c>
      <c r="F727" t="s">
        <v>1722</v>
      </c>
      <c r="G727" t="s">
        <v>1724</v>
      </c>
      <c r="H727" t="s">
        <v>1723</v>
      </c>
      <c r="I727" s="11">
        <v>46297</v>
      </c>
      <c r="J727" s="12">
        <v>46296</v>
      </c>
      <c r="K727" s="13">
        <f>INDEX(Assumptions!$B$4:$B$23,MATCH(F727,Assumptions!$A$4:$A$23,0))</f>
        <v>1</v>
      </c>
      <c r="L727" s="14">
        <f t="shared" si="22"/>
        <v>20.99</v>
      </c>
      <c r="M727" t="str">
        <f t="shared" si="23"/>
        <v>No</v>
      </c>
    </row>
    <row r="728" spans="1:13" x14ac:dyDescent="0.25">
      <c r="A728">
        <v>338905</v>
      </c>
      <c r="B728" t="s">
        <v>2259</v>
      </c>
      <c r="C728" t="s">
        <v>6221</v>
      </c>
      <c r="D728" t="s">
        <v>6220</v>
      </c>
      <c r="E728">
        <v>18.829999999999998</v>
      </c>
      <c r="F728" t="s">
        <v>123</v>
      </c>
      <c r="G728" t="s">
        <v>125</v>
      </c>
      <c r="H728" t="s">
        <v>124</v>
      </c>
      <c r="I728" s="11">
        <v>46271</v>
      </c>
      <c r="J728" s="12">
        <v>46266</v>
      </c>
      <c r="K728" s="13">
        <f>INDEX(Assumptions!$B$4:$B$23,MATCH(F728,Assumptions!$A$4:$A$23,0))</f>
        <v>0.10526315789473679</v>
      </c>
      <c r="L728" s="14">
        <f t="shared" si="22"/>
        <v>1.9821052631578937</v>
      </c>
      <c r="M728" t="str">
        <f t="shared" si="23"/>
        <v>Yes</v>
      </c>
    </row>
    <row r="729" spans="1:13" x14ac:dyDescent="0.25">
      <c r="A729">
        <v>338904</v>
      </c>
      <c r="B729" t="s">
        <v>2262</v>
      </c>
      <c r="C729" t="s">
        <v>6221</v>
      </c>
      <c r="D729" t="s">
        <v>6220</v>
      </c>
      <c r="E729">
        <v>28.29</v>
      </c>
      <c r="F729" t="s">
        <v>123</v>
      </c>
      <c r="G729" t="s">
        <v>125</v>
      </c>
      <c r="H729" t="s">
        <v>124</v>
      </c>
      <c r="I729" s="11">
        <v>46271</v>
      </c>
      <c r="J729" s="12">
        <v>46266</v>
      </c>
      <c r="K729" s="13">
        <f>INDEX(Assumptions!$B$4:$B$23,MATCH(F729,Assumptions!$A$4:$A$23,0))</f>
        <v>0.10526315789473679</v>
      </c>
      <c r="L729" s="14">
        <f t="shared" si="22"/>
        <v>2.9778947368421038</v>
      </c>
      <c r="M729" t="str">
        <f t="shared" si="23"/>
        <v>Yes</v>
      </c>
    </row>
    <row r="730" spans="1:13" x14ac:dyDescent="0.25">
      <c r="A730">
        <v>338903</v>
      </c>
      <c r="B730" t="s">
        <v>2264</v>
      </c>
      <c r="C730" t="s">
        <v>6221</v>
      </c>
      <c r="D730" t="s">
        <v>6220</v>
      </c>
      <c r="E730">
        <v>24.9</v>
      </c>
      <c r="F730" t="s">
        <v>123</v>
      </c>
      <c r="G730" t="s">
        <v>125</v>
      </c>
      <c r="H730" t="s">
        <v>124</v>
      </c>
      <c r="I730" s="11">
        <v>46271</v>
      </c>
      <c r="J730" s="12">
        <v>46266</v>
      </c>
      <c r="K730" s="13">
        <f>INDEX(Assumptions!$B$4:$B$23,MATCH(F730,Assumptions!$A$4:$A$23,0))</f>
        <v>0.10526315789473679</v>
      </c>
      <c r="L730" s="14">
        <f t="shared" si="22"/>
        <v>2.6210526315789462</v>
      </c>
      <c r="M730" t="str">
        <f t="shared" si="23"/>
        <v>Yes</v>
      </c>
    </row>
    <row r="731" spans="1:13" x14ac:dyDescent="0.25">
      <c r="A731">
        <v>338902</v>
      </c>
      <c r="B731" t="s">
        <v>2266</v>
      </c>
      <c r="C731" t="s">
        <v>6221</v>
      </c>
      <c r="D731" t="s">
        <v>6220</v>
      </c>
      <c r="E731">
        <v>18.829999999999998</v>
      </c>
      <c r="F731" t="s">
        <v>123</v>
      </c>
      <c r="G731" t="s">
        <v>125</v>
      </c>
      <c r="H731" t="s">
        <v>124</v>
      </c>
      <c r="I731" s="11">
        <v>46271</v>
      </c>
      <c r="J731" s="12">
        <v>46266</v>
      </c>
      <c r="K731" s="13">
        <f>INDEX(Assumptions!$B$4:$B$23,MATCH(F731,Assumptions!$A$4:$A$23,0))</f>
        <v>0.10526315789473679</v>
      </c>
      <c r="L731" s="14">
        <f t="shared" si="22"/>
        <v>1.9821052631578937</v>
      </c>
      <c r="M731" t="str">
        <f t="shared" si="23"/>
        <v>Yes</v>
      </c>
    </row>
    <row r="732" spans="1:13" x14ac:dyDescent="0.25">
      <c r="A732">
        <v>338901</v>
      </c>
      <c r="B732" t="s">
        <v>2268</v>
      </c>
      <c r="C732" t="s">
        <v>2269</v>
      </c>
      <c r="D732" t="s">
        <v>6220</v>
      </c>
      <c r="E732">
        <v>10.39</v>
      </c>
      <c r="F732" t="s">
        <v>1722</v>
      </c>
      <c r="G732" t="s">
        <v>1724</v>
      </c>
      <c r="H732" t="s">
        <v>1723</v>
      </c>
      <c r="I732" s="11">
        <v>46297</v>
      </c>
      <c r="J732" s="12">
        <v>46296</v>
      </c>
      <c r="K732" s="13">
        <f>INDEX(Assumptions!$B$4:$B$23,MATCH(F732,Assumptions!$A$4:$A$23,0))</f>
        <v>1</v>
      </c>
      <c r="L732" s="14">
        <f t="shared" si="22"/>
        <v>10.39</v>
      </c>
      <c r="M732" t="str">
        <f t="shared" si="23"/>
        <v>No</v>
      </c>
    </row>
    <row r="733" spans="1:13" x14ac:dyDescent="0.25">
      <c r="A733">
        <v>338899</v>
      </c>
      <c r="B733" t="s">
        <v>2272</v>
      </c>
      <c r="C733" t="s">
        <v>2273</v>
      </c>
      <c r="D733" t="s">
        <v>6220</v>
      </c>
      <c r="E733">
        <v>17.29</v>
      </c>
      <c r="F733" t="s">
        <v>1722</v>
      </c>
      <c r="G733" t="s">
        <v>1724</v>
      </c>
      <c r="H733" t="s">
        <v>1723</v>
      </c>
      <c r="I733" s="11">
        <v>46297</v>
      </c>
      <c r="J733" s="12">
        <v>46296</v>
      </c>
      <c r="K733" s="13">
        <f>INDEX(Assumptions!$B$4:$B$23,MATCH(F733,Assumptions!$A$4:$A$23,0))</f>
        <v>1</v>
      </c>
      <c r="L733" s="14">
        <f t="shared" si="22"/>
        <v>17.29</v>
      </c>
      <c r="M733" t="str">
        <f t="shared" si="23"/>
        <v>No</v>
      </c>
    </row>
    <row r="734" spans="1:13" x14ac:dyDescent="0.25">
      <c r="A734">
        <v>338900</v>
      </c>
      <c r="B734" t="s">
        <v>2276</v>
      </c>
      <c r="C734" t="s">
        <v>2277</v>
      </c>
      <c r="D734" t="s">
        <v>6220</v>
      </c>
      <c r="E734">
        <v>12.99</v>
      </c>
      <c r="F734" t="s">
        <v>1722</v>
      </c>
      <c r="G734" t="s">
        <v>1724</v>
      </c>
      <c r="H734" t="s">
        <v>1723</v>
      </c>
      <c r="I734" s="11">
        <v>46297</v>
      </c>
      <c r="J734" s="12">
        <v>46296</v>
      </c>
      <c r="K734" s="13">
        <f>INDEX(Assumptions!$B$4:$B$23,MATCH(F734,Assumptions!$A$4:$A$23,0))</f>
        <v>1</v>
      </c>
      <c r="L734" s="14">
        <f t="shared" si="22"/>
        <v>12.99</v>
      </c>
      <c r="M734" t="str">
        <f t="shared" si="23"/>
        <v>No</v>
      </c>
    </row>
    <row r="735" spans="1:13" x14ac:dyDescent="0.25">
      <c r="A735">
        <v>338898</v>
      </c>
      <c r="B735" t="s">
        <v>2280</v>
      </c>
      <c r="C735" t="s">
        <v>2281</v>
      </c>
      <c r="D735" t="s">
        <v>6220</v>
      </c>
      <c r="E735">
        <v>9.19</v>
      </c>
      <c r="F735" t="s">
        <v>1722</v>
      </c>
      <c r="G735" t="s">
        <v>1724</v>
      </c>
      <c r="H735" t="s">
        <v>1723</v>
      </c>
      <c r="I735" s="11">
        <v>46297</v>
      </c>
      <c r="J735" s="12">
        <v>46296</v>
      </c>
      <c r="K735" s="13">
        <f>INDEX(Assumptions!$B$4:$B$23,MATCH(F735,Assumptions!$A$4:$A$23,0))</f>
        <v>1</v>
      </c>
      <c r="L735" s="14">
        <f t="shared" si="22"/>
        <v>9.19</v>
      </c>
      <c r="M735" t="str">
        <f t="shared" si="23"/>
        <v>No</v>
      </c>
    </row>
    <row r="736" spans="1:13" x14ac:dyDescent="0.25">
      <c r="A736">
        <v>338897</v>
      </c>
      <c r="B736" t="s">
        <v>2284</v>
      </c>
      <c r="C736" t="s">
        <v>2285</v>
      </c>
      <c r="D736" t="s">
        <v>6220</v>
      </c>
      <c r="E736">
        <v>16.989999999999998</v>
      </c>
      <c r="F736" t="s">
        <v>1722</v>
      </c>
      <c r="G736" t="s">
        <v>1724</v>
      </c>
      <c r="H736" t="s">
        <v>1723</v>
      </c>
      <c r="I736" s="11">
        <v>46297</v>
      </c>
      <c r="J736" s="12">
        <v>46296</v>
      </c>
      <c r="K736" s="13">
        <f>INDEX(Assumptions!$B$4:$B$23,MATCH(F736,Assumptions!$A$4:$A$23,0))</f>
        <v>1</v>
      </c>
      <c r="L736" s="14">
        <f t="shared" si="22"/>
        <v>16.989999999999998</v>
      </c>
      <c r="M736" t="str">
        <f t="shared" si="23"/>
        <v>No</v>
      </c>
    </row>
    <row r="737" spans="1:13" x14ac:dyDescent="0.25">
      <c r="A737">
        <v>338896</v>
      </c>
      <c r="B737" t="s">
        <v>2287</v>
      </c>
      <c r="C737" t="s">
        <v>2288</v>
      </c>
      <c r="D737" t="s">
        <v>6220</v>
      </c>
      <c r="E737">
        <v>4.99</v>
      </c>
      <c r="F737" t="s">
        <v>1722</v>
      </c>
      <c r="G737" t="s">
        <v>2289</v>
      </c>
      <c r="H737" t="s">
        <v>1723</v>
      </c>
      <c r="I737" s="11">
        <v>46277</v>
      </c>
      <c r="J737" s="12">
        <v>46266</v>
      </c>
      <c r="K737" s="13">
        <f>INDEX(Assumptions!$B$4:$B$23,MATCH(F737,Assumptions!$A$4:$A$23,0))</f>
        <v>1</v>
      </c>
      <c r="L737" s="14">
        <f t="shared" si="22"/>
        <v>4.99</v>
      </c>
      <c r="M737" t="str">
        <f t="shared" si="23"/>
        <v>No</v>
      </c>
    </row>
    <row r="738" spans="1:13" x14ac:dyDescent="0.25">
      <c r="A738">
        <v>338895</v>
      </c>
      <c r="B738" t="s">
        <v>2292</v>
      </c>
      <c r="C738" t="s">
        <v>2293</v>
      </c>
      <c r="D738" t="s">
        <v>6220</v>
      </c>
      <c r="E738">
        <v>9.99</v>
      </c>
      <c r="F738" t="s">
        <v>1722</v>
      </c>
      <c r="G738" t="s">
        <v>2289</v>
      </c>
      <c r="H738" t="s">
        <v>1723</v>
      </c>
      <c r="I738" s="11">
        <v>46277</v>
      </c>
      <c r="J738" s="12">
        <v>46266</v>
      </c>
      <c r="K738" s="13">
        <f>INDEX(Assumptions!$B$4:$B$23,MATCH(F738,Assumptions!$A$4:$A$23,0))</f>
        <v>1</v>
      </c>
      <c r="L738" s="14">
        <f t="shared" si="22"/>
        <v>9.99</v>
      </c>
      <c r="M738" t="str">
        <f t="shared" si="23"/>
        <v>No</v>
      </c>
    </row>
    <row r="739" spans="1:13" x14ac:dyDescent="0.25">
      <c r="A739">
        <v>338893</v>
      </c>
      <c r="B739" t="s">
        <v>2295</v>
      </c>
      <c r="C739" t="s">
        <v>2296</v>
      </c>
      <c r="D739" t="s">
        <v>6220</v>
      </c>
      <c r="E739">
        <v>12.99</v>
      </c>
      <c r="F739" t="s">
        <v>1722</v>
      </c>
      <c r="G739" t="s">
        <v>2289</v>
      </c>
      <c r="H739" t="s">
        <v>1723</v>
      </c>
      <c r="I739" s="11">
        <v>46277</v>
      </c>
      <c r="J739" s="12">
        <v>46266</v>
      </c>
      <c r="K739" s="13">
        <f>INDEX(Assumptions!$B$4:$B$23,MATCH(F739,Assumptions!$A$4:$A$23,0))</f>
        <v>1</v>
      </c>
      <c r="L739" s="14">
        <f t="shared" si="22"/>
        <v>12.99</v>
      </c>
      <c r="M739" t="str">
        <f t="shared" si="23"/>
        <v>No</v>
      </c>
    </row>
    <row r="740" spans="1:13" x14ac:dyDescent="0.25">
      <c r="A740">
        <v>338894</v>
      </c>
      <c r="B740" t="s">
        <v>2298</v>
      </c>
      <c r="C740" t="s">
        <v>2299</v>
      </c>
      <c r="D740" t="s">
        <v>6220</v>
      </c>
      <c r="E740">
        <v>6.99</v>
      </c>
      <c r="F740" t="s">
        <v>1722</v>
      </c>
      <c r="G740" t="s">
        <v>2289</v>
      </c>
      <c r="H740" t="s">
        <v>1723</v>
      </c>
      <c r="I740" s="11">
        <v>46277</v>
      </c>
      <c r="J740" s="12">
        <v>46266</v>
      </c>
      <c r="K740" s="13">
        <f>INDEX(Assumptions!$B$4:$B$23,MATCH(F740,Assumptions!$A$4:$A$23,0))</f>
        <v>1</v>
      </c>
      <c r="L740" s="14">
        <f t="shared" si="22"/>
        <v>6.99</v>
      </c>
      <c r="M740" t="str">
        <f t="shared" si="23"/>
        <v>No</v>
      </c>
    </row>
    <row r="741" spans="1:13" x14ac:dyDescent="0.25">
      <c r="A741">
        <v>338892</v>
      </c>
      <c r="B741" t="s">
        <v>2301</v>
      </c>
      <c r="C741" t="s">
        <v>2302</v>
      </c>
      <c r="D741" t="s">
        <v>6220</v>
      </c>
      <c r="E741">
        <v>6.99</v>
      </c>
      <c r="F741" t="s">
        <v>1722</v>
      </c>
      <c r="G741" t="s">
        <v>2289</v>
      </c>
      <c r="H741" t="s">
        <v>1723</v>
      </c>
      <c r="I741" s="11">
        <v>46277</v>
      </c>
      <c r="J741" s="12">
        <v>46266</v>
      </c>
      <c r="K741" s="13">
        <f>INDEX(Assumptions!$B$4:$B$23,MATCH(F741,Assumptions!$A$4:$A$23,0))</f>
        <v>1</v>
      </c>
      <c r="L741" s="14">
        <f t="shared" si="22"/>
        <v>6.99</v>
      </c>
      <c r="M741" t="str">
        <f t="shared" si="23"/>
        <v>No</v>
      </c>
    </row>
    <row r="742" spans="1:13" x14ac:dyDescent="0.25">
      <c r="A742">
        <v>338891</v>
      </c>
      <c r="B742" t="s">
        <v>2304</v>
      </c>
      <c r="C742" t="s">
        <v>2305</v>
      </c>
      <c r="D742" t="s">
        <v>6220</v>
      </c>
      <c r="E742">
        <v>14.99</v>
      </c>
      <c r="F742" t="s">
        <v>1722</v>
      </c>
      <c r="G742" t="s">
        <v>2289</v>
      </c>
      <c r="H742" t="s">
        <v>1723</v>
      </c>
      <c r="I742" s="11">
        <v>46277</v>
      </c>
      <c r="J742" s="12">
        <v>46266</v>
      </c>
      <c r="K742" s="13">
        <f>INDEX(Assumptions!$B$4:$B$23,MATCH(F742,Assumptions!$A$4:$A$23,0))</f>
        <v>1</v>
      </c>
      <c r="L742" s="14">
        <f t="shared" si="22"/>
        <v>14.99</v>
      </c>
      <c r="M742" t="str">
        <f t="shared" si="23"/>
        <v>No</v>
      </c>
    </row>
    <row r="743" spans="1:13" x14ac:dyDescent="0.25">
      <c r="A743">
        <v>338890</v>
      </c>
      <c r="B743" t="s">
        <v>2308</v>
      </c>
      <c r="C743" t="s">
        <v>2309</v>
      </c>
      <c r="D743" t="s">
        <v>6220</v>
      </c>
      <c r="E743">
        <v>8.99</v>
      </c>
      <c r="F743" t="s">
        <v>1722</v>
      </c>
      <c r="G743" t="s">
        <v>2289</v>
      </c>
      <c r="H743" t="s">
        <v>1723</v>
      </c>
      <c r="I743" s="11">
        <v>46277</v>
      </c>
      <c r="J743" s="12">
        <v>46266</v>
      </c>
      <c r="K743" s="13">
        <f>INDEX(Assumptions!$B$4:$B$23,MATCH(F743,Assumptions!$A$4:$A$23,0))</f>
        <v>1</v>
      </c>
      <c r="L743" s="14">
        <f t="shared" si="22"/>
        <v>8.99</v>
      </c>
      <c r="M743" t="str">
        <f t="shared" si="23"/>
        <v>No</v>
      </c>
    </row>
    <row r="744" spans="1:13" x14ac:dyDescent="0.25">
      <c r="A744">
        <v>338889</v>
      </c>
      <c r="B744" t="s">
        <v>2312</v>
      </c>
      <c r="C744" t="s">
        <v>2313</v>
      </c>
      <c r="D744" t="s">
        <v>6220</v>
      </c>
      <c r="E744">
        <v>8.99</v>
      </c>
      <c r="F744" t="s">
        <v>1722</v>
      </c>
      <c r="G744" t="s">
        <v>2289</v>
      </c>
      <c r="H744" t="s">
        <v>1723</v>
      </c>
      <c r="I744" s="11">
        <v>46277</v>
      </c>
      <c r="J744" s="12">
        <v>46266</v>
      </c>
      <c r="K744" s="13">
        <f>INDEX(Assumptions!$B$4:$B$23,MATCH(F744,Assumptions!$A$4:$A$23,0))</f>
        <v>1</v>
      </c>
      <c r="L744" s="14">
        <f t="shared" si="22"/>
        <v>8.99</v>
      </c>
      <c r="M744" t="str">
        <f t="shared" si="23"/>
        <v>No</v>
      </c>
    </row>
    <row r="745" spans="1:13" x14ac:dyDescent="0.25">
      <c r="A745">
        <v>338888</v>
      </c>
      <c r="B745" t="s">
        <v>2315</v>
      </c>
      <c r="C745" t="s">
        <v>2316</v>
      </c>
      <c r="D745" t="s">
        <v>6220</v>
      </c>
      <c r="E745">
        <v>8.99</v>
      </c>
      <c r="F745" t="s">
        <v>1722</v>
      </c>
      <c r="G745" t="s">
        <v>2289</v>
      </c>
      <c r="H745" t="s">
        <v>1723</v>
      </c>
      <c r="I745" s="11">
        <v>46277</v>
      </c>
      <c r="J745" s="12">
        <v>46266</v>
      </c>
      <c r="K745" s="13">
        <f>INDEX(Assumptions!$B$4:$B$23,MATCH(F745,Assumptions!$A$4:$A$23,0))</f>
        <v>1</v>
      </c>
      <c r="L745" s="14">
        <f t="shared" si="22"/>
        <v>8.99</v>
      </c>
      <c r="M745" t="str">
        <f t="shared" si="23"/>
        <v>No</v>
      </c>
    </row>
    <row r="746" spans="1:13" x14ac:dyDescent="0.25">
      <c r="A746">
        <v>338886</v>
      </c>
      <c r="B746" t="s">
        <v>2318</v>
      </c>
      <c r="C746" t="s">
        <v>2319</v>
      </c>
      <c r="D746" t="s">
        <v>6220</v>
      </c>
      <c r="E746">
        <v>8.49</v>
      </c>
      <c r="F746" t="s">
        <v>1722</v>
      </c>
      <c r="G746" t="s">
        <v>2289</v>
      </c>
      <c r="H746" t="s">
        <v>1723</v>
      </c>
      <c r="I746" s="11">
        <v>46277</v>
      </c>
      <c r="J746" s="12">
        <v>46266</v>
      </c>
      <c r="K746" s="13">
        <f>INDEX(Assumptions!$B$4:$B$23,MATCH(F746,Assumptions!$A$4:$A$23,0))</f>
        <v>1</v>
      </c>
      <c r="L746" s="14">
        <f t="shared" si="22"/>
        <v>8.49</v>
      </c>
      <c r="M746" t="str">
        <f t="shared" si="23"/>
        <v>No</v>
      </c>
    </row>
    <row r="747" spans="1:13" x14ac:dyDescent="0.25">
      <c r="A747">
        <v>338885</v>
      </c>
      <c r="B747" t="s">
        <v>2321</v>
      </c>
      <c r="C747" t="s">
        <v>2322</v>
      </c>
      <c r="D747" t="s">
        <v>6220</v>
      </c>
      <c r="E747">
        <v>8.49</v>
      </c>
      <c r="F747" t="s">
        <v>1722</v>
      </c>
      <c r="G747" t="s">
        <v>2289</v>
      </c>
      <c r="H747" t="s">
        <v>1723</v>
      </c>
      <c r="I747" s="11">
        <v>46277</v>
      </c>
      <c r="J747" s="12">
        <v>46266</v>
      </c>
      <c r="K747" s="13">
        <f>INDEX(Assumptions!$B$4:$B$23,MATCH(F747,Assumptions!$A$4:$A$23,0))</f>
        <v>1</v>
      </c>
      <c r="L747" s="14">
        <f t="shared" si="22"/>
        <v>8.49</v>
      </c>
      <c r="M747" t="str">
        <f t="shared" si="23"/>
        <v>No</v>
      </c>
    </row>
    <row r="748" spans="1:13" x14ac:dyDescent="0.25">
      <c r="A748">
        <v>338884</v>
      </c>
      <c r="B748" t="s">
        <v>2324</v>
      </c>
      <c r="C748" t="s">
        <v>2325</v>
      </c>
      <c r="D748" t="s">
        <v>6220</v>
      </c>
      <c r="E748">
        <v>8.99</v>
      </c>
      <c r="F748" t="s">
        <v>1722</v>
      </c>
      <c r="G748" t="s">
        <v>2289</v>
      </c>
      <c r="H748" t="s">
        <v>1723</v>
      </c>
      <c r="I748" s="11">
        <v>46277</v>
      </c>
      <c r="J748" s="12">
        <v>46266</v>
      </c>
      <c r="K748" s="13">
        <f>INDEX(Assumptions!$B$4:$B$23,MATCH(F748,Assumptions!$A$4:$A$23,0))</f>
        <v>1</v>
      </c>
      <c r="L748" s="14">
        <f t="shared" si="22"/>
        <v>8.99</v>
      </c>
      <c r="M748" t="str">
        <f t="shared" si="23"/>
        <v>No</v>
      </c>
    </row>
    <row r="749" spans="1:13" x14ac:dyDescent="0.25">
      <c r="A749">
        <v>338883</v>
      </c>
      <c r="B749" t="s">
        <v>2327</v>
      </c>
      <c r="C749" t="s">
        <v>2328</v>
      </c>
      <c r="D749" t="s">
        <v>6220</v>
      </c>
      <c r="E749">
        <v>8.49</v>
      </c>
      <c r="F749" t="s">
        <v>1722</v>
      </c>
      <c r="G749" t="s">
        <v>2289</v>
      </c>
      <c r="H749" t="s">
        <v>1723</v>
      </c>
      <c r="I749" s="11">
        <v>46277</v>
      </c>
      <c r="J749" s="12">
        <v>46266</v>
      </c>
      <c r="K749" s="13">
        <f>INDEX(Assumptions!$B$4:$B$23,MATCH(F749,Assumptions!$A$4:$A$23,0))</f>
        <v>1</v>
      </c>
      <c r="L749" s="14">
        <f t="shared" si="22"/>
        <v>8.49</v>
      </c>
      <c r="M749" t="str">
        <f t="shared" si="23"/>
        <v>No</v>
      </c>
    </row>
    <row r="750" spans="1:13" x14ac:dyDescent="0.25">
      <c r="A750">
        <v>338887</v>
      </c>
      <c r="B750" t="s">
        <v>2330</v>
      </c>
      <c r="C750" t="s">
        <v>2331</v>
      </c>
      <c r="D750" t="s">
        <v>6220</v>
      </c>
      <c r="E750">
        <v>8.49</v>
      </c>
      <c r="F750" t="s">
        <v>1722</v>
      </c>
      <c r="G750" t="s">
        <v>2289</v>
      </c>
      <c r="H750" t="s">
        <v>1723</v>
      </c>
      <c r="I750" s="11">
        <v>46277</v>
      </c>
      <c r="J750" s="12">
        <v>46266</v>
      </c>
      <c r="K750" s="13">
        <f>INDEX(Assumptions!$B$4:$B$23,MATCH(F750,Assumptions!$A$4:$A$23,0))</f>
        <v>1</v>
      </c>
      <c r="L750" s="14">
        <f t="shared" si="22"/>
        <v>8.49</v>
      </c>
      <c r="M750" t="str">
        <f t="shared" si="23"/>
        <v>No</v>
      </c>
    </row>
    <row r="751" spans="1:13" x14ac:dyDescent="0.25">
      <c r="A751">
        <v>338882</v>
      </c>
      <c r="B751" t="s">
        <v>2333</v>
      </c>
      <c r="C751" t="s">
        <v>2334</v>
      </c>
      <c r="D751" t="s">
        <v>6220</v>
      </c>
      <c r="E751">
        <v>6.69</v>
      </c>
      <c r="F751" t="s">
        <v>1722</v>
      </c>
      <c r="G751" t="s">
        <v>1724</v>
      </c>
      <c r="H751" t="s">
        <v>1723</v>
      </c>
      <c r="I751" s="11">
        <v>46297</v>
      </c>
      <c r="J751" s="12">
        <v>46296</v>
      </c>
      <c r="K751" s="13">
        <f>INDEX(Assumptions!$B$4:$B$23,MATCH(F751,Assumptions!$A$4:$A$23,0))</f>
        <v>1</v>
      </c>
      <c r="L751" s="14">
        <f t="shared" si="22"/>
        <v>6.69</v>
      </c>
      <c r="M751" t="str">
        <f t="shared" si="23"/>
        <v>No</v>
      </c>
    </row>
    <row r="752" spans="1:13" x14ac:dyDescent="0.25">
      <c r="A752">
        <v>338881</v>
      </c>
      <c r="B752" t="s">
        <v>2337</v>
      </c>
      <c r="C752" t="s">
        <v>2338</v>
      </c>
      <c r="D752" t="s">
        <v>6220</v>
      </c>
      <c r="E752">
        <v>6.69</v>
      </c>
      <c r="F752" t="s">
        <v>1722</v>
      </c>
      <c r="G752" t="s">
        <v>1724</v>
      </c>
      <c r="H752" t="s">
        <v>1723</v>
      </c>
      <c r="I752" s="11">
        <v>46297</v>
      </c>
      <c r="J752" s="12">
        <v>46296</v>
      </c>
      <c r="K752" s="13">
        <f>INDEX(Assumptions!$B$4:$B$23,MATCH(F752,Assumptions!$A$4:$A$23,0))</f>
        <v>1</v>
      </c>
      <c r="L752" s="14">
        <f t="shared" si="22"/>
        <v>6.69</v>
      </c>
      <c r="M752" t="str">
        <f t="shared" si="23"/>
        <v>No</v>
      </c>
    </row>
    <row r="753" spans="1:13" x14ac:dyDescent="0.25">
      <c r="A753">
        <v>338880</v>
      </c>
      <c r="B753" t="s">
        <v>2340</v>
      </c>
      <c r="C753" t="s">
        <v>2341</v>
      </c>
      <c r="D753" t="s">
        <v>6220</v>
      </c>
      <c r="E753">
        <v>6.69</v>
      </c>
      <c r="F753" t="s">
        <v>1722</v>
      </c>
      <c r="G753" t="s">
        <v>1724</v>
      </c>
      <c r="H753" t="s">
        <v>1723</v>
      </c>
      <c r="I753" s="11">
        <v>46297</v>
      </c>
      <c r="J753" s="12">
        <v>46296</v>
      </c>
      <c r="K753" s="13">
        <f>INDEX(Assumptions!$B$4:$B$23,MATCH(F753,Assumptions!$A$4:$A$23,0))</f>
        <v>1</v>
      </c>
      <c r="L753" s="14">
        <f t="shared" si="22"/>
        <v>6.69</v>
      </c>
      <c r="M753" t="str">
        <f t="shared" si="23"/>
        <v>No</v>
      </c>
    </row>
    <row r="754" spans="1:13" x14ac:dyDescent="0.25">
      <c r="A754">
        <v>338879</v>
      </c>
      <c r="B754" t="s">
        <v>2343</v>
      </c>
      <c r="C754" t="s">
        <v>2344</v>
      </c>
      <c r="D754" t="s">
        <v>6220</v>
      </c>
      <c r="E754">
        <v>6.69</v>
      </c>
      <c r="F754" t="s">
        <v>1722</v>
      </c>
      <c r="G754" t="s">
        <v>1724</v>
      </c>
      <c r="H754" t="s">
        <v>1723</v>
      </c>
      <c r="I754" s="11">
        <v>46297</v>
      </c>
      <c r="J754" s="12">
        <v>46296</v>
      </c>
      <c r="K754" s="13">
        <f>INDEX(Assumptions!$B$4:$B$23,MATCH(F754,Assumptions!$A$4:$A$23,0))</f>
        <v>1</v>
      </c>
      <c r="L754" s="14">
        <f t="shared" si="22"/>
        <v>6.69</v>
      </c>
      <c r="M754" t="str">
        <f t="shared" si="23"/>
        <v>No</v>
      </c>
    </row>
    <row r="755" spans="1:13" x14ac:dyDescent="0.25">
      <c r="A755">
        <v>338878</v>
      </c>
      <c r="B755" t="s">
        <v>2346</v>
      </c>
      <c r="C755" t="s">
        <v>2347</v>
      </c>
      <c r="D755" t="s">
        <v>6220</v>
      </c>
      <c r="E755">
        <v>6.69</v>
      </c>
      <c r="F755" t="s">
        <v>1722</v>
      </c>
      <c r="G755" t="s">
        <v>1724</v>
      </c>
      <c r="H755" t="s">
        <v>1723</v>
      </c>
      <c r="I755" s="11">
        <v>46297</v>
      </c>
      <c r="J755" s="12">
        <v>46296</v>
      </c>
      <c r="K755" s="13">
        <f>INDEX(Assumptions!$B$4:$B$23,MATCH(F755,Assumptions!$A$4:$A$23,0))</f>
        <v>1</v>
      </c>
      <c r="L755" s="14">
        <f t="shared" si="22"/>
        <v>6.69</v>
      </c>
      <c r="M755" t="str">
        <f t="shared" si="23"/>
        <v>No</v>
      </c>
    </row>
    <row r="756" spans="1:13" x14ac:dyDescent="0.25">
      <c r="A756">
        <v>338876</v>
      </c>
      <c r="B756" t="s">
        <v>2349</v>
      </c>
      <c r="C756" t="s">
        <v>2350</v>
      </c>
      <c r="D756" t="s">
        <v>6220</v>
      </c>
      <c r="E756">
        <v>6.69</v>
      </c>
      <c r="F756" t="s">
        <v>1722</v>
      </c>
      <c r="G756" t="s">
        <v>1724</v>
      </c>
      <c r="H756" t="s">
        <v>1723</v>
      </c>
      <c r="I756" s="11">
        <v>46297</v>
      </c>
      <c r="J756" s="12">
        <v>46296</v>
      </c>
      <c r="K756" s="13">
        <f>INDEX(Assumptions!$B$4:$B$23,MATCH(F756,Assumptions!$A$4:$A$23,0))</f>
        <v>1</v>
      </c>
      <c r="L756" s="14">
        <f t="shared" si="22"/>
        <v>6.69</v>
      </c>
      <c r="M756" t="str">
        <f t="shared" si="23"/>
        <v>No</v>
      </c>
    </row>
    <row r="757" spans="1:13" x14ac:dyDescent="0.25">
      <c r="A757">
        <v>338877</v>
      </c>
      <c r="B757" t="s">
        <v>2352</v>
      </c>
      <c r="C757" t="s">
        <v>2353</v>
      </c>
      <c r="D757" t="s">
        <v>6220</v>
      </c>
      <c r="E757">
        <v>6.69</v>
      </c>
      <c r="F757" t="s">
        <v>1722</v>
      </c>
      <c r="G757" t="s">
        <v>1724</v>
      </c>
      <c r="H757" t="s">
        <v>1723</v>
      </c>
      <c r="I757" s="11">
        <v>46297</v>
      </c>
      <c r="J757" s="12">
        <v>46296</v>
      </c>
      <c r="K757" s="13">
        <f>INDEX(Assumptions!$B$4:$B$23,MATCH(F757,Assumptions!$A$4:$A$23,0))</f>
        <v>1</v>
      </c>
      <c r="L757" s="14">
        <f t="shared" si="22"/>
        <v>6.69</v>
      </c>
      <c r="M757" t="str">
        <f t="shared" si="23"/>
        <v>No</v>
      </c>
    </row>
    <row r="758" spans="1:13" x14ac:dyDescent="0.25">
      <c r="A758">
        <v>338875</v>
      </c>
      <c r="B758" t="s">
        <v>2355</v>
      </c>
      <c r="C758" t="s">
        <v>2356</v>
      </c>
      <c r="D758" t="s">
        <v>6220</v>
      </c>
      <c r="E758">
        <v>10.99</v>
      </c>
      <c r="F758" t="s">
        <v>1722</v>
      </c>
      <c r="G758" t="s">
        <v>1724</v>
      </c>
      <c r="H758" t="s">
        <v>1723</v>
      </c>
      <c r="I758" s="11">
        <v>46297</v>
      </c>
      <c r="J758" s="12">
        <v>46296</v>
      </c>
      <c r="K758" s="13">
        <f>INDEX(Assumptions!$B$4:$B$23,MATCH(F758,Assumptions!$A$4:$A$23,0))</f>
        <v>1</v>
      </c>
      <c r="L758" s="14">
        <f t="shared" si="22"/>
        <v>10.99</v>
      </c>
      <c r="M758" t="str">
        <f t="shared" si="23"/>
        <v>No</v>
      </c>
    </row>
    <row r="759" spans="1:13" x14ac:dyDescent="0.25">
      <c r="A759">
        <v>338874</v>
      </c>
      <c r="B759" t="s">
        <v>2358</v>
      </c>
      <c r="C759" t="s">
        <v>2359</v>
      </c>
      <c r="D759" t="s">
        <v>6220</v>
      </c>
      <c r="E759">
        <v>10.99</v>
      </c>
      <c r="F759" t="s">
        <v>1722</v>
      </c>
      <c r="G759" t="s">
        <v>1724</v>
      </c>
      <c r="H759" t="s">
        <v>1723</v>
      </c>
      <c r="I759" s="11">
        <v>46297</v>
      </c>
      <c r="J759" s="12">
        <v>46296</v>
      </c>
      <c r="K759" s="13">
        <f>INDEX(Assumptions!$B$4:$B$23,MATCH(F759,Assumptions!$A$4:$A$23,0))</f>
        <v>1</v>
      </c>
      <c r="L759" s="14">
        <f t="shared" si="22"/>
        <v>10.99</v>
      </c>
      <c r="M759" t="str">
        <f t="shared" si="23"/>
        <v>No</v>
      </c>
    </row>
    <row r="760" spans="1:13" x14ac:dyDescent="0.25">
      <c r="A760">
        <v>338872</v>
      </c>
      <c r="B760" t="s">
        <v>2361</v>
      </c>
      <c r="C760" t="s">
        <v>2362</v>
      </c>
      <c r="D760" t="s">
        <v>6220</v>
      </c>
      <c r="E760">
        <v>18.489999999999998</v>
      </c>
      <c r="F760" t="s">
        <v>1722</v>
      </c>
      <c r="G760" t="s">
        <v>1724</v>
      </c>
      <c r="H760" t="s">
        <v>1723</v>
      </c>
      <c r="I760" s="11">
        <v>46297</v>
      </c>
      <c r="J760" s="12">
        <v>46296</v>
      </c>
      <c r="K760" s="13">
        <f>INDEX(Assumptions!$B$4:$B$23,MATCH(F760,Assumptions!$A$4:$A$23,0))</f>
        <v>1</v>
      </c>
      <c r="L760" s="14">
        <f t="shared" si="22"/>
        <v>18.489999999999998</v>
      </c>
      <c r="M760" t="str">
        <f t="shared" si="23"/>
        <v>No</v>
      </c>
    </row>
    <row r="761" spans="1:13" x14ac:dyDescent="0.25">
      <c r="A761">
        <v>338873</v>
      </c>
      <c r="B761" t="s">
        <v>2365</v>
      </c>
      <c r="C761" t="s">
        <v>2366</v>
      </c>
      <c r="D761" t="s">
        <v>6220</v>
      </c>
      <c r="E761">
        <v>18.489999999999998</v>
      </c>
      <c r="F761" t="s">
        <v>1722</v>
      </c>
      <c r="G761" t="s">
        <v>1724</v>
      </c>
      <c r="H761" t="s">
        <v>1723</v>
      </c>
      <c r="I761" s="11">
        <v>46297</v>
      </c>
      <c r="J761" s="12">
        <v>46296</v>
      </c>
      <c r="K761" s="13">
        <f>INDEX(Assumptions!$B$4:$B$23,MATCH(F761,Assumptions!$A$4:$A$23,0))</f>
        <v>1</v>
      </c>
      <c r="L761" s="14">
        <f t="shared" si="22"/>
        <v>18.489999999999998</v>
      </c>
      <c r="M761" t="str">
        <f t="shared" si="23"/>
        <v>No</v>
      </c>
    </row>
    <row r="762" spans="1:13" x14ac:dyDescent="0.25">
      <c r="A762">
        <v>338871</v>
      </c>
      <c r="B762" t="s">
        <v>2368</v>
      </c>
      <c r="C762" t="s">
        <v>2369</v>
      </c>
      <c r="D762" t="s">
        <v>6220</v>
      </c>
      <c r="E762">
        <v>19.989999999999998</v>
      </c>
      <c r="F762" t="s">
        <v>1722</v>
      </c>
      <c r="G762" t="s">
        <v>1724</v>
      </c>
      <c r="H762" t="s">
        <v>1723</v>
      </c>
      <c r="I762" s="11">
        <v>46297</v>
      </c>
      <c r="J762" s="12">
        <v>46296</v>
      </c>
      <c r="K762" s="13">
        <f>INDEX(Assumptions!$B$4:$B$23,MATCH(F762,Assumptions!$A$4:$A$23,0))</f>
        <v>1</v>
      </c>
      <c r="L762" s="14">
        <f t="shared" si="22"/>
        <v>19.989999999999998</v>
      </c>
      <c r="M762" t="str">
        <f t="shared" si="23"/>
        <v>No</v>
      </c>
    </row>
    <row r="763" spans="1:13" x14ac:dyDescent="0.25">
      <c r="A763">
        <v>338870</v>
      </c>
      <c r="B763" t="s">
        <v>2372</v>
      </c>
      <c r="C763" t="s">
        <v>2373</v>
      </c>
      <c r="D763" t="s">
        <v>6220</v>
      </c>
      <c r="E763">
        <v>18.489999999999998</v>
      </c>
      <c r="F763" t="s">
        <v>1722</v>
      </c>
      <c r="G763" t="s">
        <v>1724</v>
      </c>
      <c r="H763" t="s">
        <v>1723</v>
      </c>
      <c r="I763" s="11">
        <v>46297</v>
      </c>
      <c r="J763" s="12">
        <v>46296</v>
      </c>
      <c r="K763" s="13">
        <f>INDEX(Assumptions!$B$4:$B$23,MATCH(F763,Assumptions!$A$4:$A$23,0))</f>
        <v>1</v>
      </c>
      <c r="L763" s="14">
        <f t="shared" si="22"/>
        <v>18.489999999999998</v>
      </c>
      <c r="M763" t="str">
        <f t="shared" si="23"/>
        <v>No</v>
      </c>
    </row>
    <row r="764" spans="1:13" x14ac:dyDescent="0.25">
      <c r="A764">
        <v>338869</v>
      </c>
      <c r="B764" t="s">
        <v>2375</v>
      </c>
      <c r="C764" t="s">
        <v>2376</v>
      </c>
      <c r="D764" t="s">
        <v>6220</v>
      </c>
      <c r="E764">
        <v>9.94</v>
      </c>
      <c r="F764" t="s">
        <v>1722</v>
      </c>
      <c r="G764" t="s">
        <v>1724</v>
      </c>
      <c r="H764" t="s">
        <v>1723</v>
      </c>
      <c r="I764" s="11">
        <v>46297</v>
      </c>
      <c r="J764" s="12">
        <v>46296</v>
      </c>
      <c r="K764" s="13">
        <f>INDEX(Assumptions!$B$4:$B$23,MATCH(F764,Assumptions!$A$4:$A$23,0))</f>
        <v>1</v>
      </c>
      <c r="L764" s="14">
        <f t="shared" si="22"/>
        <v>9.94</v>
      </c>
      <c r="M764" t="str">
        <f t="shared" si="23"/>
        <v>No</v>
      </c>
    </row>
    <row r="765" spans="1:13" x14ac:dyDescent="0.25">
      <c r="A765">
        <v>338868</v>
      </c>
      <c r="B765" t="s">
        <v>2379</v>
      </c>
      <c r="C765" t="s">
        <v>2380</v>
      </c>
      <c r="D765" t="s">
        <v>6220</v>
      </c>
      <c r="E765">
        <v>9.94</v>
      </c>
      <c r="F765" t="s">
        <v>1722</v>
      </c>
      <c r="G765" t="s">
        <v>1724</v>
      </c>
      <c r="H765" t="s">
        <v>1723</v>
      </c>
      <c r="I765" s="11">
        <v>46297</v>
      </c>
      <c r="J765" s="12">
        <v>46296</v>
      </c>
      <c r="K765" s="13">
        <f>INDEX(Assumptions!$B$4:$B$23,MATCH(F765,Assumptions!$A$4:$A$23,0))</f>
        <v>1</v>
      </c>
      <c r="L765" s="14">
        <f t="shared" si="22"/>
        <v>9.94</v>
      </c>
      <c r="M765" t="str">
        <f t="shared" si="23"/>
        <v>No</v>
      </c>
    </row>
    <row r="766" spans="1:13" x14ac:dyDescent="0.25">
      <c r="A766">
        <v>338867</v>
      </c>
      <c r="B766" t="s">
        <v>2382</v>
      </c>
      <c r="C766" t="s">
        <v>2383</v>
      </c>
      <c r="D766" t="s">
        <v>6220</v>
      </c>
      <c r="E766">
        <v>9.94</v>
      </c>
      <c r="F766" t="s">
        <v>1722</v>
      </c>
      <c r="G766" t="s">
        <v>1724</v>
      </c>
      <c r="H766" t="s">
        <v>1723</v>
      </c>
      <c r="I766" s="11">
        <v>46297</v>
      </c>
      <c r="J766" s="12">
        <v>46296</v>
      </c>
      <c r="K766" s="13">
        <f>INDEX(Assumptions!$B$4:$B$23,MATCH(F766,Assumptions!$A$4:$A$23,0))</f>
        <v>1</v>
      </c>
      <c r="L766" s="14">
        <f t="shared" si="22"/>
        <v>9.94</v>
      </c>
      <c r="M766" t="str">
        <f t="shared" si="23"/>
        <v>No</v>
      </c>
    </row>
    <row r="767" spans="1:13" x14ac:dyDescent="0.25">
      <c r="A767">
        <v>338866</v>
      </c>
      <c r="B767" t="s">
        <v>2385</v>
      </c>
      <c r="C767" t="s">
        <v>2386</v>
      </c>
      <c r="D767" t="s">
        <v>6220</v>
      </c>
      <c r="E767">
        <v>11.84</v>
      </c>
      <c r="F767" t="s">
        <v>1722</v>
      </c>
      <c r="G767" t="s">
        <v>1724</v>
      </c>
      <c r="H767" t="s">
        <v>1723</v>
      </c>
      <c r="I767" s="11">
        <v>46297</v>
      </c>
      <c r="J767" s="12">
        <v>46296</v>
      </c>
      <c r="K767" s="13">
        <f>INDEX(Assumptions!$B$4:$B$23,MATCH(F767,Assumptions!$A$4:$A$23,0))</f>
        <v>1</v>
      </c>
      <c r="L767" s="14">
        <f t="shared" si="22"/>
        <v>11.84</v>
      </c>
      <c r="M767" t="str">
        <f t="shared" si="23"/>
        <v>No</v>
      </c>
    </row>
    <row r="768" spans="1:13" x14ac:dyDescent="0.25">
      <c r="A768">
        <v>338865</v>
      </c>
      <c r="B768" t="s">
        <v>2388</v>
      </c>
      <c r="C768" t="s">
        <v>2380</v>
      </c>
      <c r="D768" t="s">
        <v>6220</v>
      </c>
      <c r="E768">
        <v>9.94</v>
      </c>
      <c r="F768" t="s">
        <v>1722</v>
      </c>
      <c r="G768" t="s">
        <v>1724</v>
      </c>
      <c r="H768" t="s">
        <v>1723</v>
      </c>
      <c r="I768" s="11">
        <v>46297</v>
      </c>
      <c r="J768" s="12">
        <v>46296</v>
      </c>
      <c r="K768" s="13">
        <f>INDEX(Assumptions!$B$4:$B$23,MATCH(F768,Assumptions!$A$4:$A$23,0))</f>
        <v>1</v>
      </c>
      <c r="L768" s="14">
        <f t="shared" si="22"/>
        <v>9.94</v>
      </c>
      <c r="M768" t="str">
        <f t="shared" si="23"/>
        <v>No</v>
      </c>
    </row>
    <row r="769" spans="1:13" x14ac:dyDescent="0.25">
      <c r="A769">
        <v>338863</v>
      </c>
      <c r="B769" t="s">
        <v>2390</v>
      </c>
      <c r="C769" t="s">
        <v>2391</v>
      </c>
      <c r="D769" t="s">
        <v>6220</v>
      </c>
      <c r="E769">
        <v>11.29</v>
      </c>
      <c r="F769" t="s">
        <v>1722</v>
      </c>
      <c r="G769" t="s">
        <v>1724</v>
      </c>
      <c r="H769" t="s">
        <v>1723</v>
      </c>
      <c r="I769" s="11">
        <v>46297</v>
      </c>
      <c r="J769" s="12">
        <v>46296</v>
      </c>
      <c r="K769" s="13">
        <f>INDEX(Assumptions!$B$4:$B$23,MATCH(F769,Assumptions!$A$4:$A$23,0))</f>
        <v>1</v>
      </c>
      <c r="L769" s="14">
        <f t="shared" si="22"/>
        <v>11.29</v>
      </c>
      <c r="M769" t="str">
        <f t="shared" si="23"/>
        <v>No</v>
      </c>
    </row>
    <row r="770" spans="1:13" x14ac:dyDescent="0.25">
      <c r="A770">
        <v>338862</v>
      </c>
      <c r="B770" t="s">
        <v>2394</v>
      </c>
      <c r="C770" t="s">
        <v>2395</v>
      </c>
      <c r="D770" t="s">
        <v>6220</v>
      </c>
      <c r="E770">
        <v>12.29</v>
      </c>
      <c r="F770" t="s">
        <v>1722</v>
      </c>
      <c r="G770" t="s">
        <v>1724</v>
      </c>
      <c r="H770" t="s">
        <v>1723</v>
      </c>
      <c r="I770" s="11">
        <v>46297</v>
      </c>
      <c r="J770" s="12">
        <v>46296</v>
      </c>
      <c r="K770" s="13">
        <f>INDEX(Assumptions!$B$4:$B$23,MATCH(F770,Assumptions!$A$4:$A$23,0))</f>
        <v>1</v>
      </c>
      <c r="L770" s="14">
        <f t="shared" ref="L770:L833" si="24">E770*K770</f>
        <v>12.29</v>
      </c>
      <c r="M770" t="str">
        <f t="shared" ref="M770:M833" si="25">IF(C770="Unnamed product","Yes","No")</f>
        <v>No</v>
      </c>
    </row>
    <row r="771" spans="1:13" x14ac:dyDescent="0.25">
      <c r="A771">
        <v>338861</v>
      </c>
      <c r="B771" t="s">
        <v>2398</v>
      </c>
      <c r="C771" t="s">
        <v>2399</v>
      </c>
      <c r="D771" t="s">
        <v>6220</v>
      </c>
      <c r="E771">
        <v>12.29</v>
      </c>
      <c r="F771" t="s">
        <v>1722</v>
      </c>
      <c r="G771" t="s">
        <v>1724</v>
      </c>
      <c r="H771" t="s">
        <v>1723</v>
      </c>
      <c r="I771" s="11">
        <v>46297</v>
      </c>
      <c r="J771" s="12">
        <v>46296</v>
      </c>
      <c r="K771" s="13">
        <f>INDEX(Assumptions!$B$4:$B$23,MATCH(F771,Assumptions!$A$4:$A$23,0))</f>
        <v>1</v>
      </c>
      <c r="L771" s="14">
        <f t="shared" si="24"/>
        <v>12.29</v>
      </c>
      <c r="M771" t="str">
        <f t="shared" si="25"/>
        <v>No</v>
      </c>
    </row>
    <row r="772" spans="1:13" x14ac:dyDescent="0.25">
      <c r="A772">
        <v>338860</v>
      </c>
      <c r="B772" t="s">
        <v>2401</v>
      </c>
      <c r="C772" t="s">
        <v>2402</v>
      </c>
      <c r="D772" t="s">
        <v>6220</v>
      </c>
      <c r="E772">
        <v>10.99</v>
      </c>
      <c r="F772" t="s">
        <v>1722</v>
      </c>
      <c r="G772" t="s">
        <v>1724</v>
      </c>
      <c r="H772" t="s">
        <v>1723</v>
      </c>
      <c r="I772" s="11">
        <v>46297</v>
      </c>
      <c r="J772" s="12">
        <v>46296</v>
      </c>
      <c r="K772" s="13">
        <f>INDEX(Assumptions!$B$4:$B$23,MATCH(F772,Assumptions!$A$4:$A$23,0))</f>
        <v>1</v>
      </c>
      <c r="L772" s="14">
        <f t="shared" si="24"/>
        <v>10.99</v>
      </c>
      <c r="M772" t="str">
        <f t="shared" si="25"/>
        <v>No</v>
      </c>
    </row>
    <row r="773" spans="1:13" x14ac:dyDescent="0.25">
      <c r="A773">
        <v>338859</v>
      </c>
      <c r="B773" t="s">
        <v>2404</v>
      </c>
      <c r="C773" t="s">
        <v>2405</v>
      </c>
      <c r="D773" t="s">
        <v>6220</v>
      </c>
      <c r="E773">
        <v>10.29</v>
      </c>
      <c r="F773" t="s">
        <v>1722</v>
      </c>
      <c r="G773" t="s">
        <v>1724</v>
      </c>
      <c r="H773" t="s">
        <v>1723</v>
      </c>
      <c r="I773" s="11">
        <v>46297</v>
      </c>
      <c r="J773" s="12">
        <v>46296</v>
      </c>
      <c r="K773" s="13">
        <f>INDEX(Assumptions!$B$4:$B$23,MATCH(F773,Assumptions!$A$4:$A$23,0))</f>
        <v>1</v>
      </c>
      <c r="L773" s="14">
        <f t="shared" si="24"/>
        <v>10.29</v>
      </c>
      <c r="M773" t="str">
        <f t="shared" si="25"/>
        <v>No</v>
      </c>
    </row>
    <row r="774" spans="1:13" x14ac:dyDescent="0.25">
      <c r="A774">
        <v>338864</v>
      </c>
      <c r="B774" t="s">
        <v>2408</v>
      </c>
      <c r="C774" t="s">
        <v>2409</v>
      </c>
      <c r="D774" t="s">
        <v>6220</v>
      </c>
      <c r="E774">
        <v>11.29</v>
      </c>
      <c r="F774" t="s">
        <v>1722</v>
      </c>
      <c r="G774" t="s">
        <v>1724</v>
      </c>
      <c r="H774" t="s">
        <v>1723</v>
      </c>
      <c r="I774" s="11">
        <v>46297</v>
      </c>
      <c r="J774" s="12">
        <v>46296</v>
      </c>
      <c r="K774" s="13">
        <f>INDEX(Assumptions!$B$4:$B$23,MATCH(F774,Assumptions!$A$4:$A$23,0))</f>
        <v>1</v>
      </c>
      <c r="L774" s="14">
        <f t="shared" si="24"/>
        <v>11.29</v>
      </c>
      <c r="M774" t="str">
        <f t="shared" si="25"/>
        <v>No</v>
      </c>
    </row>
    <row r="775" spans="1:13" x14ac:dyDescent="0.25">
      <c r="A775">
        <v>338858</v>
      </c>
      <c r="B775" t="s">
        <v>2411</v>
      </c>
      <c r="C775" t="s">
        <v>2412</v>
      </c>
      <c r="D775" t="s">
        <v>6220</v>
      </c>
      <c r="E775">
        <v>12.29</v>
      </c>
      <c r="F775" t="s">
        <v>1722</v>
      </c>
      <c r="G775" t="s">
        <v>1724</v>
      </c>
      <c r="H775" t="s">
        <v>1723</v>
      </c>
      <c r="I775" s="11">
        <v>46297</v>
      </c>
      <c r="J775" s="12">
        <v>46296</v>
      </c>
      <c r="K775" s="13">
        <f>INDEX(Assumptions!$B$4:$B$23,MATCH(F775,Assumptions!$A$4:$A$23,0))</f>
        <v>1</v>
      </c>
      <c r="L775" s="14">
        <f t="shared" si="24"/>
        <v>12.29</v>
      </c>
      <c r="M775" t="str">
        <f t="shared" si="25"/>
        <v>No</v>
      </c>
    </row>
    <row r="776" spans="1:13" x14ac:dyDescent="0.25">
      <c r="A776">
        <v>338857</v>
      </c>
      <c r="B776" t="s">
        <v>2414</v>
      </c>
      <c r="C776" t="s">
        <v>2415</v>
      </c>
      <c r="D776" t="s">
        <v>6220</v>
      </c>
      <c r="E776">
        <v>10.29</v>
      </c>
      <c r="F776" t="s">
        <v>1722</v>
      </c>
      <c r="G776" t="s">
        <v>1724</v>
      </c>
      <c r="H776" t="s">
        <v>1723</v>
      </c>
      <c r="I776" s="11">
        <v>46297</v>
      </c>
      <c r="J776" s="12">
        <v>46296</v>
      </c>
      <c r="K776" s="13">
        <f>INDEX(Assumptions!$B$4:$B$23,MATCH(F776,Assumptions!$A$4:$A$23,0))</f>
        <v>1</v>
      </c>
      <c r="L776" s="14">
        <f t="shared" si="24"/>
        <v>10.29</v>
      </c>
      <c r="M776" t="str">
        <f t="shared" si="25"/>
        <v>No</v>
      </c>
    </row>
    <row r="777" spans="1:13" x14ac:dyDescent="0.25">
      <c r="A777">
        <v>338856</v>
      </c>
      <c r="B777" t="s">
        <v>2417</v>
      </c>
      <c r="C777" t="s">
        <v>6221</v>
      </c>
      <c r="D777" t="s">
        <v>6220</v>
      </c>
      <c r="E777">
        <v>2</v>
      </c>
      <c r="F777" t="s">
        <v>2419</v>
      </c>
      <c r="G777" t="s">
        <v>2421</v>
      </c>
      <c r="H777" t="s">
        <v>2420</v>
      </c>
      <c r="I777" s="11">
        <v>46297</v>
      </c>
      <c r="J777" s="12">
        <v>46296</v>
      </c>
      <c r="K777" s="13">
        <f>INDEX(Assumptions!$B$4:$B$23,MATCH(F777,Assumptions!$A$4:$A$23,0))</f>
        <v>0.1020408163265306</v>
      </c>
      <c r="L777" s="14">
        <f t="shared" si="24"/>
        <v>0.2040816326530612</v>
      </c>
      <c r="M777" t="str">
        <f t="shared" si="25"/>
        <v>Yes</v>
      </c>
    </row>
    <row r="778" spans="1:13" x14ac:dyDescent="0.25">
      <c r="A778">
        <v>338855</v>
      </c>
      <c r="B778" t="s">
        <v>1748</v>
      </c>
      <c r="C778" t="s">
        <v>6221</v>
      </c>
      <c r="D778" t="s">
        <v>6220</v>
      </c>
      <c r="E778">
        <v>27.9</v>
      </c>
      <c r="F778" t="s">
        <v>123</v>
      </c>
      <c r="G778" t="s">
        <v>125</v>
      </c>
      <c r="H778" t="s">
        <v>124</v>
      </c>
      <c r="I778" s="11">
        <v>46271</v>
      </c>
      <c r="J778" s="12">
        <v>46266</v>
      </c>
      <c r="K778" s="13">
        <f>INDEX(Assumptions!$B$4:$B$23,MATCH(F778,Assumptions!$A$4:$A$23,0))</f>
        <v>0.10526315789473679</v>
      </c>
      <c r="L778" s="14">
        <f t="shared" si="24"/>
        <v>2.9368421052631564</v>
      </c>
      <c r="M778" t="str">
        <f t="shared" si="25"/>
        <v>Yes</v>
      </c>
    </row>
    <row r="779" spans="1:13" x14ac:dyDescent="0.25">
      <c r="A779">
        <v>338854</v>
      </c>
      <c r="B779" t="s">
        <v>2424</v>
      </c>
      <c r="C779" t="s">
        <v>6221</v>
      </c>
      <c r="D779" t="s">
        <v>6220</v>
      </c>
      <c r="E779">
        <v>14.9</v>
      </c>
      <c r="F779" t="s">
        <v>123</v>
      </c>
      <c r="G779" t="s">
        <v>125</v>
      </c>
      <c r="H779" t="s">
        <v>124</v>
      </c>
      <c r="I779" s="11">
        <v>46271</v>
      </c>
      <c r="J779" s="12">
        <v>46266</v>
      </c>
      <c r="K779" s="13">
        <f>INDEX(Assumptions!$B$4:$B$23,MATCH(F779,Assumptions!$A$4:$A$23,0))</f>
        <v>0.10526315789473679</v>
      </c>
      <c r="L779" s="14">
        <f t="shared" si="24"/>
        <v>1.5684210526315783</v>
      </c>
      <c r="M779" t="str">
        <f t="shared" si="25"/>
        <v>Yes</v>
      </c>
    </row>
    <row r="780" spans="1:13" x14ac:dyDescent="0.25">
      <c r="A780">
        <v>338853</v>
      </c>
      <c r="B780" t="s">
        <v>2426</v>
      </c>
      <c r="C780" t="s">
        <v>6221</v>
      </c>
      <c r="D780" t="s">
        <v>6220</v>
      </c>
      <c r="E780">
        <v>11.9</v>
      </c>
      <c r="F780" t="s">
        <v>123</v>
      </c>
      <c r="G780" t="s">
        <v>125</v>
      </c>
      <c r="H780" t="s">
        <v>124</v>
      </c>
      <c r="I780" s="11">
        <v>46271</v>
      </c>
      <c r="J780" s="12">
        <v>46266</v>
      </c>
      <c r="K780" s="13">
        <f>INDEX(Assumptions!$B$4:$B$23,MATCH(F780,Assumptions!$A$4:$A$23,0))</f>
        <v>0.10526315789473679</v>
      </c>
      <c r="L780" s="14">
        <f t="shared" si="24"/>
        <v>1.2526315789473679</v>
      </c>
      <c r="M780" t="str">
        <f t="shared" si="25"/>
        <v>Yes</v>
      </c>
    </row>
    <row r="781" spans="1:13" x14ac:dyDescent="0.25">
      <c r="A781">
        <v>338852</v>
      </c>
      <c r="B781" t="s">
        <v>1752</v>
      </c>
      <c r="C781" t="s">
        <v>6221</v>
      </c>
      <c r="D781" t="s">
        <v>6220</v>
      </c>
      <c r="E781">
        <v>27.9</v>
      </c>
      <c r="F781" t="s">
        <v>123</v>
      </c>
      <c r="G781" t="s">
        <v>125</v>
      </c>
      <c r="H781" t="s">
        <v>124</v>
      </c>
      <c r="I781" s="11">
        <v>46271</v>
      </c>
      <c r="J781" s="12">
        <v>46266</v>
      </c>
      <c r="K781" s="13">
        <f>INDEX(Assumptions!$B$4:$B$23,MATCH(F781,Assumptions!$A$4:$A$23,0))</f>
        <v>0.10526315789473679</v>
      </c>
      <c r="L781" s="14">
        <f t="shared" si="24"/>
        <v>2.9368421052631564</v>
      </c>
      <c r="M781" t="str">
        <f t="shared" si="25"/>
        <v>Yes</v>
      </c>
    </row>
    <row r="782" spans="1:13" x14ac:dyDescent="0.25">
      <c r="A782">
        <v>338851</v>
      </c>
      <c r="B782" t="s">
        <v>2430</v>
      </c>
      <c r="C782" t="s">
        <v>6221</v>
      </c>
      <c r="D782" t="s">
        <v>6220</v>
      </c>
      <c r="E782">
        <v>27.9</v>
      </c>
      <c r="F782" t="s">
        <v>123</v>
      </c>
      <c r="G782" t="s">
        <v>125</v>
      </c>
      <c r="H782" t="s">
        <v>124</v>
      </c>
      <c r="I782" s="11">
        <v>46271</v>
      </c>
      <c r="J782" s="12">
        <v>46266</v>
      </c>
      <c r="K782" s="13">
        <f>INDEX(Assumptions!$B$4:$B$23,MATCH(F782,Assumptions!$A$4:$A$23,0))</f>
        <v>0.10526315789473679</v>
      </c>
      <c r="L782" s="14">
        <f t="shared" si="24"/>
        <v>2.9368421052631564</v>
      </c>
      <c r="M782" t="str">
        <f t="shared" si="25"/>
        <v>Yes</v>
      </c>
    </row>
    <row r="783" spans="1:13" x14ac:dyDescent="0.25">
      <c r="A783">
        <v>338850</v>
      </c>
      <c r="B783" t="s">
        <v>2432</v>
      </c>
      <c r="C783" t="s">
        <v>6221</v>
      </c>
      <c r="D783" t="s">
        <v>6220</v>
      </c>
      <c r="E783">
        <v>19.899999999999999</v>
      </c>
      <c r="F783" t="s">
        <v>123</v>
      </c>
      <c r="G783" t="s">
        <v>125</v>
      </c>
      <c r="H783" t="s">
        <v>124</v>
      </c>
      <c r="I783" s="11">
        <v>46271</v>
      </c>
      <c r="J783" s="12">
        <v>46266</v>
      </c>
      <c r="K783" s="13">
        <f>INDEX(Assumptions!$B$4:$B$23,MATCH(F783,Assumptions!$A$4:$A$23,0))</f>
        <v>0.10526315789473679</v>
      </c>
      <c r="L783" s="14">
        <f t="shared" si="24"/>
        <v>2.0947368421052621</v>
      </c>
      <c r="M783" t="str">
        <f t="shared" si="25"/>
        <v>Yes</v>
      </c>
    </row>
    <row r="784" spans="1:13" x14ac:dyDescent="0.25">
      <c r="A784">
        <v>338849</v>
      </c>
      <c r="B784" t="s">
        <v>2434</v>
      </c>
      <c r="C784" t="s">
        <v>6221</v>
      </c>
      <c r="D784" t="s">
        <v>6220</v>
      </c>
      <c r="E784">
        <v>5</v>
      </c>
      <c r="F784" t="s">
        <v>2435</v>
      </c>
      <c r="G784" t="s">
        <v>2437</v>
      </c>
      <c r="H784" t="s">
        <v>2436</v>
      </c>
      <c r="I784" s="11">
        <v>46297</v>
      </c>
      <c r="J784" s="12">
        <v>46296</v>
      </c>
      <c r="K784" s="13">
        <f>INDEX(Assumptions!$B$4:$B$23,MATCH(F784,Assumptions!$A$4:$A$23,0))</f>
        <v>0.27027027027027017</v>
      </c>
      <c r="L784" s="14">
        <f t="shared" si="24"/>
        <v>1.3513513513513509</v>
      </c>
      <c r="M784" t="str">
        <f t="shared" si="25"/>
        <v>Yes</v>
      </c>
    </row>
    <row r="785" spans="1:13" x14ac:dyDescent="0.25">
      <c r="A785">
        <v>338848</v>
      </c>
      <c r="B785" t="s">
        <v>2439</v>
      </c>
      <c r="C785" t="s">
        <v>6221</v>
      </c>
      <c r="D785" t="s">
        <v>6220</v>
      </c>
      <c r="E785">
        <v>5</v>
      </c>
      <c r="F785" t="s">
        <v>2435</v>
      </c>
      <c r="G785" t="s">
        <v>2437</v>
      </c>
      <c r="H785" t="s">
        <v>2436</v>
      </c>
      <c r="I785" s="11">
        <v>46297</v>
      </c>
      <c r="J785" s="12">
        <v>46296</v>
      </c>
      <c r="K785" s="13">
        <f>INDEX(Assumptions!$B$4:$B$23,MATCH(F785,Assumptions!$A$4:$A$23,0))</f>
        <v>0.27027027027027017</v>
      </c>
      <c r="L785" s="14">
        <f t="shared" si="24"/>
        <v>1.3513513513513509</v>
      </c>
      <c r="M785" t="str">
        <f t="shared" si="25"/>
        <v>Yes</v>
      </c>
    </row>
    <row r="786" spans="1:13" x14ac:dyDescent="0.25">
      <c r="A786">
        <v>338847</v>
      </c>
      <c r="B786" t="s">
        <v>2441</v>
      </c>
      <c r="C786" t="s">
        <v>6221</v>
      </c>
      <c r="D786" t="s">
        <v>6220</v>
      </c>
      <c r="E786">
        <v>9.9</v>
      </c>
      <c r="F786" t="s">
        <v>2435</v>
      </c>
      <c r="G786" t="s">
        <v>2437</v>
      </c>
      <c r="H786" t="s">
        <v>2436</v>
      </c>
      <c r="I786" s="11">
        <v>46297</v>
      </c>
      <c r="J786" s="12">
        <v>46296</v>
      </c>
      <c r="K786" s="13">
        <f>INDEX(Assumptions!$B$4:$B$23,MATCH(F786,Assumptions!$A$4:$A$23,0))</f>
        <v>0.27027027027027017</v>
      </c>
      <c r="L786" s="14">
        <f t="shared" si="24"/>
        <v>2.675675675675675</v>
      </c>
      <c r="M786" t="str">
        <f t="shared" si="25"/>
        <v>Yes</v>
      </c>
    </row>
    <row r="787" spans="1:13" x14ac:dyDescent="0.25">
      <c r="A787">
        <v>338846</v>
      </c>
      <c r="B787" t="s">
        <v>2444</v>
      </c>
      <c r="C787" t="s">
        <v>6221</v>
      </c>
      <c r="D787" t="s">
        <v>6220</v>
      </c>
      <c r="E787">
        <v>58.63</v>
      </c>
      <c r="F787" t="s">
        <v>123</v>
      </c>
      <c r="G787" t="s">
        <v>2447</v>
      </c>
      <c r="H787" t="s">
        <v>2446</v>
      </c>
      <c r="I787" s="11">
        <v>46297</v>
      </c>
      <c r="J787" s="12">
        <v>46296</v>
      </c>
      <c r="K787" s="13">
        <f>INDEX(Assumptions!$B$4:$B$23,MATCH(F787,Assumptions!$A$4:$A$23,0))</f>
        <v>0.10526315789473679</v>
      </c>
      <c r="L787" s="14">
        <f t="shared" si="24"/>
        <v>6.1715789473684186</v>
      </c>
      <c r="M787" t="str">
        <f t="shared" si="25"/>
        <v>Yes</v>
      </c>
    </row>
    <row r="788" spans="1:13" x14ac:dyDescent="0.25">
      <c r="A788">
        <v>338845</v>
      </c>
      <c r="B788" t="s">
        <v>2449</v>
      </c>
      <c r="C788" t="s">
        <v>2450</v>
      </c>
      <c r="D788" t="s">
        <v>6220</v>
      </c>
      <c r="E788">
        <v>22.99</v>
      </c>
      <c r="F788" t="s">
        <v>1722</v>
      </c>
      <c r="G788" t="s">
        <v>1724</v>
      </c>
      <c r="H788" t="s">
        <v>1723</v>
      </c>
      <c r="I788" s="11">
        <v>46297</v>
      </c>
      <c r="J788" s="12">
        <v>46296</v>
      </c>
      <c r="K788" s="13">
        <f>INDEX(Assumptions!$B$4:$B$23,MATCH(F788,Assumptions!$A$4:$A$23,0))</f>
        <v>1</v>
      </c>
      <c r="L788" s="14">
        <f t="shared" si="24"/>
        <v>22.99</v>
      </c>
      <c r="M788" t="str">
        <f t="shared" si="25"/>
        <v>No</v>
      </c>
    </row>
    <row r="789" spans="1:13" x14ac:dyDescent="0.25">
      <c r="A789">
        <v>338843</v>
      </c>
      <c r="B789" t="s">
        <v>2453</v>
      </c>
      <c r="C789" t="s">
        <v>2454</v>
      </c>
      <c r="D789" t="s">
        <v>6220</v>
      </c>
      <c r="E789">
        <v>26.49</v>
      </c>
      <c r="F789" t="s">
        <v>1722</v>
      </c>
      <c r="G789" t="s">
        <v>1724</v>
      </c>
      <c r="H789" t="s">
        <v>1723</v>
      </c>
      <c r="I789" s="11">
        <v>46297</v>
      </c>
      <c r="J789" s="12">
        <v>46296</v>
      </c>
      <c r="K789" s="13">
        <f>INDEX(Assumptions!$B$4:$B$23,MATCH(F789,Assumptions!$A$4:$A$23,0))</f>
        <v>1</v>
      </c>
      <c r="L789" s="14">
        <f t="shared" si="24"/>
        <v>26.49</v>
      </c>
      <c r="M789" t="str">
        <f t="shared" si="25"/>
        <v>No</v>
      </c>
    </row>
    <row r="790" spans="1:13" x14ac:dyDescent="0.25">
      <c r="A790">
        <v>338842</v>
      </c>
      <c r="B790" t="s">
        <v>2457</v>
      </c>
      <c r="C790" t="s">
        <v>2458</v>
      </c>
      <c r="D790" t="s">
        <v>6220</v>
      </c>
      <c r="E790">
        <v>18.489999999999998</v>
      </c>
      <c r="F790" t="s">
        <v>1722</v>
      </c>
      <c r="G790" t="s">
        <v>1724</v>
      </c>
      <c r="H790" t="s">
        <v>1723</v>
      </c>
      <c r="I790" s="11">
        <v>46297</v>
      </c>
      <c r="J790" s="12">
        <v>46296</v>
      </c>
      <c r="K790" s="13">
        <f>INDEX(Assumptions!$B$4:$B$23,MATCH(F790,Assumptions!$A$4:$A$23,0))</f>
        <v>1</v>
      </c>
      <c r="L790" s="14">
        <f t="shared" si="24"/>
        <v>18.489999999999998</v>
      </c>
      <c r="M790" t="str">
        <f t="shared" si="25"/>
        <v>No</v>
      </c>
    </row>
    <row r="791" spans="1:13" x14ac:dyDescent="0.25">
      <c r="A791">
        <v>338844</v>
      </c>
      <c r="B791" t="s">
        <v>2460</v>
      </c>
      <c r="C791" t="s">
        <v>2461</v>
      </c>
      <c r="D791" t="s">
        <v>6220</v>
      </c>
      <c r="E791">
        <v>22.99</v>
      </c>
      <c r="F791" t="s">
        <v>1722</v>
      </c>
      <c r="G791" t="s">
        <v>1724</v>
      </c>
      <c r="H791" t="s">
        <v>1723</v>
      </c>
      <c r="I791" s="11">
        <v>46297</v>
      </c>
      <c r="J791" s="12">
        <v>46296</v>
      </c>
      <c r="K791" s="13">
        <f>INDEX(Assumptions!$B$4:$B$23,MATCH(F791,Assumptions!$A$4:$A$23,0))</f>
        <v>1</v>
      </c>
      <c r="L791" s="14">
        <f t="shared" si="24"/>
        <v>22.99</v>
      </c>
      <c r="M791" t="str">
        <f t="shared" si="25"/>
        <v>No</v>
      </c>
    </row>
    <row r="792" spans="1:13" x14ac:dyDescent="0.25">
      <c r="A792">
        <v>338841</v>
      </c>
      <c r="B792" t="s">
        <v>2463</v>
      </c>
      <c r="C792" t="s">
        <v>2464</v>
      </c>
      <c r="D792" t="s">
        <v>6220</v>
      </c>
      <c r="E792">
        <v>35.99</v>
      </c>
      <c r="F792" t="s">
        <v>1722</v>
      </c>
      <c r="G792" t="s">
        <v>1724</v>
      </c>
      <c r="H792" t="s">
        <v>1723</v>
      </c>
      <c r="I792" s="11">
        <v>46297</v>
      </c>
      <c r="J792" s="12">
        <v>46296</v>
      </c>
      <c r="K792" s="13">
        <f>INDEX(Assumptions!$B$4:$B$23,MATCH(F792,Assumptions!$A$4:$A$23,0))</f>
        <v>1</v>
      </c>
      <c r="L792" s="14">
        <f t="shared" si="24"/>
        <v>35.99</v>
      </c>
      <c r="M792" t="str">
        <f t="shared" si="25"/>
        <v>No</v>
      </c>
    </row>
    <row r="793" spans="1:13" x14ac:dyDescent="0.25">
      <c r="A793">
        <v>338840</v>
      </c>
      <c r="B793" t="s">
        <v>2467</v>
      </c>
      <c r="C793" t="s">
        <v>2468</v>
      </c>
      <c r="D793" t="s">
        <v>6220</v>
      </c>
      <c r="E793">
        <v>28.49</v>
      </c>
      <c r="F793" t="s">
        <v>1722</v>
      </c>
      <c r="G793" t="s">
        <v>1724</v>
      </c>
      <c r="H793" t="s">
        <v>1723</v>
      </c>
      <c r="I793" s="11">
        <v>46297</v>
      </c>
      <c r="J793" s="12">
        <v>46296</v>
      </c>
      <c r="K793" s="13">
        <f>INDEX(Assumptions!$B$4:$B$23,MATCH(F793,Assumptions!$A$4:$A$23,0))</f>
        <v>1</v>
      </c>
      <c r="L793" s="14">
        <f t="shared" si="24"/>
        <v>28.49</v>
      </c>
      <c r="M793" t="str">
        <f t="shared" si="25"/>
        <v>No</v>
      </c>
    </row>
    <row r="794" spans="1:13" x14ac:dyDescent="0.25">
      <c r="A794">
        <v>338839</v>
      </c>
      <c r="B794" t="s">
        <v>2471</v>
      </c>
      <c r="C794" t="s">
        <v>2472</v>
      </c>
      <c r="D794" t="s">
        <v>6220</v>
      </c>
      <c r="E794">
        <v>37.99</v>
      </c>
      <c r="F794" t="s">
        <v>1722</v>
      </c>
      <c r="G794" t="s">
        <v>1724</v>
      </c>
      <c r="H794" t="s">
        <v>1723</v>
      </c>
      <c r="I794" s="11">
        <v>46297</v>
      </c>
      <c r="J794" s="12">
        <v>46296</v>
      </c>
      <c r="K794" s="13">
        <f>INDEX(Assumptions!$B$4:$B$23,MATCH(F794,Assumptions!$A$4:$A$23,0))</f>
        <v>1</v>
      </c>
      <c r="L794" s="14">
        <f t="shared" si="24"/>
        <v>37.99</v>
      </c>
      <c r="M794" t="str">
        <f t="shared" si="25"/>
        <v>No</v>
      </c>
    </row>
    <row r="795" spans="1:13" x14ac:dyDescent="0.25">
      <c r="A795">
        <v>338837</v>
      </c>
      <c r="B795" t="s">
        <v>2475</v>
      </c>
      <c r="C795" t="s">
        <v>2476</v>
      </c>
      <c r="D795" t="s">
        <v>6220</v>
      </c>
      <c r="E795">
        <v>43.99</v>
      </c>
      <c r="F795" t="s">
        <v>1722</v>
      </c>
      <c r="G795" t="s">
        <v>1724</v>
      </c>
      <c r="H795" t="s">
        <v>1723</v>
      </c>
      <c r="I795" s="11">
        <v>46297</v>
      </c>
      <c r="J795" s="12">
        <v>46296</v>
      </c>
      <c r="K795" s="13">
        <f>INDEX(Assumptions!$B$4:$B$23,MATCH(F795,Assumptions!$A$4:$A$23,0))</f>
        <v>1</v>
      </c>
      <c r="L795" s="14">
        <f t="shared" si="24"/>
        <v>43.99</v>
      </c>
      <c r="M795" t="str">
        <f t="shared" si="25"/>
        <v>No</v>
      </c>
    </row>
    <row r="796" spans="1:13" x14ac:dyDescent="0.25">
      <c r="A796">
        <v>338838</v>
      </c>
      <c r="B796" t="s">
        <v>2479</v>
      </c>
      <c r="C796" t="s">
        <v>2480</v>
      </c>
      <c r="D796" t="s">
        <v>6220</v>
      </c>
      <c r="E796">
        <v>27.49</v>
      </c>
      <c r="F796" t="s">
        <v>1722</v>
      </c>
      <c r="G796" t="s">
        <v>1724</v>
      </c>
      <c r="H796" t="s">
        <v>1723</v>
      </c>
      <c r="I796" s="11">
        <v>46297</v>
      </c>
      <c r="J796" s="12">
        <v>46296</v>
      </c>
      <c r="K796" s="13">
        <f>INDEX(Assumptions!$B$4:$B$23,MATCH(F796,Assumptions!$A$4:$A$23,0))</f>
        <v>1</v>
      </c>
      <c r="L796" s="14">
        <f t="shared" si="24"/>
        <v>27.49</v>
      </c>
      <c r="M796" t="str">
        <f t="shared" si="25"/>
        <v>No</v>
      </c>
    </row>
    <row r="797" spans="1:13" x14ac:dyDescent="0.25">
      <c r="A797">
        <v>338836</v>
      </c>
      <c r="B797" t="s">
        <v>2483</v>
      </c>
      <c r="C797" t="s">
        <v>2484</v>
      </c>
      <c r="D797" t="s">
        <v>6220</v>
      </c>
      <c r="E797">
        <v>9.17</v>
      </c>
      <c r="F797" t="s">
        <v>1722</v>
      </c>
      <c r="G797" t="s">
        <v>1724</v>
      </c>
      <c r="H797" t="s">
        <v>1723</v>
      </c>
      <c r="I797" s="11">
        <v>46297</v>
      </c>
      <c r="J797" s="12">
        <v>46296</v>
      </c>
      <c r="K797" s="13">
        <f>INDEX(Assumptions!$B$4:$B$23,MATCH(F797,Assumptions!$A$4:$A$23,0))</f>
        <v>1</v>
      </c>
      <c r="L797" s="14">
        <f t="shared" si="24"/>
        <v>9.17</v>
      </c>
      <c r="M797" t="str">
        <f t="shared" si="25"/>
        <v>No</v>
      </c>
    </row>
    <row r="798" spans="1:13" x14ac:dyDescent="0.25">
      <c r="A798">
        <v>338835</v>
      </c>
      <c r="B798" t="s">
        <v>2487</v>
      </c>
      <c r="C798" t="s">
        <v>2488</v>
      </c>
      <c r="D798" t="s">
        <v>6220</v>
      </c>
      <c r="E798">
        <v>8.6300000000000008</v>
      </c>
      <c r="F798" t="s">
        <v>1722</v>
      </c>
      <c r="G798" t="s">
        <v>1724</v>
      </c>
      <c r="H798" t="s">
        <v>1723</v>
      </c>
      <c r="I798" s="11">
        <v>46297</v>
      </c>
      <c r="J798" s="12">
        <v>46296</v>
      </c>
      <c r="K798" s="13">
        <f>INDEX(Assumptions!$B$4:$B$23,MATCH(F798,Assumptions!$A$4:$A$23,0))</f>
        <v>1</v>
      </c>
      <c r="L798" s="14">
        <f t="shared" si="24"/>
        <v>8.6300000000000008</v>
      </c>
      <c r="M798" t="str">
        <f t="shared" si="25"/>
        <v>No</v>
      </c>
    </row>
    <row r="799" spans="1:13" x14ac:dyDescent="0.25">
      <c r="A799">
        <v>338834</v>
      </c>
      <c r="B799" t="s">
        <v>2491</v>
      </c>
      <c r="C799" t="s">
        <v>2492</v>
      </c>
      <c r="D799" t="s">
        <v>6220</v>
      </c>
      <c r="E799">
        <v>14.99</v>
      </c>
      <c r="F799" t="s">
        <v>1722</v>
      </c>
      <c r="G799" t="s">
        <v>1724</v>
      </c>
      <c r="H799" t="s">
        <v>1723</v>
      </c>
      <c r="I799" s="11">
        <v>46297</v>
      </c>
      <c r="J799" s="12">
        <v>46296</v>
      </c>
      <c r="K799" s="13">
        <f>INDEX(Assumptions!$B$4:$B$23,MATCH(F799,Assumptions!$A$4:$A$23,0))</f>
        <v>1</v>
      </c>
      <c r="L799" s="14">
        <f t="shared" si="24"/>
        <v>14.99</v>
      </c>
      <c r="M799" t="str">
        <f t="shared" si="25"/>
        <v>No</v>
      </c>
    </row>
    <row r="800" spans="1:13" x14ac:dyDescent="0.25">
      <c r="A800">
        <v>338833</v>
      </c>
      <c r="B800" t="s">
        <v>2494</v>
      </c>
      <c r="C800" t="s">
        <v>2495</v>
      </c>
      <c r="D800" t="s">
        <v>6220</v>
      </c>
      <c r="E800">
        <v>12.79</v>
      </c>
      <c r="F800" t="s">
        <v>1722</v>
      </c>
      <c r="G800" t="s">
        <v>1724</v>
      </c>
      <c r="H800" t="s">
        <v>1723</v>
      </c>
      <c r="I800" s="11">
        <v>46297</v>
      </c>
      <c r="J800" s="12">
        <v>46296</v>
      </c>
      <c r="K800" s="13">
        <f>INDEX(Assumptions!$B$4:$B$23,MATCH(F800,Assumptions!$A$4:$A$23,0))</f>
        <v>1</v>
      </c>
      <c r="L800" s="14">
        <f t="shared" si="24"/>
        <v>12.79</v>
      </c>
      <c r="M800" t="str">
        <f t="shared" si="25"/>
        <v>No</v>
      </c>
    </row>
    <row r="801" spans="1:13" x14ac:dyDescent="0.25">
      <c r="A801">
        <v>338832</v>
      </c>
      <c r="B801" t="s">
        <v>2498</v>
      </c>
      <c r="C801" t="s">
        <v>2499</v>
      </c>
      <c r="D801" t="s">
        <v>6220</v>
      </c>
      <c r="E801">
        <v>12.79</v>
      </c>
      <c r="F801" t="s">
        <v>1722</v>
      </c>
      <c r="G801" t="s">
        <v>1724</v>
      </c>
      <c r="H801" t="s">
        <v>1723</v>
      </c>
      <c r="I801" s="11">
        <v>46297</v>
      </c>
      <c r="J801" s="12">
        <v>46296</v>
      </c>
      <c r="K801" s="13">
        <f>INDEX(Assumptions!$B$4:$B$23,MATCH(F801,Assumptions!$A$4:$A$23,0))</f>
        <v>1</v>
      </c>
      <c r="L801" s="14">
        <f t="shared" si="24"/>
        <v>12.79</v>
      </c>
      <c r="M801" t="str">
        <f t="shared" si="25"/>
        <v>No</v>
      </c>
    </row>
    <row r="802" spans="1:13" x14ac:dyDescent="0.25">
      <c r="A802">
        <v>338831</v>
      </c>
      <c r="B802" t="s">
        <v>2501</v>
      </c>
      <c r="C802" t="s">
        <v>2502</v>
      </c>
      <c r="D802" t="s">
        <v>6220</v>
      </c>
      <c r="E802">
        <v>6.59</v>
      </c>
      <c r="F802" t="s">
        <v>1722</v>
      </c>
      <c r="G802" t="s">
        <v>1724</v>
      </c>
      <c r="H802" t="s">
        <v>1723</v>
      </c>
      <c r="I802" s="11">
        <v>46297</v>
      </c>
      <c r="J802" s="12">
        <v>46296</v>
      </c>
      <c r="K802" s="13">
        <f>INDEX(Assumptions!$B$4:$B$23,MATCH(F802,Assumptions!$A$4:$A$23,0))</f>
        <v>1</v>
      </c>
      <c r="L802" s="14">
        <f t="shared" si="24"/>
        <v>6.59</v>
      </c>
      <c r="M802" t="str">
        <f t="shared" si="25"/>
        <v>No</v>
      </c>
    </row>
    <row r="803" spans="1:13" x14ac:dyDescent="0.25">
      <c r="A803">
        <v>338830</v>
      </c>
      <c r="B803" t="s">
        <v>2505</v>
      </c>
      <c r="C803" t="s">
        <v>2506</v>
      </c>
      <c r="D803" t="s">
        <v>6220</v>
      </c>
      <c r="E803">
        <v>9.99</v>
      </c>
      <c r="F803" t="s">
        <v>1722</v>
      </c>
      <c r="G803" t="s">
        <v>1724</v>
      </c>
      <c r="H803" t="s">
        <v>1723</v>
      </c>
      <c r="I803" s="11">
        <v>46297</v>
      </c>
      <c r="J803" s="12">
        <v>46296</v>
      </c>
      <c r="K803" s="13">
        <f>INDEX(Assumptions!$B$4:$B$23,MATCH(F803,Assumptions!$A$4:$A$23,0))</f>
        <v>1</v>
      </c>
      <c r="L803" s="14">
        <f t="shared" si="24"/>
        <v>9.99</v>
      </c>
      <c r="M803" t="str">
        <f t="shared" si="25"/>
        <v>No</v>
      </c>
    </row>
    <row r="804" spans="1:13" x14ac:dyDescent="0.25">
      <c r="A804">
        <v>338829</v>
      </c>
      <c r="B804" t="s">
        <v>2508</v>
      </c>
      <c r="C804" t="s">
        <v>2509</v>
      </c>
      <c r="D804" t="s">
        <v>6220</v>
      </c>
      <c r="E804">
        <v>9.99</v>
      </c>
      <c r="F804" t="s">
        <v>1722</v>
      </c>
      <c r="G804" t="s">
        <v>1724</v>
      </c>
      <c r="H804" t="s">
        <v>1723</v>
      </c>
      <c r="I804" s="11">
        <v>46297</v>
      </c>
      <c r="J804" s="12">
        <v>46296</v>
      </c>
      <c r="K804" s="13">
        <f>INDEX(Assumptions!$B$4:$B$23,MATCH(F804,Assumptions!$A$4:$A$23,0))</f>
        <v>1</v>
      </c>
      <c r="L804" s="14">
        <f t="shared" si="24"/>
        <v>9.99</v>
      </c>
      <c r="M804" t="str">
        <f t="shared" si="25"/>
        <v>No</v>
      </c>
    </row>
    <row r="805" spans="1:13" x14ac:dyDescent="0.25">
      <c r="A805">
        <v>338828</v>
      </c>
      <c r="B805" t="s">
        <v>2511</v>
      </c>
      <c r="C805" t="s">
        <v>2512</v>
      </c>
      <c r="D805" t="s">
        <v>6220</v>
      </c>
      <c r="E805">
        <v>23.49</v>
      </c>
      <c r="F805" t="s">
        <v>1722</v>
      </c>
      <c r="G805" t="s">
        <v>1724</v>
      </c>
      <c r="H805" t="s">
        <v>1723</v>
      </c>
      <c r="I805" s="11">
        <v>46297</v>
      </c>
      <c r="J805" s="12">
        <v>46296</v>
      </c>
      <c r="K805" s="13">
        <f>INDEX(Assumptions!$B$4:$B$23,MATCH(F805,Assumptions!$A$4:$A$23,0))</f>
        <v>1</v>
      </c>
      <c r="L805" s="14">
        <f t="shared" si="24"/>
        <v>23.49</v>
      </c>
      <c r="M805" t="str">
        <f t="shared" si="25"/>
        <v>No</v>
      </c>
    </row>
    <row r="806" spans="1:13" x14ac:dyDescent="0.25">
      <c r="A806">
        <v>338827</v>
      </c>
      <c r="B806" t="s">
        <v>2515</v>
      </c>
      <c r="C806" t="s">
        <v>2516</v>
      </c>
      <c r="D806" t="s">
        <v>6220</v>
      </c>
      <c r="E806">
        <v>23.49</v>
      </c>
      <c r="F806" t="s">
        <v>1722</v>
      </c>
      <c r="G806" t="s">
        <v>1724</v>
      </c>
      <c r="H806" t="s">
        <v>1723</v>
      </c>
      <c r="I806" s="11">
        <v>46297</v>
      </c>
      <c r="J806" s="12">
        <v>46296</v>
      </c>
      <c r="K806" s="13">
        <f>INDEX(Assumptions!$B$4:$B$23,MATCH(F806,Assumptions!$A$4:$A$23,0))</f>
        <v>1</v>
      </c>
      <c r="L806" s="14">
        <f t="shared" si="24"/>
        <v>23.49</v>
      </c>
      <c r="M806" t="str">
        <f t="shared" si="25"/>
        <v>No</v>
      </c>
    </row>
    <row r="807" spans="1:13" x14ac:dyDescent="0.25">
      <c r="A807">
        <v>338826</v>
      </c>
      <c r="B807" t="s">
        <v>2518</v>
      </c>
      <c r="C807" t="s">
        <v>2519</v>
      </c>
      <c r="D807" t="s">
        <v>6220</v>
      </c>
      <c r="E807">
        <v>23.49</v>
      </c>
      <c r="F807" t="s">
        <v>1722</v>
      </c>
      <c r="G807" t="s">
        <v>1724</v>
      </c>
      <c r="H807" t="s">
        <v>1723</v>
      </c>
      <c r="I807" s="11">
        <v>46297</v>
      </c>
      <c r="J807" s="12">
        <v>46296</v>
      </c>
      <c r="K807" s="13">
        <f>INDEX(Assumptions!$B$4:$B$23,MATCH(F807,Assumptions!$A$4:$A$23,0))</f>
        <v>1</v>
      </c>
      <c r="L807" s="14">
        <f t="shared" si="24"/>
        <v>23.49</v>
      </c>
      <c r="M807" t="str">
        <f t="shared" si="25"/>
        <v>No</v>
      </c>
    </row>
    <row r="808" spans="1:13" x14ac:dyDescent="0.25">
      <c r="A808">
        <v>338825</v>
      </c>
      <c r="B808" t="s">
        <v>2521</v>
      </c>
      <c r="C808" t="s">
        <v>2522</v>
      </c>
      <c r="D808" t="s">
        <v>6220</v>
      </c>
      <c r="E808">
        <v>12.79</v>
      </c>
      <c r="F808" t="s">
        <v>1722</v>
      </c>
      <c r="G808" t="s">
        <v>1724</v>
      </c>
      <c r="H808" t="s">
        <v>1723</v>
      </c>
      <c r="I808" s="11">
        <v>46297</v>
      </c>
      <c r="J808" s="12">
        <v>46296</v>
      </c>
      <c r="K808" s="13">
        <f>INDEX(Assumptions!$B$4:$B$23,MATCH(F808,Assumptions!$A$4:$A$23,0))</f>
        <v>1</v>
      </c>
      <c r="L808" s="14">
        <f t="shared" si="24"/>
        <v>12.79</v>
      </c>
      <c r="M808" t="str">
        <f t="shared" si="25"/>
        <v>No</v>
      </c>
    </row>
    <row r="809" spans="1:13" x14ac:dyDescent="0.25">
      <c r="A809">
        <v>338824</v>
      </c>
      <c r="B809" t="s">
        <v>2524</v>
      </c>
      <c r="C809" t="s">
        <v>6221</v>
      </c>
      <c r="D809" t="s">
        <v>6220</v>
      </c>
      <c r="E809">
        <v>1.29</v>
      </c>
      <c r="F809" t="s">
        <v>1836</v>
      </c>
      <c r="G809" t="s">
        <v>1908</v>
      </c>
      <c r="H809" t="s">
        <v>1837</v>
      </c>
      <c r="I809" s="11">
        <v>46297</v>
      </c>
      <c r="J809" s="12">
        <v>46296</v>
      </c>
      <c r="K809" s="13">
        <f>INDEX(Assumptions!$B$4:$B$23,MATCH(F809,Assumptions!$A$4:$A$23,0))</f>
        <v>0.5780346820809249</v>
      </c>
      <c r="L809" s="14">
        <f t="shared" si="24"/>
        <v>0.74566473988439319</v>
      </c>
      <c r="M809" t="str">
        <f t="shared" si="25"/>
        <v>Yes</v>
      </c>
    </row>
    <row r="810" spans="1:13" x14ac:dyDescent="0.25">
      <c r="A810">
        <v>338823</v>
      </c>
      <c r="B810" t="s">
        <v>2526</v>
      </c>
      <c r="C810" t="s">
        <v>6221</v>
      </c>
      <c r="D810" t="s">
        <v>6220</v>
      </c>
      <c r="E810">
        <v>1.59</v>
      </c>
      <c r="F810" t="s">
        <v>1836</v>
      </c>
      <c r="G810" t="s">
        <v>1838</v>
      </c>
      <c r="H810" t="s">
        <v>1837</v>
      </c>
      <c r="I810" s="11">
        <v>46297</v>
      </c>
      <c r="J810" s="12">
        <v>46296</v>
      </c>
      <c r="K810" s="13">
        <f>INDEX(Assumptions!$B$4:$B$23,MATCH(F810,Assumptions!$A$4:$A$23,0))</f>
        <v>0.5780346820809249</v>
      </c>
      <c r="L810" s="14">
        <f t="shared" si="24"/>
        <v>0.91907514450867067</v>
      </c>
      <c r="M810" t="str">
        <f t="shared" si="25"/>
        <v>Yes</v>
      </c>
    </row>
    <row r="811" spans="1:13" x14ac:dyDescent="0.25">
      <c r="A811">
        <v>338822</v>
      </c>
      <c r="B811" t="s">
        <v>2528</v>
      </c>
      <c r="C811" t="s">
        <v>6221</v>
      </c>
      <c r="D811" t="s">
        <v>6220</v>
      </c>
      <c r="E811">
        <v>50</v>
      </c>
      <c r="F811" t="s">
        <v>2530</v>
      </c>
      <c r="G811" t="s">
        <v>2532</v>
      </c>
      <c r="H811" t="s">
        <v>2531</v>
      </c>
      <c r="I811" s="11">
        <v>46297</v>
      </c>
      <c r="J811" s="12">
        <v>46296</v>
      </c>
      <c r="K811" s="13">
        <f>INDEX(Assumptions!$B$4:$B$23,MATCH(F811,Assumptions!$A$4:$A$23,0))</f>
        <v>1.041666666666667E-2</v>
      </c>
      <c r="L811" s="14">
        <f t="shared" si="24"/>
        <v>0.52083333333333348</v>
      </c>
      <c r="M811" t="str">
        <f t="shared" si="25"/>
        <v>Yes</v>
      </c>
    </row>
    <row r="812" spans="1:13" x14ac:dyDescent="0.25">
      <c r="A812">
        <v>338821</v>
      </c>
      <c r="B812" t="s">
        <v>2534</v>
      </c>
      <c r="C812" t="s">
        <v>6221</v>
      </c>
      <c r="D812" t="s">
        <v>6220</v>
      </c>
      <c r="E812">
        <v>45</v>
      </c>
      <c r="F812" t="s">
        <v>2530</v>
      </c>
      <c r="G812" t="s">
        <v>2532</v>
      </c>
      <c r="H812" t="s">
        <v>2531</v>
      </c>
      <c r="I812" s="11">
        <v>46297</v>
      </c>
      <c r="J812" s="12">
        <v>46296</v>
      </c>
      <c r="K812" s="13">
        <f>INDEX(Assumptions!$B$4:$B$23,MATCH(F812,Assumptions!$A$4:$A$23,0))</f>
        <v>1.041666666666667E-2</v>
      </c>
      <c r="L812" s="14">
        <f t="shared" si="24"/>
        <v>0.46875000000000011</v>
      </c>
      <c r="M812" t="str">
        <f t="shared" si="25"/>
        <v>Yes</v>
      </c>
    </row>
    <row r="813" spans="1:13" x14ac:dyDescent="0.25">
      <c r="A813">
        <v>338820</v>
      </c>
      <c r="B813" t="s">
        <v>2537</v>
      </c>
      <c r="C813" t="s">
        <v>6221</v>
      </c>
      <c r="D813" t="s">
        <v>6220</v>
      </c>
      <c r="E813">
        <v>50</v>
      </c>
      <c r="F813" t="s">
        <v>2530</v>
      </c>
      <c r="G813" t="s">
        <v>2532</v>
      </c>
      <c r="H813" t="s">
        <v>2531</v>
      </c>
      <c r="I813" s="11">
        <v>46297</v>
      </c>
      <c r="J813" s="12">
        <v>46296</v>
      </c>
      <c r="K813" s="13">
        <f>INDEX(Assumptions!$B$4:$B$23,MATCH(F813,Assumptions!$A$4:$A$23,0))</f>
        <v>1.041666666666667E-2</v>
      </c>
      <c r="L813" s="14">
        <f t="shared" si="24"/>
        <v>0.52083333333333348</v>
      </c>
      <c r="M813" t="str">
        <f t="shared" si="25"/>
        <v>Yes</v>
      </c>
    </row>
    <row r="814" spans="1:13" x14ac:dyDescent="0.25">
      <c r="A814">
        <v>338819</v>
      </c>
      <c r="B814" t="s">
        <v>2539</v>
      </c>
      <c r="C814" t="s">
        <v>6221</v>
      </c>
      <c r="D814" t="s">
        <v>6220</v>
      </c>
      <c r="E814">
        <v>70</v>
      </c>
      <c r="F814" t="s">
        <v>2530</v>
      </c>
      <c r="G814" t="s">
        <v>2532</v>
      </c>
      <c r="H814" t="s">
        <v>2531</v>
      </c>
      <c r="I814" s="11">
        <v>46297</v>
      </c>
      <c r="J814" s="12">
        <v>46296</v>
      </c>
      <c r="K814" s="13">
        <f>INDEX(Assumptions!$B$4:$B$23,MATCH(F814,Assumptions!$A$4:$A$23,0))</f>
        <v>1.041666666666667E-2</v>
      </c>
      <c r="L814" s="14">
        <f t="shared" si="24"/>
        <v>0.72916666666666685</v>
      </c>
      <c r="M814" t="str">
        <f t="shared" si="25"/>
        <v>Yes</v>
      </c>
    </row>
    <row r="815" spans="1:13" x14ac:dyDescent="0.25">
      <c r="A815">
        <v>338818</v>
      </c>
      <c r="B815" t="s">
        <v>2542</v>
      </c>
      <c r="C815" t="s">
        <v>2543</v>
      </c>
      <c r="D815" t="s">
        <v>6220</v>
      </c>
      <c r="E815">
        <v>3.79</v>
      </c>
      <c r="F815" t="s">
        <v>50</v>
      </c>
      <c r="G815" t="s">
        <v>2545</v>
      </c>
      <c r="H815" t="s">
        <v>2544</v>
      </c>
      <c r="I815" s="11">
        <v>46297</v>
      </c>
      <c r="J815" s="12">
        <v>46296</v>
      </c>
      <c r="K815" s="13">
        <f>INDEX(Assumptions!$B$4:$B$23,MATCH(F815,Assumptions!$A$4:$A$23,0))</f>
        <v>1.0869565217391299</v>
      </c>
      <c r="L815" s="14">
        <f t="shared" si="24"/>
        <v>4.1195652173913029</v>
      </c>
      <c r="M815" t="str">
        <f t="shared" si="25"/>
        <v>No</v>
      </c>
    </row>
    <row r="816" spans="1:13" x14ac:dyDescent="0.25">
      <c r="A816">
        <v>338817</v>
      </c>
      <c r="B816" t="s">
        <v>2547</v>
      </c>
      <c r="C816" t="s">
        <v>2548</v>
      </c>
      <c r="D816" t="s">
        <v>6220</v>
      </c>
      <c r="E816">
        <v>2.69</v>
      </c>
      <c r="F816" t="s">
        <v>50</v>
      </c>
      <c r="G816" t="s">
        <v>2545</v>
      </c>
      <c r="H816" t="s">
        <v>2544</v>
      </c>
      <c r="I816" s="11">
        <v>46297</v>
      </c>
      <c r="J816" s="12">
        <v>46296</v>
      </c>
      <c r="K816" s="13">
        <f>INDEX(Assumptions!$B$4:$B$23,MATCH(F816,Assumptions!$A$4:$A$23,0))</f>
        <v>1.0869565217391299</v>
      </c>
      <c r="L816" s="14">
        <f t="shared" si="24"/>
        <v>2.9239130434782594</v>
      </c>
      <c r="M816" t="str">
        <f t="shared" si="25"/>
        <v>No</v>
      </c>
    </row>
    <row r="817" spans="1:13" x14ac:dyDescent="0.25">
      <c r="A817">
        <v>338816</v>
      </c>
      <c r="B817" t="s">
        <v>2551</v>
      </c>
      <c r="C817" t="s">
        <v>2552</v>
      </c>
      <c r="D817" t="s">
        <v>6220</v>
      </c>
      <c r="E817">
        <v>2.15</v>
      </c>
      <c r="F817" t="s">
        <v>50</v>
      </c>
      <c r="G817" t="s">
        <v>2545</v>
      </c>
      <c r="H817" t="s">
        <v>2544</v>
      </c>
      <c r="I817" s="11">
        <v>46297</v>
      </c>
      <c r="J817" s="12">
        <v>46296</v>
      </c>
      <c r="K817" s="13">
        <f>INDEX(Assumptions!$B$4:$B$23,MATCH(F817,Assumptions!$A$4:$A$23,0))</f>
        <v>1.0869565217391299</v>
      </c>
      <c r="L817" s="14">
        <f t="shared" si="24"/>
        <v>2.336956521739129</v>
      </c>
      <c r="M817" t="str">
        <f t="shared" si="25"/>
        <v>No</v>
      </c>
    </row>
    <row r="818" spans="1:13" x14ac:dyDescent="0.25">
      <c r="A818">
        <v>338815</v>
      </c>
      <c r="B818" t="s">
        <v>2554</v>
      </c>
      <c r="C818" t="s">
        <v>2555</v>
      </c>
      <c r="D818" t="s">
        <v>6220</v>
      </c>
      <c r="E818">
        <v>1.55</v>
      </c>
      <c r="F818" t="s">
        <v>50</v>
      </c>
      <c r="G818" t="s">
        <v>2545</v>
      </c>
      <c r="H818" t="s">
        <v>2544</v>
      </c>
      <c r="I818" s="11">
        <v>46297</v>
      </c>
      <c r="J818" s="12">
        <v>46296</v>
      </c>
      <c r="K818" s="13">
        <f>INDEX(Assumptions!$B$4:$B$23,MATCH(F818,Assumptions!$A$4:$A$23,0))</f>
        <v>1.0869565217391299</v>
      </c>
      <c r="L818" s="14">
        <f t="shared" si="24"/>
        <v>1.6847826086956514</v>
      </c>
      <c r="M818" t="str">
        <f t="shared" si="25"/>
        <v>No</v>
      </c>
    </row>
    <row r="819" spans="1:13" x14ac:dyDescent="0.25">
      <c r="A819">
        <v>338814</v>
      </c>
      <c r="B819" t="s">
        <v>2557</v>
      </c>
      <c r="C819" t="s">
        <v>2558</v>
      </c>
      <c r="D819" t="s">
        <v>6220</v>
      </c>
      <c r="E819">
        <v>3.09</v>
      </c>
      <c r="F819" t="s">
        <v>50</v>
      </c>
      <c r="G819" t="s">
        <v>2545</v>
      </c>
      <c r="H819" t="s">
        <v>2544</v>
      </c>
      <c r="I819" s="11">
        <v>46297</v>
      </c>
      <c r="J819" s="12">
        <v>46296</v>
      </c>
      <c r="K819" s="13">
        <f>INDEX(Assumptions!$B$4:$B$23,MATCH(F819,Assumptions!$A$4:$A$23,0))</f>
        <v>1.0869565217391299</v>
      </c>
      <c r="L819" s="14">
        <f t="shared" si="24"/>
        <v>3.3586956521739113</v>
      </c>
      <c r="M819" t="str">
        <f t="shared" si="25"/>
        <v>No</v>
      </c>
    </row>
    <row r="820" spans="1:13" x14ac:dyDescent="0.25">
      <c r="A820">
        <v>338813</v>
      </c>
      <c r="B820" t="s">
        <v>2560</v>
      </c>
      <c r="C820" t="s">
        <v>2561</v>
      </c>
      <c r="D820" t="s">
        <v>6220</v>
      </c>
      <c r="E820">
        <v>3.85</v>
      </c>
      <c r="F820" t="s">
        <v>50</v>
      </c>
      <c r="G820" t="s">
        <v>2545</v>
      </c>
      <c r="H820" t="s">
        <v>2544</v>
      </c>
      <c r="I820" s="11">
        <v>46297</v>
      </c>
      <c r="J820" s="12">
        <v>46296</v>
      </c>
      <c r="K820" s="13">
        <f>INDEX(Assumptions!$B$4:$B$23,MATCH(F820,Assumptions!$A$4:$A$23,0))</f>
        <v>1.0869565217391299</v>
      </c>
      <c r="L820" s="14">
        <f t="shared" si="24"/>
        <v>4.1847826086956506</v>
      </c>
      <c r="M820" t="str">
        <f t="shared" si="25"/>
        <v>No</v>
      </c>
    </row>
    <row r="821" spans="1:13" x14ac:dyDescent="0.25">
      <c r="A821">
        <v>338812</v>
      </c>
      <c r="B821" t="s">
        <v>2563</v>
      </c>
      <c r="C821" t="s">
        <v>2564</v>
      </c>
      <c r="D821" t="s">
        <v>6220</v>
      </c>
      <c r="E821">
        <v>1.99</v>
      </c>
      <c r="F821" t="s">
        <v>50</v>
      </c>
      <c r="G821" t="s">
        <v>2545</v>
      </c>
      <c r="H821" t="s">
        <v>2544</v>
      </c>
      <c r="I821" s="11">
        <v>46297</v>
      </c>
      <c r="J821" s="12">
        <v>46296</v>
      </c>
      <c r="K821" s="13">
        <f>INDEX(Assumptions!$B$4:$B$23,MATCH(F821,Assumptions!$A$4:$A$23,0))</f>
        <v>1.0869565217391299</v>
      </c>
      <c r="L821" s="14">
        <f t="shared" si="24"/>
        <v>2.1630434782608687</v>
      </c>
      <c r="M821" t="str">
        <f t="shared" si="25"/>
        <v>No</v>
      </c>
    </row>
    <row r="822" spans="1:13" x14ac:dyDescent="0.25">
      <c r="A822">
        <v>338811</v>
      </c>
      <c r="B822" t="s">
        <v>2566</v>
      </c>
      <c r="C822" t="s">
        <v>2567</v>
      </c>
      <c r="D822" t="s">
        <v>6220</v>
      </c>
      <c r="E822">
        <v>3.89</v>
      </c>
      <c r="F822" t="s">
        <v>50</v>
      </c>
      <c r="G822" t="s">
        <v>2545</v>
      </c>
      <c r="H822" t="s">
        <v>2544</v>
      </c>
      <c r="I822" s="11">
        <v>46297</v>
      </c>
      <c r="J822" s="12">
        <v>46296</v>
      </c>
      <c r="K822" s="13">
        <f>INDEX(Assumptions!$B$4:$B$23,MATCH(F822,Assumptions!$A$4:$A$23,0))</f>
        <v>1.0869565217391299</v>
      </c>
      <c r="L822" s="14">
        <f t="shared" si="24"/>
        <v>4.228260869565216</v>
      </c>
      <c r="M822" t="str">
        <f t="shared" si="25"/>
        <v>No</v>
      </c>
    </row>
    <row r="823" spans="1:13" x14ac:dyDescent="0.25">
      <c r="A823">
        <v>338810</v>
      </c>
      <c r="B823" t="s">
        <v>2569</v>
      </c>
      <c r="C823" t="s">
        <v>2570</v>
      </c>
      <c r="D823" t="s">
        <v>6220</v>
      </c>
      <c r="E823">
        <v>1.49</v>
      </c>
      <c r="F823" t="s">
        <v>50</v>
      </c>
      <c r="G823" t="s">
        <v>2545</v>
      </c>
      <c r="H823" t="s">
        <v>2544</v>
      </c>
      <c r="I823" s="11">
        <v>46297</v>
      </c>
      <c r="J823" s="12">
        <v>46296</v>
      </c>
      <c r="K823" s="13">
        <f>INDEX(Assumptions!$B$4:$B$23,MATCH(F823,Assumptions!$A$4:$A$23,0))</f>
        <v>1.0869565217391299</v>
      </c>
      <c r="L823" s="14">
        <f t="shared" si="24"/>
        <v>1.6195652173913035</v>
      </c>
      <c r="M823" t="str">
        <f t="shared" si="25"/>
        <v>No</v>
      </c>
    </row>
    <row r="824" spans="1:13" x14ac:dyDescent="0.25">
      <c r="A824">
        <v>338809</v>
      </c>
      <c r="B824" t="s">
        <v>2572</v>
      </c>
      <c r="C824" t="s">
        <v>2573</v>
      </c>
      <c r="D824" t="s">
        <v>6220</v>
      </c>
      <c r="E824">
        <v>0.92</v>
      </c>
      <c r="F824" t="s">
        <v>50</v>
      </c>
      <c r="G824" t="s">
        <v>2545</v>
      </c>
      <c r="H824" t="s">
        <v>2544</v>
      </c>
      <c r="I824" s="11">
        <v>46297</v>
      </c>
      <c r="J824" s="12">
        <v>46296</v>
      </c>
      <c r="K824" s="13">
        <f>INDEX(Assumptions!$B$4:$B$23,MATCH(F824,Assumptions!$A$4:$A$23,0))</f>
        <v>1.0869565217391299</v>
      </c>
      <c r="L824" s="14">
        <f t="shared" si="24"/>
        <v>0.99999999999999956</v>
      </c>
      <c r="M824" t="str">
        <f t="shared" si="25"/>
        <v>No</v>
      </c>
    </row>
    <row r="825" spans="1:13" x14ac:dyDescent="0.25">
      <c r="A825">
        <v>338808</v>
      </c>
      <c r="B825" t="s">
        <v>2576</v>
      </c>
      <c r="C825" t="s">
        <v>2577</v>
      </c>
      <c r="D825" t="s">
        <v>6220</v>
      </c>
      <c r="E825">
        <v>2.15</v>
      </c>
      <c r="F825" t="s">
        <v>50</v>
      </c>
      <c r="G825" t="s">
        <v>2545</v>
      </c>
      <c r="H825" t="s">
        <v>2544</v>
      </c>
      <c r="I825" s="11">
        <v>46297</v>
      </c>
      <c r="J825" s="12">
        <v>46296</v>
      </c>
      <c r="K825" s="13">
        <f>INDEX(Assumptions!$B$4:$B$23,MATCH(F825,Assumptions!$A$4:$A$23,0))</f>
        <v>1.0869565217391299</v>
      </c>
      <c r="L825" s="14">
        <f t="shared" si="24"/>
        <v>2.336956521739129</v>
      </c>
      <c r="M825" t="str">
        <f t="shared" si="25"/>
        <v>No</v>
      </c>
    </row>
    <row r="826" spans="1:13" x14ac:dyDescent="0.25">
      <c r="A826">
        <v>338807</v>
      </c>
      <c r="B826" t="s">
        <v>2579</v>
      </c>
      <c r="C826" t="s">
        <v>2580</v>
      </c>
      <c r="D826" t="s">
        <v>6220</v>
      </c>
      <c r="E826">
        <v>1.95</v>
      </c>
      <c r="F826" t="s">
        <v>50</v>
      </c>
      <c r="G826" t="s">
        <v>2545</v>
      </c>
      <c r="H826" t="s">
        <v>2544</v>
      </c>
      <c r="I826" s="11">
        <v>46297</v>
      </c>
      <c r="J826" s="12">
        <v>46296</v>
      </c>
      <c r="K826" s="13">
        <f>INDEX(Assumptions!$B$4:$B$23,MATCH(F826,Assumptions!$A$4:$A$23,0))</f>
        <v>1.0869565217391299</v>
      </c>
      <c r="L826" s="14">
        <f t="shared" si="24"/>
        <v>2.1195652173913033</v>
      </c>
      <c r="M826" t="str">
        <f t="shared" si="25"/>
        <v>No</v>
      </c>
    </row>
    <row r="827" spans="1:13" x14ac:dyDescent="0.25">
      <c r="A827">
        <v>338806</v>
      </c>
      <c r="B827" t="s">
        <v>2582</v>
      </c>
      <c r="C827" t="s">
        <v>6221</v>
      </c>
      <c r="D827" t="s">
        <v>6220</v>
      </c>
      <c r="E827">
        <v>36.9</v>
      </c>
      <c r="F827" t="s">
        <v>123</v>
      </c>
      <c r="G827" t="s">
        <v>125</v>
      </c>
      <c r="H827" t="s">
        <v>124</v>
      </c>
      <c r="I827" s="11">
        <v>46271</v>
      </c>
      <c r="J827" s="12">
        <v>46266</v>
      </c>
      <c r="K827" s="13">
        <f>INDEX(Assumptions!$B$4:$B$23,MATCH(F827,Assumptions!$A$4:$A$23,0))</f>
        <v>0.10526315789473679</v>
      </c>
      <c r="L827" s="14">
        <f t="shared" si="24"/>
        <v>3.8842105263157878</v>
      </c>
      <c r="M827" t="str">
        <f t="shared" si="25"/>
        <v>Yes</v>
      </c>
    </row>
    <row r="828" spans="1:13" x14ac:dyDescent="0.25">
      <c r="A828">
        <v>338805</v>
      </c>
      <c r="B828" t="s">
        <v>2584</v>
      </c>
      <c r="C828" t="s">
        <v>6221</v>
      </c>
      <c r="D828" t="s">
        <v>6220</v>
      </c>
      <c r="E828">
        <v>16.940000000000001</v>
      </c>
      <c r="F828" t="s">
        <v>123</v>
      </c>
      <c r="G828" t="s">
        <v>125</v>
      </c>
      <c r="H828" t="s">
        <v>124</v>
      </c>
      <c r="I828" s="11">
        <v>46271</v>
      </c>
      <c r="J828" s="12">
        <v>46266</v>
      </c>
      <c r="K828" s="13">
        <f>INDEX(Assumptions!$B$4:$B$23,MATCH(F828,Assumptions!$A$4:$A$23,0))</f>
        <v>0.10526315789473679</v>
      </c>
      <c r="L828" s="14">
        <f t="shared" si="24"/>
        <v>1.7831578947368414</v>
      </c>
      <c r="M828" t="str">
        <f t="shared" si="25"/>
        <v>Yes</v>
      </c>
    </row>
    <row r="829" spans="1:13" x14ac:dyDescent="0.25">
      <c r="A829">
        <v>338804</v>
      </c>
      <c r="B829" t="s">
        <v>2586</v>
      </c>
      <c r="C829" t="s">
        <v>6221</v>
      </c>
      <c r="D829" t="s">
        <v>6220</v>
      </c>
      <c r="E829">
        <v>21.9</v>
      </c>
      <c r="F829" t="s">
        <v>123</v>
      </c>
      <c r="G829" t="s">
        <v>125</v>
      </c>
      <c r="H829" t="s">
        <v>124</v>
      </c>
      <c r="I829" s="11">
        <v>46271</v>
      </c>
      <c r="J829" s="12">
        <v>46266</v>
      </c>
      <c r="K829" s="13">
        <f>INDEX(Assumptions!$B$4:$B$23,MATCH(F829,Assumptions!$A$4:$A$23,0))</f>
        <v>0.10526315789473679</v>
      </c>
      <c r="L829" s="14">
        <f t="shared" si="24"/>
        <v>2.3052631578947356</v>
      </c>
      <c r="M829" t="str">
        <f t="shared" si="25"/>
        <v>Yes</v>
      </c>
    </row>
    <row r="830" spans="1:13" x14ac:dyDescent="0.25">
      <c r="A830">
        <v>338803</v>
      </c>
      <c r="B830" t="s">
        <v>2589</v>
      </c>
      <c r="C830" t="s">
        <v>6221</v>
      </c>
      <c r="D830" t="s">
        <v>6220</v>
      </c>
      <c r="E830">
        <v>21.9</v>
      </c>
      <c r="F830" t="s">
        <v>123</v>
      </c>
      <c r="G830" t="s">
        <v>125</v>
      </c>
      <c r="H830" t="s">
        <v>124</v>
      </c>
      <c r="I830" s="11">
        <v>46271</v>
      </c>
      <c r="J830" s="12">
        <v>46266</v>
      </c>
      <c r="K830" s="13">
        <f>INDEX(Assumptions!$B$4:$B$23,MATCH(F830,Assumptions!$A$4:$A$23,0))</f>
        <v>0.10526315789473679</v>
      </c>
      <c r="L830" s="14">
        <f t="shared" si="24"/>
        <v>2.3052631578947356</v>
      </c>
      <c r="M830" t="str">
        <f t="shared" si="25"/>
        <v>Yes</v>
      </c>
    </row>
    <row r="831" spans="1:13" x14ac:dyDescent="0.25">
      <c r="A831">
        <v>338802</v>
      </c>
      <c r="B831" t="s">
        <v>2591</v>
      </c>
      <c r="C831" t="s">
        <v>6221</v>
      </c>
      <c r="D831" t="s">
        <v>6220</v>
      </c>
      <c r="E831">
        <v>21.9</v>
      </c>
      <c r="F831" t="s">
        <v>123</v>
      </c>
      <c r="G831" t="s">
        <v>125</v>
      </c>
      <c r="H831" t="s">
        <v>124</v>
      </c>
      <c r="I831" s="11">
        <v>46271</v>
      </c>
      <c r="J831" s="12">
        <v>46266</v>
      </c>
      <c r="K831" s="13">
        <f>INDEX(Assumptions!$B$4:$B$23,MATCH(F831,Assumptions!$A$4:$A$23,0))</f>
        <v>0.10526315789473679</v>
      </c>
      <c r="L831" s="14">
        <f t="shared" si="24"/>
        <v>2.3052631578947356</v>
      </c>
      <c r="M831" t="str">
        <f t="shared" si="25"/>
        <v>Yes</v>
      </c>
    </row>
    <row r="832" spans="1:13" x14ac:dyDescent="0.25">
      <c r="A832">
        <v>338801</v>
      </c>
      <c r="B832" t="s">
        <v>2593</v>
      </c>
      <c r="C832" t="s">
        <v>6221</v>
      </c>
      <c r="D832" t="s">
        <v>6220</v>
      </c>
      <c r="E832">
        <v>7.99</v>
      </c>
      <c r="F832" t="s">
        <v>1836</v>
      </c>
      <c r="G832" t="s">
        <v>1838</v>
      </c>
      <c r="H832" t="s">
        <v>1837</v>
      </c>
      <c r="I832" s="11">
        <v>46297</v>
      </c>
      <c r="J832" s="12">
        <v>46296</v>
      </c>
      <c r="K832" s="13">
        <f>INDEX(Assumptions!$B$4:$B$23,MATCH(F832,Assumptions!$A$4:$A$23,0))</f>
        <v>0.5780346820809249</v>
      </c>
      <c r="L832" s="14">
        <f t="shared" si="24"/>
        <v>4.6184971098265901</v>
      </c>
      <c r="M832" t="str">
        <f t="shared" si="25"/>
        <v>Yes</v>
      </c>
    </row>
    <row r="833" spans="1:13" x14ac:dyDescent="0.25">
      <c r="A833">
        <v>338800</v>
      </c>
      <c r="B833" t="s">
        <v>2595</v>
      </c>
      <c r="C833" t="s">
        <v>6221</v>
      </c>
      <c r="D833" t="s">
        <v>6220</v>
      </c>
      <c r="E833">
        <v>3.19</v>
      </c>
      <c r="F833" t="s">
        <v>50</v>
      </c>
      <c r="G833" t="s">
        <v>2597</v>
      </c>
      <c r="H833" t="s">
        <v>2596</v>
      </c>
      <c r="I833" s="11">
        <v>46297</v>
      </c>
      <c r="J833" s="12">
        <v>46296</v>
      </c>
      <c r="K833" s="13">
        <f>INDEX(Assumptions!$B$4:$B$23,MATCH(F833,Assumptions!$A$4:$A$23,0))</f>
        <v>1.0869565217391299</v>
      </c>
      <c r="L833" s="14">
        <f t="shared" si="24"/>
        <v>3.4673913043478244</v>
      </c>
      <c r="M833" t="str">
        <f t="shared" si="25"/>
        <v>Yes</v>
      </c>
    </row>
    <row r="834" spans="1:13" x14ac:dyDescent="0.25">
      <c r="A834">
        <v>338799</v>
      </c>
      <c r="B834" t="s">
        <v>2599</v>
      </c>
      <c r="C834" t="s">
        <v>6221</v>
      </c>
      <c r="D834" t="s">
        <v>6220</v>
      </c>
      <c r="E834">
        <v>39.9</v>
      </c>
      <c r="F834" t="s">
        <v>123</v>
      </c>
      <c r="G834" t="s">
        <v>125</v>
      </c>
      <c r="H834" t="s">
        <v>124</v>
      </c>
      <c r="I834" s="11">
        <v>46271</v>
      </c>
      <c r="J834" s="12">
        <v>46266</v>
      </c>
      <c r="K834" s="13">
        <f>INDEX(Assumptions!$B$4:$B$23,MATCH(F834,Assumptions!$A$4:$A$23,0))</f>
        <v>0.10526315789473679</v>
      </c>
      <c r="L834" s="14">
        <f t="shared" ref="L834:L897" si="26">E834*K834</f>
        <v>4.1999999999999975</v>
      </c>
      <c r="M834" t="str">
        <f t="shared" ref="M834:M897" si="27">IF(C834="Unnamed product","Yes","No")</f>
        <v>Yes</v>
      </c>
    </row>
    <row r="835" spans="1:13" x14ac:dyDescent="0.25">
      <c r="A835">
        <v>338798</v>
      </c>
      <c r="B835" t="s">
        <v>2601</v>
      </c>
      <c r="C835" t="s">
        <v>6221</v>
      </c>
      <c r="D835" t="s">
        <v>6220</v>
      </c>
      <c r="E835">
        <v>39.9</v>
      </c>
      <c r="F835" t="s">
        <v>123</v>
      </c>
      <c r="G835" t="s">
        <v>125</v>
      </c>
      <c r="H835" t="s">
        <v>124</v>
      </c>
      <c r="I835" s="11">
        <v>46271</v>
      </c>
      <c r="J835" s="12">
        <v>46266</v>
      </c>
      <c r="K835" s="13">
        <f>INDEX(Assumptions!$B$4:$B$23,MATCH(F835,Assumptions!$A$4:$A$23,0))</f>
        <v>0.10526315789473679</v>
      </c>
      <c r="L835" s="14">
        <f t="shared" si="26"/>
        <v>4.1999999999999975</v>
      </c>
      <c r="M835" t="str">
        <f t="shared" si="27"/>
        <v>Yes</v>
      </c>
    </row>
    <row r="836" spans="1:13" x14ac:dyDescent="0.25">
      <c r="A836">
        <v>338797</v>
      </c>
      <c r="B836" t="s">
        <v>2603</v>
      </c>
      <c r="C836" t="s">
        <v>6221</v>
      </c>
      <c r="D836" t="s">
        <v>6220</v>
      </c>
      <c r="E836">
        <v>26.4</v>
      </c>
      <c r="F836" t="s">
        <v>123</v>
      </c>
      <c r="G836" t="s">
        <v>125</v>
      </c>
      <c r="H836" t="s">
        <v>124</v>
      </c>
      <c r="I836" s="11">
        <v>46271</v>
      </c>
      <c r="J836" s="12">
        <v>46266</v>
      </c>
      <c r="K836" s="13">
        <f>INDEX(Assumptions!$B$4:$B$23,MATCH(F836,Assumptions!$A$4:$A$23,0))</f>
        <v>0.10526315789473679</v>
      </c>
      <c r="L836" s="14">
        <f t="shared" si="26"/>
        <v>2.7789473684210511</v>
      </c>
      <c r="M836" t="str">
        <f t="shared" si="27"/>
        <v>Yes</v>
      </c>
    </row>
    <row r="837" spans="1:13" x14ac:dyDescent="0.25">
      <c r="A837">
        <v>338796</v>
      </c>
      <c r="B837" t="s">
        <v>2605</v>
      </c>
      <c r="C837" t="s">
        <v>6221</v>
      </c>
      <c r="D837" t="s">
        <v>6220</v>
      </c>
      <c r="E837">
        <v>23.9</v>
      </c>
      <c r="F837" t="s">
        <v>123</v>
      </c>
      <c r="G837" t="s">
        <v>125</v>
      </c>
      <c r="H837" t="s">
        <v>124</v>
      </c>
      <c r="I837" s="11">
        <v>46271</v>
      </c>
      <c r="J837" s="12">
        <v>46266</v>
      </c>
      <c r="K837" s="13">
        <f>INDEX(Assumptions!$B$4:$B$23,MATCH(F837,Assumptions!$A$4:$A$23,0))</f>
        <v>0.10526315789473679</v>
      </c>
      <c r="L837" s="14">
        <f t="shared" si="26"/>
        <v>2.515789473684209</v>
      </c>
      <c r="M837" t="str">
        <f t="shared" si="27"/>
        <v>Yes</v>
      </c>
    </row>
    <row r="838" spans="1:13" x14ac:dyDescent="0.25">
      <c r="A838">
        <v>338795</v>
      </c>
      <c r="B838" t="s">
        <v>2607</v>
      </c>
      <c r="C838" t="s">
        <v>6221</v>
      </c>
      <c r="D838" t="s">
        <v>6220</v>
      </c>
      <c r="E838">
        <v>28.29</v>
      </c>
      <c r="F838" t="s">
        <v>123</v>
      </c>
      <c r="G838" t="s">
        <v>125</v>
      </c>
      <c r="H838" t="s">
        <v>124</v>
      </c>
      <c r="I838" s="11">
        <v>46271</v>
      </c>
      <c r="J838" s="12">
        <v>46266</v>
      </c>
      <c r="K838" s="13">
        <f>INDEX(Assumptions!$B$4:$B$23,MATCH(F838,Assumptions!$A$4:$A$23,0))</f>
        <v>0.10526315789473679</v>
      </c>
      <c r="L838" s="14">
        <f t="shared" si="26"/>
        <v>2.9778947368421038</v>
      </c>
      <c r="M838" t="str">
        <f t="shared" si="27"/>
        <v>Yes</v>
      </c>
    </row>
    <row r="839" spans="1:13" x14ac:dyDescent="0.25">
      <c r="A839">
        <v>338794</v>
      </c>
      <c r="B839" t="s">
        <v>2609</v>
      </c>
      <c r="C839" t="s">
        <v>6221</v>
      </c>
      <c r="D839" t="s">
        <v>6220</v>
      </c>
      <c r="E839">
        <v>5.99</v>
      </c>
      <c r="F839" t="s">
        <v>50</v>
      </c>
      <c r="G839" t="s">
        <v>2597</v>
      </c>
      <c r="H839" t="s">
        <v>2596</v>
      </c>
      <c r="I839" s="11">
        <v>46297</v>
      </c>
      <c r="J839" s="12">
        <v>46296</v>
      </c>
      <c r="K839" s="13">
        <f>INDEX(Assumptions!$B$4:$B$23,MATCH(F839,Assumptions!$A$4:$A$23,0))</f>
        <v>1.0869565217391299</v>
      </c>
      <c r="L839" s="14">
        <f t="shared" si="26"/>
        <v>6.5108695652173889</v>
      </c>
      <c r="M839" t="str">
        <f t="shared" si="27"/>
        <v>Yes</v>
      </c>
    </row>
    <row r="840" spans="1:13" x14ac:dyDescent="0.25">
      <c r="A840">
        <v>338793</v>
      </c>
      <c r="B840" t="s">
        <v>2611</v>
      </c>
      <c r="C840" t="s">
        <v>6221</v>
      </c>
      <c r="D840" t="s">
        <v>6220</v>
      </c>
      <c r="E840">
        <v>1.6</v>
      </c>
      <c r="F840" t="s">
        <v>50</v>
      </c>
      <c r="G840" t="s">
        <v>945</v>
      </c>
      <c r="H840" t="s">
        <v>2612</v>
      </c>
      <c r="I840" s="11">
        <v>46297</v>
      </c>
      <c r="J840" s="12">
        <v>46296</v>
      </c>
      <c r="K840" s="13">
        <f>INDEX(Assumptions!$B$4:$B$23,MATCH(F840,Assumptions!$A$4:$A$23,0))</f>
        <v>1.0869565217391299</v>
      </c>
      <c r="L840" s="14">
        <f t="shared" si="26"/>
        <v>1.739130434782608</v>
      </c>
      <c r="M840" t="str">
        <f t="shared" si="27"/>
        <v>Yes</v>
      </c>
    </row>
    <row r="841" spans="1:13" x14ac:dyDescent="0.25">
      <c r="A841">
        <v>338792</v>
      </c>
      <c r="B841" t="s">
        <v>2614</v>
      </c>
      <c r="C841" t="s">
        <v>6221</v>
      </c>
      <c r="D841" t="s">
        <v>6220</v>
      </c>
      <c r="E841">
        <v>61.46</v>
      </c>
      <c r="F841" t="s">
        <v>123</v>
      </c>
      <c r="G841" t="s">
        <v>2616</v>
      </c>
      <c r="H841" t="s">
        <v>124</v>
      </c>
      <c r="I841" s="11">
        <v>46270</v>
      </c>
      <c r="J841" s="12">
        <v>46266</v>
      </c>
      <c r="K841" s="13">
        <f>INDEX(Assumptions!$B$4:$B$23,MATCH(F841,Assumptions!$A$4:$A$23,0))</f>
        <v>0.10526315789473679</v>
      </c>
      <c r="L841" s="14">
        <f t="shared" si="26"/>
        <v>6.4694736842105236</v>
      </c>
      <c r="M841" t="str">
        <f t="shared" si="27"/>
        <v>Yes</v>
      </c>
    </row>
    <row r="842" spans="1:13" x14ac:dyDescent="0.25">
      <c r="A842">
        <v>338791</v>
      </c>
      <c r="B842" t="s">
        <v>2619</v>
      </c>
      <c r="C842" t="s">
        <v>6221</v>
      </c>
      <c r="D842" t="s">
        <v>6220</v>
      </c>
      <c r="E842">
        <v>37.799999999999997</v>
      </c>
      <c r="F842" t="s">
        <v>123</v>
      </c>
      <c r="G842" t="s">
        <v>2616</v>
      </c>
      <c r="H842" t="s">
        <v>124</v>
      </c>
      <c r="I842" s="11">
        <v>46270</v>
      </c>
      <c r="J842" s="12">
        <v>46266</v>
      </c>
      <c r="K842" s="13">
        <f>INDEX(Assumptions!$B$4:$B$23,MATCH(F842,Assumptions!$A$4:$A$23,0))</f>
        <v>0.10526315789473679</v>
      </c>
      <c r="L842" s="14">
        <f t="shared" si="26"/>
        <v>3.9789473684210503</v>
      </c>
      <c r="M842" t="str">
        <f t="shared" si="27"/>
        <v>Yes</v>
      </c>
    </row>
    <row r="843" spans="1:13" x14ac:dyDescent="0.25">
      <c r="A843">
        <v>338790</v>
      </c>
      <c r="B843" t="s">
        <v>2622</v>
      </c>
      <c r="C843" t="s">
        <v>6221</v>
      </c>
      <c r="D843" t="s">
        <v>6220</v>
      </c>
      <c r="E843">
        <v>43.02</v>
      </c>
      <c r="F843" t="s">
        <v>123</v>
      </c>
      <c r="G843" t="s">
        <v>2616</v>
      </c>
      <c r="H843" t="s">
        <v>124</v>
      </c>
      <c r="I843" s="11">
        <v>46270</v>
      </c>
      <c r="J843" s="12">
        <v>46266</v>
      </c>
      <c r="K843" s="13">
        <f>INDEX(Assumptions!$B$4:$B$23,MATCH(F843,Assumptions!$A$4:$A$23,0))</f>
        <v>0.10526315789473679</v>
      </c>
      <c r="L843" s="14">
        <f t="shared" si="26"/>
        <v>4.5284210526315771</v>
      </c>
      <c r="M843" t="str">
        <f t="shared" si="27"/>
        <v>Yes</v>
      </c>
    </row>
    <row r="844" spans="1:13" x14ac:dyDescent="0.25">
      <c r="A844">
        <v>338789</v>
      </c>
      <c r="B844" t="s">
        <v>2625</v>
      </c>
      <c r="C844" t="s">
        <v>6221</v>
      </c>
      <c r="D844" t="s">
        <v>6220</v>
      </c>
      <c r="E844">
        <v>22.66</v>
      </c>
      <c r="F844" t="s">
        <v>123</v>
      </c>
      <c r="G844" t="s">
        <v>2616</v>
      </c>
      <c r="H844" t="s">
        <v>124</v>
      </c>
      <c r="I844" s="11">
        <v>46270</v>
      </c>
      <c r="J844" s="12">
        <v>46266</v>
      </c>
      <c r="K844" s="13">
        <f>INDEX(Assumptions!$B$4:$B$23,MATCH(F844,Assumptions!$A$4:$A$23,0))</f>
        <v>0.10526315789473679</v>
      </c>
      <c r="L844" s="14">
        <f t="shared" si="26"/>
        <v>2.3852631578947356</v>
      </c>
      <c r="M844" t="str">
        <f t="shared" si="27"/>
        <v>Yes</v>
      </c>
    </row>
    <row r="845" spans="1:13" x14ac:dyDescent="0.25">
      <c r="A845">
        <v>338788</v>
      </c>
      <c r="B845" t="s">
        <v>2628</v>
      </c>
      <c r="C845" t="s">
        <v>6221</v>
      </c>
      <c r="D845" t="s">
        <v>6220</v>
      </c>
      <c r="E845">
        <v>29.29</v>
      </c>
      <c r="F845" t="s">
        <v>123</v>
      </c>
      <c r="G845" t="s">
        <v>2616</v>
      </c>
      <c r="H845" t="s">
        <v>124</v>
      </c>
      <c r="I845" s="11">
        <v>46270</v>
      </c>
      <c r="J845" s="12">
        <v>46266</v>
      </c>
      <c r="K845" s="13">
        <f>INDEX(Assumptions!$B$4:$B$23,MATCH(F845,Assumptions!$A$4:$A$23,0))</f>
        <v>0.10526315789473679</v>
      </c>
      <c r="L845" s="14">
        <f t="shared" si="26"/>
        <v>3.0831578947368405</v>
      </c>
      <c r="M845" t="str">
        <f t="shared" si="27"/>
        <v>Yes</v>
      </c>
    </row>
    <row r="846" spans="1:13" x14ac:dyDescent="0.25">
      <c r="A846">
        <v>338787</v>
      </c>
      <c r="B846" t="s">
        <v>2631</v>
      </c>
      <c r="C846" t="s">
        <v>6221</v>
      </c>
      <c r="D846" t="s">
        <v>6220</v>
      </c>
      <c r="E846">
        <v>26.5</v>
      </c>
      <c r="F846" t="s">
        <v>123</v>
      </c>
      <c r="G846" t="s">
        <v>2616</v>
      </c>
      <c r="H846" t="s">
        <v>124</v>
      </c>
      <c r="I846" s="11">
        <v>46270</v>
      </c>
      <c r="J846" s="12">
        <v>46266</v>
      </c>
      <c r="K846" s="13">
        <f>INDEX(Assumptions!$B$4:$B$23,MATCH(F846,Assumptions!$A$4:$A$23,0))</f>
        <v>0.10526315789473679</v>
      </c>
      <c r="L846" s="14">
        <f t="shared" si="26"/>
        <v>2.7894736842105252</v>
      </c>
      <c r="M846" t="str">
        <f t="shared" si="27"/>
        <v>Yes</v>
      </c>
    </row>
    <row r="847" spans="1:13" x14ac:dyDescent="0.25">
      <c r="A847">
        <v>338786</v>
      </c>
      <c r="B847" t="s">
        <v>2634</v>
      </c>
      <c r="C847" t="s">
        <v>6221</v>
      </c>
      <c r="D847" t="s">
        <v>6220</v>
      </c>
      <c r="E847">
        <v>2.15</v>
      </c>
      <c r="F847" t="s">
        <v>50</v>
      </c>
      <c r="G847" t="s">
        <v>2597</v>
      </c>
      <c r="H847" t="s">
        <v>2596</v>
      </c>
      <c r="I847" s="11">
        <v>46297</v>
      </c>
      <c r="J847" s="12">
        <v>46296</v>
      </c>
      <c r="K847" s="13">
        <f>INDEX(Assumptions!$B$4:$B$23,MATCH(F847,Assumptions!$A$4:$A$23,0))</f>
        <v>1.0869565217391299</v>
      </c>
      <c r="L847" s="14">
        <f t="shared" si="26"/>
        <v>2.336956521739129</v>
      </c>
      <c r="M847" t="str">
        <f t="shared" si="27"/>
        <v>Yes</v>
      </c>
    </row>
    <row r="848" spans="1:13" x14ac:dyDescent="0.25">
      <c r="A848">
        <v>338785</v>
      </c>
      <c r="B848" t="s">
        <v>2636</v>
      </c>
      <c r="C848" t="s">
        <v>6221</v>
      </c>
      <c r="D848" t="s">
        <v>6220</v>
      </c>
      <c r="E848">
        <v>1.64</v>
      </c>
      <c r="F848" t="s">
        <v>50</v>
      </c>
      <c r="G848" t="s">
        <v>2597</v>
      </c>
      <c r="H848" t="s">
        <v>2596</v>
      </c>
      <c r="I848" s="11">
        <v>46297</v>
      </c>
      <c r="J848" s="12">
        <v>46296</v>
      </c>
      <c r="K848" s="13">
        <f>INDEX(Assumptions!$B$4:$B$23,MATCH(F848,Assumptions!$A$4:$A$23,0))</f>
        <v>1.0869565217391299</v>
      </c>
      <c r="L848" s="14">
        <f t="shared" si="26"/>
        <v>1.7826086956521729</v>
      </c>
      <c r="M848" t="str">
        <f t="shared" si="27"/>
        <v>Yes</v>
      </c>
    </row>
    <row r="849" spans="1:13" x14ac:dyDescent="0.25">
      <c r="A849">
        <v>338784</v>
      </c>
      <c r="B849" t="s">
        <v>2638</v>
      </c>
      <c r="C849" t="s">
        <v>6221</v>
      </c>
      <c r="D849" t="s">
        <v>6220</v>
      </c>
      <c r="E849">
        <v>1.29</v>
      </c>
      <c r="F849" t="s">
        <v>50</v>
      </c>
      <c r="G849" t="s">
        <v>2597</v>
      </c>
      <c r="H849" t="s">
        <v>2596</v>
      </c>
      <c r="I849" s="11">
        <v>46297</v>
      </c>
      <c r="J849" s="12">
        <v>46296</v>
      </c>
      <c r="K849" s="13">
        <f>INDEX(Assumptions!$B$4:$B$23,MATCH(F849,Assumptions!$A$4:$A$23,0))</f>
        <v>1.0869565217391299</v>
      </c>
      <c r="L849" s="14">
        <f t="shared" si="26"/>
        <v>1.4021739130434776</v>
      </c>
      <c r="M849" t="str">
        <f t="shared" si="27"/>
        <v>Yes</v>
      </c>
    </row>
    <row r="850" spans="1:13" x14ac:dyDescent="0.25">
      <c r="A850">
        <v>338783</v>
      </c>
      <c r="B850" t="s">
        <v>2640</v>
      </c>
      <c r="C850" t="s">
        <v>6221</v>
      </c>
      <c r="D850" t="s">
        <v>6220</v>
      </c>
      <c r="E850">
        <v>2.09</v>
      </c>
      <c r="F850" t="s">
        <v>50</v>
      </c>
      <c r="G850" t="s">
        <v>2597</v>
      </c>
      <c r="H850" t="s">
        <v>2596</v>
      </c>
      <c r="I850" s="11">
        <v>46297</v>
      </c>
      <c r="J850" s="12">
        <v>46296</v>
      </c>
      <c r="K850" s="13">
        <f>INDEX(Assumptions!$B$4:$B$23,MATCH(F850,Assumptions!$A$4:$A$23,0))</f>
        <v>1.0869565217391299</v>
      </c>
      <c r="L850" s="14">
        <f t="shared" si="26"/>
        <v>2.2717391304347814</v>
      </c>
      <c r="M850" t="str">
        <f t="shared" si="27"/>
        <v>Yes</v>
      </c>
    </row>
    <row r="851" spans="1:13" x14ac:dyDescent="0.25">
      <c r="A851">
        <v>338782</v>
      </c>
      <c r="B851" t="s">
        <v>2642</v>
      </c>
      <c r="C851" t="s">
        <v>6221</v>
      </c>
      <c r="D851" t="s">
        <v>6220</v>
      </c>
      <c r="E851">
        <v>4.59</v>
      </c>
      <c r="F851" t="s">
        <v>50</v>
      </c>
      <c r="G851" t="s">
        <v>2597</v>
      </c>
      <c r="H851" t="s">
        <v>2596</v>
      </c>
      <c r="I851" s="11">
        <v>46297</v>
      </c>
      <c r="J851" s="12">
        <v>46296</v>
      </c>
      <c r="K851" s="13">
        <f>INDEX(Assumptions!$B$4:$B$23,MATCH(F851,Assumptions!$A$4:$A$23,0))</f>
        <v>1.0869565217391299</v>
      </c>
      <c r="L851" s="14">
        <f t="shared" si="26"/>
        <v>4.9891304347826066</v>
      </c>
      <c r="M851" t="str">
        <f t="shared" si="27"/>
        <v>Yes</v>
      </c>
    </row>
    <row r="852" spans="1:13" x14ac:dyDescent="0.25">
      <c r="A852">
        <v>338781</v>
      </c>
      <c r="B852" t="s">
        <v>2644</v>
      </c>
      <c r="C852" t="s">
        <v>6221</v>
      </c>
      <c r="D852" t="s">
        <v>6220</v>
      </c>
      <c r="E852">
        <v>0.55000000000000004</v>
      </c>
      <c r="F852" t="s">
        <v>50</v>
      </c>
      <c r="G852" t="s">
        <v>2597</v>
      </c>
      <c r="H852" t="s">
        <v>2596</v>
      </c>
      <c r="I852" s="11">
        <v>46297</v>
      </c>
      <c r="J852" s="12">
        <v>46296</v>
      </c>
      <c r="K852" s="13">
        <f>INDEX(Assumptions!$B$4:$B$23,MATCH(F852,Assumptions!$A$4:$A$23,0))</f>
        <v>1.0869565217391299</v>
      </c>
      <c r="L852" s="14">
        <f t="shared" si="26"/>
        <v>0.59782608695652151</v>
      </c>
      <c r="M852" t="str">
        <f t="shared" si="27"/>
        <v>Yes</v>
      </c>
    </row>
    <row r="853" spans="1:13" x14ac:dyDescent="0.25">
      <c r="A853">
        <v>338780</v>
      </c>
      <c r="B853" t="s">
        <v>2646</v>
      </c>
      <c r="C853" t="s">
        <v>6221</v>
      </c>
      <c r="D853" t="s">
        <v>6220</v>
      </c>
      <c r="E853">
        <v>4.5</v>
      </c>
      <c r="F853" t="s">
        <v>1663</v>
      </c>
      <c r="G853" t="s">
        <v>1677</v>
      </c>
      <c r="H853" t="s">
        <v>1664</v>
      </c>
      <c r="I853" s="11">
        <v>46297</v>
      </c>
      <c r="J853" s="12">
        <v>46296</v>
      </c>
      <c r="K853" s="13">
        <f>INDEX(Assumptions!$B$4:$B$23,MATCH(F853,Assumptions!$A$4:$A$23,0))</f>
        <v>0.26315789473684209</v>
      </c>
      <c r="L853" s="14">
        <f t="shared" si="26"/>
        <v>1.1842105263157894</v>
      </c>
      <c r="M853" t="str">
        <f t="shared" si="27"/>
        <v>Yes</v>
      </c>
    </row>
    <row r="854" spans="1:13" x14ac:dyDescent="0.25">
      <c r="A854">
        <v>338779</v>
      </c>
      <c r="B854" t="s">
        <v>2648</v>
      </c>
      <c r="C854" t="s">
        <v>6221</v>
      </c>
      <c r="D854" t="s">
        <v>6220</v>
      </c>
      <c r="E854">
        <v>3</v>
      </c>
      <c r="F854" t="s">
        <v>1663</v>
      </c>
      <c r="G854" t="s">
        <v>1677</v>
      </c>
      <c r="H854" t="s">
        <v>1664</v>
      </c>
      <c r="I854" s="11">
        <v>46297</v>
      </c>
      <c r="J854" s="12">
        <v>46296</v>
      </c>
      <c r="K854" s="13">
        <f>INDEX(Assumptions!$B$4:$B$23,MATCH(F854,Assumptions!$A$4:$A$23,0))</f>
        <v>0.26315789473684209</v>
      </c>
      <c r="L854" s="14">
        <f t="shared" si="26"/>
        <v>0.78947368421052633</v>
      </c>
      <c r="M854" t="str">
        <f t="shared" si="27"/>
        <v>Yes</v>
      </c>
    </row>
    <row r="855" spans="1:13" x14ac:dyDescent="0.25">
      <c r="A855">
        <v>338778</v>
      </c>
      <c r="B855" t="s">
        <v>2650</v>
      </c>
      <c r="C855" t="s">
        <v>6221</v>
      </c>
      <c r="D855" t="s">
        <v>6220</v>
      </c>
      <c r="E855">
        <v>2.95</v>
      </c>
      <c r="F855" t="s">
        <v>50</v>
      </c>
      <c r="G855" t="s">
        <v>945</v>
      </c>
      <c r="H855" t="s">
        <v>2651</v>
      </c>
      <c r="I855" s="11">
        <v>46297</v>
      </c>
      <c r="J855" s="12">
        <v>46296</v>
      </c>
      <c r="K855" s="13">
        <f>INDEX(Assumptions!$B$4:$B$23,MATCH(F855,Assumptions!$A$4:$A$23,0))</f>
        <v>1.0869565217391299</v>
      </c>
      <c r="L855" s="14">
        <f t="shared" si="26"/>
        <v>3.2065217391304337</v>
      </c>
      <c r="M855" t="str">
        <f t="shared" si="27"/>
        <v>Yes</v>
      </c>
    </row>
    <row r="856" spans="1:13" x14ac:dyDescent="0.25">
      <c r="A856">
        <v>338777</v>
      </c>
      <c r="B856" t="s">
        <v>2653</v>
      </c>
      <c r="C856" t="s">
        <v>6221</v>
      </c>
      <c r="D856" t="s">
        <v>6220</v>
      </c>
      <c r="E856">
        <v>4.3899999999999997</v>
      </c>
      <c r="F856" t="s">
        <v>50</v>
      </c>
      <c r="G856" t="s">
        <v>2655</v>
      </c>
      <c r="H856" t="s">
        <v>2654</v>
      </c>
      <c r="I856" s="11">
        <v>46297</v>
      </c>
      <c r="J856" s="12">
        <v>46296</v>
      </c>
      <c r="K856" s="13">
        <f>INDEX(Assumptions!$B$4:$B$23,MATCH(F856,Assumptions!$A$4:$A$23,0))</f>
        <v>1.0869565217391299</v>
      </c>
      <c r="L856" s="14">
        <f t="shared" si="26"/>
        <v>4.7717391304347805</v>
      </c>
      <c r="M856" t="str">
        <f t="shared" si="27"/>
        <v>Yes</v>
      </c>
    </row>
    <row r="857" spans="1:13" x14ac:dyDescent="0.25">
      <c r="A857">
        <v>338776</v>
      </c>
      <c r="B857" t="s">
        <v>2657</v>
      </c>
      <c r="C857" t="s">
        <v>6221</v>
      </c>
      <c r="D857" t="s">
        <v>6220</v>
      </c>
      <c r="E857">
        <v>2</v>
      </c>
      <c r="F857" t="s">
        <v>949</v>
      </c>
      <c r="G857" t="s">
        <v>2659</v>
      </c>
      <c r="H857" t="s">
        <v>2658</v>
      </c>
      <c r="I857" s="11">
        <v>46297</v>
      </c>
      <c r="J857" s="12">
        <v>46296</v>
      </c>
      <c r="K857" s="13">
        <f>INDEX(Assumptions!$B$4:$B$23,MATCH(F857,Assumptions!$A$4:$A$23,0))</f>
        <v>1.265822784810126</v>
      </c>
      <c r="L857" s="14">
        <f t="shared" si="26"/>
        <v>2.531645569620252</v>
      </c>
      <c r="M857" t="str">
        <f t="shared" si="27"/>
        <v>Yes</v>
      </c>
    </row>
    <row r="858" spans="1:13" x14ac:dyDescent="0.25">
      <c r="A858">
        <v>338775</v>
      </c>
      <c r="B858" t="s">
        <v>2661</v>
      </c>
      <c r="C858" t="s">
        <v>6221</v>
      </c>
      <c r="D858" t="s">
        <v>6220</v>
      </c>
      <c r="E858">
        <v>3.52</v>
      </c>
      <c r="F858" t="s">
        <v>50</v>
      </c>
      <c r="G858" t="s">
        <v>945</v>
      </c>
      <c r="H858" t="s">
        <v>2651</v>
      </c>
      <c r="I858" s="11">
        <v>46297</v>
      </c>
      <c r="J858" s="12">
        <v>46296</v>
      </c>
      <c r="K858" s="13">
        <f>INDEX(Assumptions!$B$4:$B$23,MATCH(F858,Assumptions!$A$4:$A$23,0))</f>
        <v>1.0869565217391299</v>
      </c>
      <c r="L858" s="14">
        <f t="shared" si="26"/>
        <v>3.8260869565217375</v>
      </c>
      <c r="M858" t="str">
        <f t="shared" si="27"/>
        <v>Yes</v>
      </c>
    </row>
    <row r="859" spans="1:13" x14ac:dyDescent="0.25">
      <c r="A859">
        <v>338774</v>
      </c>
      <c r="B859" t="s">
        <v>2664</v>
      </c>
      <c r="C859" t="s">
        <v>6221</v>
      </c>
      <c r="D859" t="s">
        <v>6220</v>
      </c>
      <c r="E859">
        <v>20.66</v>
      </c>
      <c r="F859" t="s">
        <v>50</v>
      </c>
      <c r="G859" t="s">
        <v>2667</v>
      </c>
      <c r="H859" t="s">
        <v>2666</v>
      </c>
      <c r="I859" s="11">
        <v>46289</v>
      </c>
      <c r="J859" s="12">
        <v>46266</v>
      </c>
      <c r="K859" s="13">
        <f>INDEX(Assumptions!$B$4:$B$23,MATCH(F859,Assumptions!$A$4:$A$23,0))</f>
        <v>1.0869565217391299</v>
      </c>
      <c r="L859" s="14">
        <f t="shared" si="26"/>
        <v>22.456521739130423</v>
      </c>
      <c r="M859" t="str">
        <f t="shared" si="27"/>
        <v>Yes</v>
      </c>
    </row>
    <row r="860" spans="1:13" x14ac:dyDescent="0.25">
      <c r="A860">
        <v>338773</v>
      </c>
      <c r="B860" t="s">
        <v>2670</v>
      </c>
      <c r="C860" t="s">
        <v>6221</v>
      </c>
      <c r="D860" t="s">
        <v>6220</v>
      </c>
      <c r="E860">
        <v>22</v>
      </c>
      <c r="F860" t="s">
        <v>50</v>
      </c>
      <c r="G860" t="s">
        <v>2667</v>
      </c>
      <c r="H860" t="s">
        <v>2666</v>
      </c>
      <c r="I860" s="11">
        <v>46289</v>
      </c>
      <c r="J860" s="12">
        <v>46266</v>
      </c>
      <c r="K860" s="13">
        <f>INDEX(Assumptions!$B$4:$B$23,MATCH(F860,Assumptions!$A$4:$A$23,0))</f>
        <v>1.0869565217391299</v>
      </c>
      <c r="L860" s="14">
        <f t="shared" si="26"/>
        <v>23.91304347826086</v>
      </c>
      <c r="M860" t="str">
        <f t="shared" si="27"/>
        <v>Yes</v>
      </c>
    </row>
    <row r="861" spans="1:13" x14ac:dyDescent="0.25">
      <c r="A861">
        <v>338772</v>
      </c>
      <c r="B861" t="s">
        <v>2673</v>
      </c>
      <c r="C861" t="s">
        <v>6221</v>
      </c>
      <c r="D861" t="s">
        <v>6220</v>
      </c>
      <c r="E861">
        <v>19.079999999999998</v>
      </c>
      <c r="F861" t="s">
        <v>50</v>
      </c>
      <c r="G861" t="s">
        <v>2667</v>
      </c>
      <c r="H861" t="s">
        <v>2666</v>
      </c>
      <c r="I861" s="11">
        <v>46289</v>
      </c>
      <c r="J861" s="12">
        <v>46266</v>
      </c>
      <c r="K861" s="13">
        <f>INDEX(Assumptions!$B$4:$B$23,MATCH(F861,Assumptions!$A$4:$A$23,0))</f>
        <v>1.0869565217391299</v>
      </c>
      <c r="L861" s="14">
        <f t="shared" si="26"/>
        <v>20.739130434782599</v>
      </c>
      <c r="M861" t="str">
        <f t="shared" si="27"/>
        <v>Yes</v>
      </c>
    </row>
    <row r="862" spans="1:13" x14ac:dyDescent="0.25">
      <c r="A862">
        <v>338771</v>
      </c>
      <c r="B862" t="s">
        <v>2676</v>
      </c>
      <c r="C862" t="s">
        <v>6221</v>
      </c>
      <c r="D862" t="s">
        <v>6220</v>
      </c>
      <c r="E862">
        <v>6.01</v>
      </c>
      <c r="F862" t="s">
        <v>50</v>
      </c>
      <c r="G862" t="s">
        <v>2678</v>
      </c>
      <c r="H862" t="s">
        <v>2666</v>
      </c>
      <c r="I862" s="11">
        <v>46288</v>
      </c>
      <c r="J862" s="12">
        <v>46266</v>
      </c>
      <c r="K862" s="13">
        <f>INDEX(Assumptions!$B$4:$B$23,MATCH(F862,Assumptions!$A$4:$A$23,0))</f>
        <v>1.0869565217391299</v>
      </c>
      <c r="L862" s="14">
        <f t="shared" si="26"/>
        <v>6.5326086956521703</v>
      </c>
      <c r="M862" t="str">
        <f t="shared" si="27"/>
        <v>Yes</v>
      </c>
    </row>
    <row r="863" spans="1:13" x14ac:dyDescent="0.25">
      <c r="A863">
        <v>338770</v>
      </c>
      <c r="B863" t="s">
        <v>2680</v>
      </c>
      <c r="C863" t="s">
        <v>2681</v>
      </c>
      <c r="D863" t="s">
        <v>6220</v>
      </c>
      <c r="E863">
        <v>3.19</v>
      </c>
      <c r="F863" t="s">
        <v>50</v>
      </c>
      <c r="G863" t="s">
        <v>2545</v>
      </c>
      <c r="H863" t="s">
        <v>2666</v>
      </c>
      <c r="I863" s="11">
        <v>46297</v>
      </c>
      <c r="J863" s="12">
        <v>46296</v>
      </c>
      <c r="K863" s="13">
        <f>INDEX(Assumptions!$B$4:$B$23,MATCH(F863,Assumptions!$A$4:$A$23,0))</f>
        <v>1.0869565217391299</v>
      </c>
      <c r="L863" s="14">
        <f t="shared" si="26"/>
        <v>3.4673913043478244</v>
      </c>
      <c r="M863" t="str">
        <f t="shared" si="27"/>
        <v>No</v>
      </c>
    </row>
    <row r="864" spans="1:13" x14ac:dyDescent="0.25">
      <c r="A864">
        <v>338769</v>
      </c>
      <c r="B864" t="s">
        <v>2683</v>
      </c>
      <c r="C864" t="s">
        <v>2684</v>
      </c>
      <c r="D864" t="s">
        <v>6220</v>
      </c>
      <c r="E864">
        <v>3.19</v>
      </c>
      <c r="F864" t="s">
        <v>50</v>
      </c>
      <c r="G864" t="s">
        <v>2545</v>
      </c>
      <c r="H864" t="s">
        <v>2666</v>
      </c>
      <c r="I864" s="11">
        <v>46297</v>
      </c>
      <c r="J864" s="12">
        <v>46296</v>
      </c>
      <c r="K864" s="13">
        <f>INDEX(Assumptions!$B$4:$B$23,MATCH(F864,Assumptions!$A$4:$A$23,0))</f>
        <v>1.0869565217391299</v>
      </c>
      <c r="L864" s="14">
        <f t="shared" si="26"/>
        <v>3.4673913043478244</v>
      </c>
      <c r="M864" t="str">
        <f t="shared" si="27"/>
        <v>No</v>
      </c>
    </row>
    <row r="865" spans="1:13" x14ac:dyDescent="0.25">
      <c r="A865">
        <v>338768</v>
      </c>
      <c r="B865" t="s">
        <v>2686</v>
      </c>
      <c r="C865" t="s">
        <v>2687</v>
      </c>
      <c r="D865" t="s">
        <v>6220</v>
      </c>
      <c r="E865">
        <v>2.5499999999999998</v>
      </c>
      <c r="F865" t="s">
        <v>50</v>
      </c>
      <c r="G865" t="s">
        <v>2545</v>
      </c>
      <c r="H865" t="s">
        <v>2666</v>
      </c>
      <c r="I865" s="11">
        <v>46297</v>
      </c>
      <c r="J865" s="12">
        <v>46296</v>
      </c>
      <c r="K865" s="13">
        <f>INDEX(Assumptions!$B$4:$B$23,MATCH(F865,Assumptions!$A$4:$A$23,0))</f>
        <v>1.0869565217391299</v>
      </c>
      <c r="L865" s="14">
        <f t="shared" si="26"/>
        <v>2.7717391304347809</v>
      </c>
      <c r="M865" t="str">
        <f t="shared" si="27"/>
        <v>No</v>
      </c>
    </row>
    <row r="866" spans="1:13" x14ac:dyDescent="0.25">
      <c r="A866">
        <v>338767</v>
      </c>
      <c r="B866" t="s">
        <v>2689</v>
      </c>
      <c r="C866" t="s">
        <v>2690</v>
      </c>
      <c r="D866" t="s">
        <v>6220</v>
      </c>
      <c r="E866">
        <v>2.4500000000000002</v>
      </c>
      <c r="F866" t="s">
        <v>50</v>
      </c>
      <c r="G866" t="s">
        <v>2545</v>
      </c>
      <c r="H866" t="s">
        <v>2666</v>
      </c>
      <c r="I866" s="11">
        <v>46297</v>
      </c>
      <c r="J866" s="12">
        <v>46296</v>
      </c>
      <c r="K866" s="13">
        <f>INDEX(Assumptions!$B$4:$B$23,MATCH(F866,Assumptions!$A$4:$A$23,0))</f>
        <v>1.0869565217391299</v>
      </c>
      <c r="L866" s="14">
        <f t="shared" si="26"/>
        <v>2.6630434782608687</v>
      </c>
      <c r="M866" t="str">
        <f t="shared" si="27"/>
        <v>No</v>
      </c>
    </row>
    <row r="867" spans="1:13" x14ac:dyDescent="0.25">
      <c r="A867">
        <v>338766</v>
      </c>
      <c r="B867" t="s">
        <v>2692</v>
      </c>
      <c r="C867" t="s">
        <v>2693</v>
      </c>
      <c r="D867" t="s">
        <v>6220</v>
      </c>
      <c r="E867">
        <v>2.99</v>
      </c>
      <c r="F867" t="s">
        <v>50</v>
      </c>
      <c r="G867" t="s">
        <v>2545</v>
      </c>
      <c r="H867" t="s">
        <v>2666</v>
      </c>
      <c r="I867" s="11">
        <v>46297</v>
      </c>
      <c r="J867" s="12">
        <v>46296</v>
      </c>
      <c r="K867" s="13">
        <f>INDEX(Assumptions!$B$4:$B$23,MATCH(F867,Assumptions!$A$4:$A$23,0))</f>
        <v>1.0869565217391299</v>
      </c>
      <c r="L867" s="14">
        <f t="shared" si="26"/>
        <v>3.2499999999999987</v>
      </c>
      <c r="M867" t="str">
        <f t="shared" si="27"/>
        <v>No</v>
      </c>
    </row>
    <row r="868" spans="1:13" x14ac:dyDescent="0.25">
      <c r="A868">
        <v>338765</v>
      </c>
      <c r="B868" t="s">
        <v>2695</v>
      </c>
      <c r="C868" t="s">
        <v>2696</v>
      </c>
      <c r="D868" t="s">
        <v>6220</v>
      </c>
      <c r="E868">
        <v>3.65</v>
      </c>
      <c r="F868" t="s">
        <v>50</v>
      </c>
      <c r="G868" t="s">
        <v>2545</v>
      </c>
      <c r="H868" t="s">
        <v>2666</v>
      </c>
      <c r="I868" s="11">
        <v>46297</v>
      </c>
      <c r="J868" s="12">
        <v>46296</v>
      </c>
      <c r="K868" s="13">
        <f>INDEX(Assumptions!$B$4:$B$23,MATCH(F868,Assumptions!$A$4:$A$23,0))</f>
        <v>1.0869565217391299</v>
      </c>
      <c r="L868" s="14">
        <f t="shared" si="26"/>
        <v>3.9673913043478239</v>
      </c>
      <c r="M868" t="str">
        <f t="shared" si="27"/>
        <v>No</v>
      </c>
    </row>
    <row r="869" spans="1:13" x14ac:dyDescent="0.25">
      <c r="A869">
        <v>338764</v>
      </c>
      <c r="B869" t="s">
        <v>2698</v>
      </c>
      <c r="C869" t="s">
        <v>2699</v>
      </c>
      <c r="D869" t="s">
        <v>6220</v>
      </c>
      <c r="E869">
        <v>3.45</v>
      </c>
      <c r="F869" t="s">
        <v>50</v>
      </c>
      <c r="G869" t="s">
        <v>2545</v>
      </c>
      <c r="H869" t="s">
        <v>2666</v>
      </c>
      <c r="I869" s="11">
        <v>46297</v>
      </c>
      <c r="J869" s="12">
        <v>46296</v>
      </c>
      <c r="K869" s="13">
        <f>INDEX(Assumptions!$B$4:$B$23,MATCH(F869,Assumptions!$A$4:$A$23,0))</f>
        <v>1.0869565217391299</v>
      </c>
      <c r="L869" s="14">
        <f t="shared" si="26"/>
        <v>3.7499999999999987</v>
      </c>
      <c r="M869" t="str">
        <f t="shared" si="27"/>
        <v>No</v>
      </c>
    </row>
    <row r="870" spans="1:13" x14ac:dyDescent="0.25">
      <c r="A870">
        <v>338763</v>
      </c>
      <c r="B870" t="s">
        <v>2701</v>
      </c>
      <c r="C870" t="s">
        <v>2702</v>
      </c>
      <c r="D870" t="s">
        <v>6220</v>
      </c>
      <c r="E870">
        <v>2.79</v>
      </c>
      <c r="F870" t="s">
        <v>50</v>
      </c>
      <c r="G870" t="s">
        <v>2545</v>
      </c>
      <c r="H870" t="s">
        <v>2666</v>
      </c>
      <c r="I870" s="11">
        <v>46297</v>
      </c>
      <c r="J870" s="12">
        <v>46296</v>
      </c>
      <c r="K870" s="13">
        <f>INDEX(Assumptions!$B$4:$B$23,MATCH(F870,Assumptions!$A$4:$A$23,0))</f>
        <v>1.0869565217391299</v>
      </c>
      <c r="L870" s="14">
        <f t="shared" si="26"/>
        <v>3.0326086956521725</v>
      </c>
      <c r="M870" t="str">
        <f t="shared" si="27"/>
        <v>No</v>
      </c>
    </row>
    <row r="871" spans="1:13" x14ac:dyDescent="0.25">
      <c r="A871">
        <v>338762</v>
      </c>
      <c r="B871" t="s">
        <v>2704</v>
      </c>
      <c r="C871" t="s">
        <v>2705</v>
      </c>
      <c r="D871" t="s">
        <v>6220</v>
      </c>
      <c r="E871">
        <v>0.99</v>
      </c>
      <c r="F871" t="s">
        <v>50</v>
      </c>
      <c r="G871" t="s">
        <v>2545</v>
      </c>
      <c r="H871" t="s">
        <v>2666</v>
      </c>
      <c r="I871" s="11">
        <v>46297</v>
      </c>
      <c r="J871" s="12">
        <v>46296</v>
      </c>
      <c r="K871" s="13">
        <f>INDEX(Assumptions!$B$4:$B$23,MATCH(F871,Assumptions!$A$4:$A$23,0))</f>
        <v>1.0869565217391299</v>
      </c>
      <c r="L871" s="14">
        <f t="shared" si="26"/>
        <v>1.0760869565217386</v>
      </c>
      <c r="M871" t="str">
        <f t="shared" si="27"/>
        <v>No</v>
      </c>
    </row>
    <row r="872" spans="1:13" x14ac:dyDescent="0.25">
      <c r="A872">
        <v>338761</v>
      </c>
      <c r="B872" t="s">
        <v>2707</v>
      </c>
      <c r="C872" t="s">
        <v>2708</v>
      </c>
      <c r="D872" t="s">
        <v>6220</v>
      </c>
      <c r="E872">
        <v>5.95</v>
      </c>
      <c r="F872" t="s">
        <v>50</v>
      </c>
      <c r="G872" t="s">
        <v>2545</v>
      </c>
      <c r="H872" t="s">
        <v>2666</v>
      </c>
      <c r="I872" s="11">
        <v>46297</v>
      </c>
      <c r="J872" s="12">
        <v>46296</v>
      </c>
      <c r="K872" s="13">
        <f>INDEX(Assumptions!$B$4:$B$23,MATCH(F872,Assumptions!$A$4:$A$23,0))</f>
        <v>1.0869565217391299</v>
      </c>
      <c r="L872" s="14">
        <f t="shared" si="26"/>
        <v>6.4673913043478235</v>
      </c>
      <c r="M872" t="str">
        <f t="shared" si="27"/>
        <v>No</v>
      </c>
    </row>
    <row r="873" spans="1:13" x14ac:dyDescent="0.25">
      <c r="A873">
        <v>338760</v>
      </c>
      <c r="B873" t="s">
        <v>2711</v>
      </c>
      <c r="C873" t="s">
        <v>2712</v>
      </c>
      <c r="D873" t="s">
        <v>6220</v>
      </c>
      <c r="E873">
        <v>2.4900000000000002</v>
      </c>
      <c r="F873" t="s">
        <v>50</v>
      </c>
      <c r="G873" t="s">
        <v>2545</v>
      </c>
      <c r="H873" t="s">
        <v>2666</v>
      </c>
      <c r="I873" s="11">
        <v>46297</v>
      </c>
      <c r="J873" s="12">
        <v>46296</v>
      </c>
      <c r="K873" s="13">
        <f>INDEX(Assumptions!$B$4:$B$23,MATCH(F873,Assumptions!$A$4:$A$23,0))</f>
        <v>1.0869565217391299</v>
      </c>
      <c r="L873" s="14">
        <f t="shared" si="26"/>
        <v>2.7065217391304337</v>
      </c>
      <c r="M873" t="str">
        <f t="shared" si="27"/>
        <v>No</v>
      </c>
    </row>
    <row r="874" spans="1:13" x14ac:dyDescent="0.25">
      <c r="A874">
        <v>338759</v>
      </c>
      <c r="B874" t="s">
        <v>2714</v>
      </c>
      <c r="C874" t="s">
        <v>2715</v>
      </c>
      <c r="D874" t="s">
        <v>6220</v>
      </c>
      <c r="E874">
        <v>2.09</v>
      </c>
      <c r="F874" t="s">
        <v>50</v>
      </c>
      <c r="G874" t="s">
        <v>2545</v>
      </c>
      <c r="H874" t="s">
        <v>2666</v>
      </c>
      <c r="I874" s="11">
        <v>46297</v>
      </c>
      <c r="J874" s="12">
        <v>46296</v>
      </c>
      <c r="K874" s="13">
        <f>INDEX(Assumptions!$B$4:$B$23,MATCH(F874,Assumptions!$A$4:$A$23,0))</f>
        <v>1.0869565217391299</v>
      </c>
      <c r="L874" s="14">
        <f t="shared" si="26"/>
        <v>2.2717391304347814</v>
      </c>
      <c r="M874" t="str">
        <f t="shared" si="27"/>
        <v>No</v>
      </c>
    </row>
    <row r="875" spans="1:13" x14ac:dyDescent="0.25">
      <c r="A875">
        <v>338758</v>
      </c>
      <c r="B875" t="s">
        <v>2717</v>
      </c>
      <c r="C875" t="s">
        <v>2718</v>
      </c>
      <c r="D875" t="s">
        <v>6220</v>
      </c>
      <c r="E875">
        <v>2.09</v>
      </c>
      <c r="F875" t="s">
        <v>50</v>
      </c>
      <c r="G875" t="s">
        <v>2545</v>
      </c>
      <c r="H875" t="s">
        <v>2666</v>
      </c>
      <c r="I875" s="11">
        <v>46297</v>
      </c>
      <c r="J875" s="12">
        <v>46296</v>
      </c>
      <c r="K875" s="13">
        <f>INDEX(Assumptions!$B$4:$B$23,MATCH(F875,Assumptions!$A$4:$A$23,0))</f>
        <v>1.0869565217391299</v>
      </c>
      <c r="L875" s="14">
        <f t="shared" si="26"/>
        <v>2.2717391304347814</v>
      </c>
      <c r="M875" t="str">
        <f t="shared" si="27"/>
        <v>No</v>
      </c>
    </row>
    <row r="876" spans="1:13" x14ac:dyDescent="0.25">
      <c r="A876">
        <v>338757</v>
      </c>
      <c r="B876" t="s">
        <v>2720</v>
      </c>
      <c r="C876" t="s">
        <v>2721</v>
      </c>
      <c r="D876" t="s">
        <v>6220</v>
      </c>
      <c r="E876">
        <v>2.39</v>
      </c>
      <c r="F876" t="s">
        <v>50</v>
      </c>
      <c r="G876" t="s">
        <v>2545</v>
      </c>
      <c r="H876" t="s">
        <v>2666</v>
      </c>
      <c r="I876" s="11">
        <v>46297</v>
      </c>
      <c r="J876" s="12">
        <v>46296</v>
      </c>
      <c r="K876" s="13">
        <f>INDEX(Assumptions!$B$4:$B$23,MATCH(F876,Assumptions!$A$4:$A$23,0))</f>
        <v>1.0869565217391299</v>
      </c>
      <c r="L876" s="14">
        <f t="shared" si="26"/>
        <v>2.5978260869565206</v>
      </c>
      <c r="M876" t="str">
        <f t="shared" si="27"/>
        <v>No</v>
      </c>
    </row>
    <row r="877" spans="1:13" x14ac:dyDescent="0.25">
      <c r="A877">
        <v>338756</v>
      </c>
      <c r="B877" t="s">
        <v>2723</v>
      </c>
      <c r="C877" t="s">
        <v>2724</v>
      </c>
      <c r="D877" t="s">
        <v>6220</v>
      </c>
      <c r="E877">
        <v>2.8</v>
      </c>
      <c r="F877" t="s">
        <v>50</v>
      </c>
      <c r="G877" t="s">
        <v>2545</v>
      </c>
      <c r="H877" t="s">
        <v>2666</v>
      </c>
      <c r="I877" s="11">
        <v>46297</v>
      </c>
      <c r="J877" s="12">
        <v>46296</v>
      </c>
      <c r="K877" s="13">
        <f>INDEX(Assumptions!$B$4:$B$23,MATCH(F877,Assumptions!$A$4:$A$23,0))</f>
        <v>1.0869565217391299</v>
      </c>
      <c r="L877" s="14">
        <f t="shared" si="26"/>
        <v>3.0434782608695636</v>
      </c>
      <c r="M877" t="str">
        <f t="shared" si="27"/>
        <v>No</v>
      </c>
    </row>
    <row r="878" spans="1:13" x14ac:dyDescent="0.25">
      <c r="A878">
        <v>338755</v>
      </c>
      <c r="B878" t="s">
        <v>2727</v>
      </c>
      <c r="C878" t="s">
        <v>2728</v>
      </c>
      <c r="D878" t="s">
        <v>6220</v>
      </c>
      <c r="E878">
        <v>2.39</v>
      </c>
      <c r="F878" t="s">
        <v>50</v>
      </c>
      <c r="G878" t="s">
        <v>2545</v>
      </c>
      <c r="H878" t="s">
        <v>2666</v>
      </c>
      <c r="I878" s="11">
        <v>46297</v>
      </c>
      <c r="J878" s="12">
        <v>46296</v>
      </c>
      <c r="K878" s="13">
        <f>INDEX(Assumptions!$B$4:$B$23,MATCH(F878,Assumptions!$A$4:$A$23,0))</f>
        <v>1.0869565217391299</v>
      </c>
      <c r="L878" s="14">
        <f t="shared" si="26"/>
        <v>2.5978260869565206</v>
      </c>
      <c r="M878" t="str">
        <f t="shared" si="27"/>
        <v>No</v>
      </c>
    </row>
    <row r="879" spans="1:13" x14ac:dyDescent="0.25">
      <c r="A879">
        <v>338754</v>
      </c>
      <c r="B879" t="s">
        <v>2730</v>
      </c>
      <c r="C879" t="s">
        <v>2731</v>
      </c>
      <c r="D879" t="s">
        <v>6220</v>
      </c>
      <c r="E879">
        <v>1.79</v>
      </c>
      <c r="F879" t="s">
        <v>50</v>
      </c>
      <c r="G879" t="s">
        <v>2545</v>
      </c>
      <c r="H879" t="s">
        <v>2666</v>
      </c>
      <c r="I879" s="11">
        <v>46297</v>
      </c>
      <c r="J879" s="12">
        <v>46296</v>
      </c>
      <c r="K879" s="13">
        <f>INDEX(Assumptions!$B$4:$B$23,MATCH(F879,Assumptions!$A$4:$A$23,0))</f>
        <v>1.0869565217391299</v>
      </c>
      <c r="L879" s="14">
        <f t="shared" si="26"/>
        <v>1.9456521739130426</v>
      </c>
      <c r="M879" t="str">
        <f t="shared" si="27"/>
        <v>No</v>
      </c>
    </row>
    <row r="880" spans="1:13" x14ac:dyDescent="0.25">
      <c r="A880">
        <v>338753</v>
      </c>
      <c r="B880" t="s">
        <v>2733</v>
      </c>
      <c r="C880" t="s">
        <v>2734</v>
      </c>
      <c r="D880" t="s">
        <v>6220</v>
      </c>
      <c r="E880">
        <v>1.89</v>
      </c>
      <c r="F880" t="s">
        <v>50</v>
      </c>
      <c r="G880" t="s">
        <v>2545</v>
      </c>
      <c r="H880" t="s">
        <v>2666</v>
      </c>
      <c r="I880" s="11">
        <v>46297</v>
      </c>
      <c r="J880" s="12">
        <v>46296</v>
      </c>
      <c r="K880" s="13">
        <f>INDEX(Assumptions!$B$4:$B$23,MATCH(F880,Assumptions!$A$4:$A$23,0))</f>
        <v>1.0869565217391299</v>
      </c>
      <c r="L880" s="14">
        <f t="shared" si="26"/>
        <v>2.0543478260869557</v>
      </c>
      <c r="M880" t="str">
        <f t="shared" si="27"/>
        <v>No</v>
      </c>
    </row>
    <row r="881" spans="1:13" x14ac:dyDescent="0.25">
      <c r="A881">
        <v>338752</v>
      </c>
      <c r="B881" t="s">
        <v>2736</v>
      </c>
      <c r="C881" t="s">
        <v>2737</v>
      </c>
      <c r="D881" t="s">
        <v>6220</v>
      </c>
      <c r="E881">
        <v>2.29</v>
      </c>
      <c r="F881" t="s">
        <v>50</v>
      </c>
      <c r="G881" t="s">
        <v>2545</v>
      </c>
      <c r="H881" t="s">
        <v>2666</v>
      </c>
      <c r="I881" s="11">
        <v>46297</v>
      </c>
      <c r="J881" s="12">
        <v>46296</v>
      </c>
      <c r="K881" s="13">
        <f>INDEX(Assumptions!$B$4:$B$23,MATCH(F881,Assumptions!$A$4:$A$23,0))</f>
        <v>1.0869565217391299</v>
      </c>
      <c r="L881" s="14">
        <f t="shared" si="26"/>
        <v>2.4891304347826075</v>
      </c>
      <c r="M881" t="str">
        <f t="shared" si="27"/>
        <v>No</v>
      </c>
    </row>
    <row r="882" spans="1:13" x14ac:dyDescent="0.25">
      <c r="A882">
        <v>338751</v>
      </c>
      <c r="B882" t="s">
        <v>2739</v>
      </c>
      <c r="C882" t="s">
        <v>2740</v>
      </c>
      <c r="D882" t="s">
        <v>6220</v>
      </c>
      <c r="E882">
        <v>3.15</v>
      </c>
      <c r="F882" t="s">
        <v>50</v>
      </c>
      <c r="G882" t="s">
        <v>2545</v>
      </c>
      <c r="H882" t="s">
        <v>2666</v>
      </c>
      <c r="I882" s="11">
        <v>46297</v>
      </c>
      <c r="J882" s="12">
        <v>46296</v>
      </c>
      <c r="K882" s="13">
        <f>INDEX(Assumptions!$B$4:$B$23,MATCH(F882,Assumptions!$A$4:$A$23,0))</f>
        <v>1.0869565217391299</v>
      </c>
      <c r="L882" s="14">
        <f t="shared" si="26"/>
        <v>3.423913043478259</v>
      </c>
      <c r="M882" t="str">
        <f t="shared" si="27"/>
        <v>No</v>
      </c>
    </row>
    <row r="883" spans="1:13" x14ac:dyDescent="0.25">
      <c r="A883">
        <v>338750</v>
      </c>
      <c r="B883" t="s">
        <v>2742</v>
      </c>
      <c r="C883" t="s">
        <v>2743</v>
      </c>
      <c r="D883" t="s">
        <v>6220</v>
      </c>
      <c r="E883">
        <v>5.19</v>
      </c>
      <c r="F883" t="s">
        <v>50</v>
      </c>
      <c r="G883" t="s">
        <v>2545</v>
      </c>
      <c r="H883" t="s">
        <v>2666</v>
      </c>
      <c r="I883" s="11">
        <v>46297</v>
      </c>
      <c r="J883" s="12">
        <v>46296</v>
      </c>
      <c r="K883" s="13">
        <f>INDEX(Assumptions!$B$4:$B$23,MATCH(F883,Assumptions!$A$4:$A$23,0))</f>
        <v>1.0869565217391299</v>
      </c>
      <c r="L883" s="14">
        <f t="shared" si="26"/>
        <v>5.6413043478260851</v>
      </c>
      <c r="M883" t="str">
        <f t="shared" si="27"/>
        <v>No</v>
      </c>
    </row>
    <row r="884" spans="1:13" x14ac:dyDescent="0.25">
      <c r="A884">
        <v>338749</v>
      </c>
      <c r="B884" t="s">
        <v>2746</v>
      </c>
      <c r="C884" t="s">
        <v>2747</v>
      </c>
      <c r="D884" t="s">
        <v>6220</v>
      </c>
      <c r="E884">
        <v>1.75</v>
      </c>
      <c r="F884" t="s">
        <v>50</v>
      </c>
      <c r="G884" t="s">
        <v>2545</v>
      </c>
      <c r="H884" t="s">
        <v>2666</v>
      </c>
      <c r="I884" s="11">
        <v>46297</v>
      </c>
      <c r="J884" s="12">
        <v>46296</v>
      </c>
      <c r="K884" s="13">
        <f>INDEX(Assumptions!$B$4:$B$23,MATCH(F884,Assumptions!$A$4:$A$23,0))</f>
        <v>1.0869565217391299</v>
      </c>
      <c r="L884" s="14">
        <f t="shared" si="26"/>
        <v>1.9021739130434774</v>
      </c>
      <c r="M884" t="str">
        <f t="shared" si="27"/>
        <v>No</v>
      </c>
    </row>
    <row r="885" spans="1:13" x14ac:dyDescent="0.25">
      <c r="A885">
        <v>338748</v>
      </c>
      <c r="B885" t="s">
        <v>2749</v>
      </c>
      <c r="C885" t="s">
        <v>2750</v>
      </c>
      <c r="D885" t="s">
        <v>6220</v>
      </c>
      <c r="E885">
        <v>2.75</v>
      </c>
      <c r="F885" t="s">
        <v>50</v>
      </c>
      <c r="G885" t="s">
        <v>2545</v>
      </c>
      <c r="H885" t="s">
        <v>2666</v>
      </c>
      <c r="I885" s="11">
        <v>46297</v>
      </c>
      <c r="J885" s="12">
        <v>46296</v>
      </c>
      <c r="K885" s="13">
        <f>INDEX(Assumptions!$B$4:$B$23,MATCH(F885,Assumptions!$A$4:$A$23,0))</f>
        <v>1.0869565217391299</v>
      </c>
      <c r="L885" s="14">
        <f t="shared" si="26"/>
        <v>2.9891304347826075</v>
      </c>
      <c r="M885" t="str">
        <f t="shared" si="27"/>
        <v>No</v>
      </c>
    </row>
    <row r="886" spans="1:13" x14ac:dyDescent="0.25">
      <c r="A886">
        <v>338747</v>
      </c>
      <c r="B886" t="s">
        <v>2752</v>
      </c>
      <c r="C886" t="s">
        <v>2753</v>
      </c>
      <c r="D886" t="s">
        <v>6220</v>
      </c>
      <c r="E886">
        <v>3.59</v>
      </c>
      <c r="F886" t="s">
        <v>50</v>
      </c>
      <c r="G886" t="s">
        <v>2545</v>
      </c>
      <c r="H886" t="s">
        <v>2666</v>
      </c>
      <c r="I886" s="11">
        <v>46297</v>
      </c>
      <c r="J886" s="12">
        <v>46296</v>
      </c>
      <c r="K886" s="13">
        <f>INDEX(Assumptions!$B$4:$B$23,MATCH(F886,Assumptions!$A$4:$A$23,0))</f>
        <v>1.0869565217391299</v>
      </c>
      <c r="L886" s="14">
        <f t="shared" si="26"/>
        <v>3.9021739130434763</v>
      </c>
      <c r="M886" t="str">
        <f t="shared" si="27"/>
        <v>No</v>
      </c>
    </row>
    <row r="887" spans="1:13" x14ac:dyDescent="0.25">
      <c r="A887">
        <v>338746</v>
      </c>
      <c r="B887" t="s">
        <v>2755</v>
      </c>
      <c r="C887" t="s">
        <v>2756</v>
      </c>
      <c r="D887" t="s">
        <v>6220</v>
      </c>
      <c r="E887">
        <v>2.75</v>
      </c>
      <c r="F887" t="s">
        <v>50</v>
      </c>
      <c r="G887" t="s">
        <v>2545</v>
      </c>
      <c r="H887" t="s">
        <v>2666</v>
      </c>
      <c r="I887" s="11">
        <v>46297</v>
      </c>
      <c r="J887" s="12">
        <v>46296</v>
      </c>
      <c r="K887" s="13">
        <f>INDEX(Assumptions!$B$4:$B$23,MATCH(F887,Assumptions!$A$4:$A$23,0))</f>
        <v>1.0869565217391299</v>
      </c>
      <c r="L887" s="14">
        <f t="shared" si="26"/>
        <v>2.9891304347826075</v>
      </c>
      <c r="M887" t="str">
        <f t="shared" si="27"/>
        <v>No</v>
      </c>
    </row>
    <row r="888" spans="1:13" x14ac:dyDescent="0.25">
      <c r="A888">
        <v>338745</v>
      </c>
      <c r="B888" t="s">
        <v>2758</v>
      </c>
      <c r="C888" t="s">
        <v>2759</v>
      </c>
      <c r="D888" t="s">
        <v>6220</v>
      </c>
      <c r="E888">
        <v>1.99</v>
      </c>
      <c r="F888" t="s">
        <v>50</v>
      </c>
      <c r="G888" t="s">
        <v>2545</v>
      </c>
      <c r="H888" t="s">
        <v>2666</v>
      </c>
      <c r="I888" s="11">
        <v>46297</v>
      </c>
      <c r="J888" s="12">
        <v>46296</v>
      </c>
      <c r="K888" s="13">
        <f>INDEX(Assumptions!$B$4:$B$23,MATCH(F888,Assumptions!$A$4:$A$23,0))</f>
        <v>1.0869565217391299</v>
      </c>
      <c r="L888" s="14">
        <f t="shared" si="26"/>
        <v>2.1630434782608687</v>
      </c>
      <c r="M888" t="str">
        <f t="shared" si="27"/>
        <v>No</v>
      </c>
    </row>
    <row r="889" spans="1:13" x14ac:dyDescent="0.25">
      <c r="A889">
        <v>338744</v>
      </c>
      <c r="B889" t="s">
        <v>2761</v>
      </c>
      <c r="C889" t="s">
        <v>2762</v>
      </c>
      <c r="D889" t="s">
        <v>6220</v>
      </c>
      <c r="E889">
        <v>2.0499999999999998</v>
      </c>
      <c r="F889" t="s">
        <v>50</v>
      </c>
      <c r="G889" t="s">
        <v>2545</v>
      </c>
      <c r="H889" t="s">
        <v>2666</v>
      </c>
      <c r="I889" s="11">
        <v>46297</v>
      </c>
      <c r="J889" s="12">
        <v>46296</v>
      </c>
      <c r="K889" s="13">
        <f>INDEX(Assumptions!$B$4:$B$23,MATCH(F889,Assumptions!$A$4:$A$23,0))</f>
        <v>1.0869565217391299</v>
      </c>
      <c r="L889" s="14">
        <f t="shared" si="26"/>
        <v>2.228260869565216</v>
      </c>
      <c r="M889" t="str">
        <f t="shared" si="27"/>
        <v>No</v>
      </c>
    </row>
    <row r="890" spans="1:13" x14ac:dyDescent="0.25">
      <c r="A890">
        <v>338743</v>
      </c>
      <c r="B890" t="s">
        <v>2764</v>
      </c>
      <c r="C890" t="s">
        <v>2765</v>
      </c>
      <c r="D890" t="s">
        <v>6220</v>
      </c>
      <c r="E890">
        <v>3.89</v>
      </c>
      <c r="F890" t="s">
        <v>50</v>
      </c>
      <c r="G890" t="s">
        <v>2545</v>
      </c>
      <c r="H890" t="s">
        <v>2666</v>
      </c>
      <c r="I890" s="11">
        <v>46297</v>
      </c>
      <c r="J890" s="12">
        <v>46296</v>
      </c>
      <c r="K890" s="13">
        <f>INDEX(Assumptions!$B$4:$B$23,MATCH(F890,Assumptions!$A$4:$A$23,0))</f>
        <v>1.0869565217391299</v>
      </c>
      <c r="L890" s="14">
        <f t="shared" si="26"/>
        <v>4.228260869565216</v>
      </c>
      <c r="M890" t="str">
        <f t="shared" si="27"/>
        <v>No</v>
      </c>
    </row>
    <row r="891" spans="1:13" x14ac:dyDescent="0.25">
      <c r="A891">
        <v>338742</v>
      </c>
      <c r="B891" t="s">
        <v>2767</v>
      </c>
      <c r="C891" t="s">
        <v>2768</v>
      </c>
      <c r="D891" t="s">
        <v>6220</v>
      </c>
      <c r="E891">
        <v>2.29</v>
      </c>
      <c r="F891" t="s">
        <v>50</v>
      </c>
      <c r="G891" t="s">
        <v>2545</v>
      </c>
      <c r="H891" t="s">
        <v>2666</v>
      </c>
      <c r="I891" s="11">
        <v>46297</v>
      </c>
      <c r="J891" s="12">
        <v>46296</v>
      </c>
      <c r="K891" s="13">
        <f>INDEX(Assumptions!$B$4:$B$23,MATCH(F891,Assumptions!$A$4:$A$23,0))</f>
        <v>1.0869565217391299</v>
      </c>
      <c r="L891" s="14">
        <f t="shared" si="26"/>
        <v>2.4891304347826075</v>
      </c>
      <c r="M891" t="str">
        <f t="shared" si="27"/>
        <v>No</v>
      </c>
    </row>
    <row r="892" spans="1:13" x14ac:dyDescent="0.25">
      <c r="A892">
        <v>338741</v>
      </c>
      <c r="B892" t="s">
        <v>2770</v>
      </c>
      <c r="C892" t="s">
        <v>2771</v>
      </c>
      <c r="D892" t="s">
        <v>6220</v>
      </c>
      <c r="E892">
        <v>5.99</v>
      </c>
      <c r="F892" t="s">
        <v>50</v>
      </c>
      <c r="G892" t="s">
        <v>2545</v>
      </c>
      <c r="H892" t="s">
        <v>2666</v>
      </c>
      <c r="I892" s="11">
        <v>46297</v>
      </c>
      <c r="J892" s="12">
        <v>46296</v>
      </c>
      <c r="K892" s="13">
        <f>INDEX(Assumptions!$B$4:$B$23,MATCH(F892,Assumptions!$A$4:$A$23,0))</f>
        <v>1.0869565217391299</v>
      </c>
      <c r="L892" s="14">
        <f t="shared" si="26"/>
        <v>6.5108695652173889</v>
      </c>
      <c r="M892" t="str">
        <f t="shared" si="27"/>
        <v>No</v>
      </c>
    </row>
    <row r="893" spans="1:13" x14ac:dyDescent="0.25">
      <c r="A893">
        <v>338740</v>
      </c>
      <c r="B893" t="s">
        <v>2773</v>
      </c>
      <c r="C893" t="s">
        <v>2774</v>
      </c>
      <c r="D893" t="s">
        <v>6220</v>
      </c>
      <c r="E893">
        <v>6.05</v>
      </c>
      <c r="F893" t="s">
        <v>50</v>
      </c>
      <c r="G893" t="s">
        <v>2545</v>
      </c>
      <c r="H893" t="s">
        <v>2666</v>
      </c>
      <c r="I893" s="11">
        <v>46297</v>
      </c>
      <c r="J893" s="12">
        <v>46296</v>
      </c>
      <c r="K893" s="13">
        <f>INDEX(Assumptions!$B$4:$B$23,MATCH(F893,Assumptions!$A$4:$A$23,0))</f>
        <v>1.0869565217391299</v>
      </c>
      <c r="L893" s="14">
        <f t="shared" si="26"/>
        <v>6.5760869565217357</v>
      </c>
      <c r="M893" t="str">
        <f t="shared" si="27"/>
        <v>No</v>
      </c>
    </row>
    <row r="894" spans="1:13" x14ac:dyDescent="0.25">
      <c r="A894">
        <v>338739</v>
      </c>
      <c r="B894" t="s">
        <v>2777</v>
      </c>
      <c r="C894" t="s">
        <v>2778</v>
      </c>
      <c r="D894" t="s">
        <v>6220</v>
      </c>
      <c r="E894">
        <v>2.4500000000000002</v>
      </c>
      <c r="F894" t="s">
        <v>50</v>
      </c>
      <c r="G894" t="s">
        <v>2545</v>
      </c>
      <c r="H894" t="s">
        <v>2666</v>
      </c>
      <c r="I894" s="11">
        <v>46297</v>
      </c>
      <c r="J894" s="12">
        <v>46296</v>
      </c>
      <c r="K894" s="13">
        <f>INDEX(Assumptions!$B$4:$B$23,MATCH(F894,Assumptions!$A$4:$A$23,0))</f>
        <v>1.0869565217391299</v>
      </c>
      <c r="L894" s="14">
        <f t="shared" si="26"/>
        <v>2.6630434782608687</v>
      </c>
      <c r="M894" t="str">
        <f t="shared" si="27"/>
        <v>No</v>
      </c>
    </row>
    <row r="895" spans="1:13" x14ac:dyDescent="0.25">
      <c r="A895">
        <v>338738</v>
      </c>
      <c r="B895" t="s">
        <v>2780</v>
      </c>
      <c r="C895" t="s">
        <v>2781</v>
      </c>
      <c r="D895" t="s">
        <v>6220</v>
      </c>
      <c r="E895">
        <v>2.99</v>
      </c>
      <c r="F895" t="s">
        <v>50</v>
      </c>
      <c r="G895" t="s">
        <v>2545</v>
      </c>
      <c r="H895" t="s">
        <v>2666</v>
      </c>
      <c r="I895" s="11">
        <v>46297</v>
      </c>
      <c r="J895" s="12">
        <v>46296</v>
      </c>
      <c r="K895" s="13">
        <f>INDEX(Assumptions!$B$4:$B$23,MATCH(F895,Assumptions!$A$4:$A$23,0))</f>
        <v>1.0869565217391299</v>
      </c>
      <c r="L895" s="14">
        <f t="shared" si="26"/>
        <v>3.2499999999999987</v>
      </c>
      <c r="M895" t="str">
        <f t="shared" si="27"/>
        <v>No</v>
      </c>
    </row>
    <row r="896" spans="1:13" x14ac:dyDescent="0.25">
      <c r="A896">
        <v>338737</v>
      </c>
      <c r="B896" t="s">
        <v>2783</v>
      </c>
      <c r="C896" t="s">
        <v>2784</v>
      </c>
      <c r="D896" t="s">
        <v>6220</v>
      </c>
      <c r="E896">
        <v>5.99</v>
      </c>
      <c r="F896" t="s">
        <v>50</v>
      </c>
      <c r="G896" t="s">
        <v>2545</v>
      </c>
      <c r="H896" t="s">
        <v>2666</v>
      </c>
      <c r="I896" s="11">
        <v>46297</v>
      </c>
      <c r="J896" s="12">
        <v>46296</v>
      </c>
      <c r="K896" s="13">
        <f>INDEX(Assumptions!$B$4:$B$23,MATCH(F896,Assumptions!$A$4:$A$23,0))</f>
        <v>1.0869565217391299</v>
      </c>
      <c r="L896" s="14">
        <f t="shared" si="26"/>
        <v>6.5108695652173889</v>
      </c>
      <c r="M896" t="str">
        <f t="shared" si="27"/>
        <v>No</v>
      </c>
    </row>
    <row r="897" spans="1:13" x14ac:dyDescent="0.25">
      <c r="A897">
        <v>338736</v>
      </c>
      <c r="B897" t="s">
        <v>2786</v>
      </c>
      <c r="C897" t="s">
        <v>2787</v>
      </c>
      <c r="D897" t="s">
        <v>6220</v>
      </c>
      <c r="E897">
        <v>1.59</v>
      </c>
      <c r="F897" t="s">
        <v>50</v>
      </c>
      <c r="G897" t="s">
        <v>2545</v>
      </c>
      <c r="H897" t="s">
        <v>2666</v>
      </c>
      <c r="I897" s="11">
        <v>46297</v>
      </c>
      <c r="J897" s="12">
        <v>46296</v>
      </c>
      <c r="K897" s="13">
        <f>INDEX(Assumptions!$B$4:$B$23,MATCH(F897,Assumptions!$A$4:$A$23,0))</f>
        <v>1.0869565217391299</v>
      </c>
      <c r="L897" s="14">
        <f t="shared" si="26"/>
        <v>1.7282608695652166</v>
      </c>
      <c r="M897" t="str">
        <f t="shared" si="27"/>
        <v>No</v>
      </c>
    </row>
    <row r="898" spans="1:13" x14ac:dyDescent="0.25">
      <c r="A898">
        <v>338735</v>
      </c>
      <c r="B898" t="s">
        <v>2789</v>
      </c>
      <c r="C898" t="s">
        <v>2790</v>
      </c>
      <c r="D898" t="s">
        <v>6220</v>
      </c>
      <c r="E898">
        <v>2.69</v>
      </c>
      <c r="F898" t="s">
        <v>50</v>
      </c>
      <c r="G898" t="s">
        <v>2545</v>
      </c>
      <c r="H898" t="s">
        <v>2666</v>
      </c>
      <c r="I898" s="11">
        <v>46297</v>
      </c>
      <c r="J898" s="12">
        <v>46296</v>
      </c>
      <c r="K898" s="13">
        <f>INDEX(Assumptions!$B$4:$B$23,MATCH(F898,Assumptions!$A$4:$A$23,0))</f>
        <v>1.0869565217391299</v>
      </c>
      <c r="L898" s="14">
        <f t="shared" ref="L898:L961" si="28">E898*K898</f>
        <v>2.9239130434782594</v>
      </c>
      <c r="M898" t="str">
        <f t="shared" ref="M898:M961" si="29">IF(C898="Unnamed product","Yes","No")</f>
        <v>No</v>
      </c>
    </row>
    <row r="899" spans="1:13" x14ac:dyDescent="0.25">
      <c r="A899">
        <v>338734</v>
      </c>
      <c r="B899" t="s">
        <v>2792</v>
      </c>
      <c r="C899" t="s">
        <v>2793</v>
      </c>
      <c r="D899" t="s">
        <v>6220</v>
      </c>
      <c r="E899">
        <v>2.09</v>
      </c>
      <c r="F899" t="s">
        <v>50</v>
      </c>
      <c r="G899" t="s">
        <v>2545</v>
      </c>
      <c r="H899" t="s">
        <v>2666</v>
      </c>
      <c r="I899" s="11">
        <v>46297</v>
      </c>
      <c r="J899" s="12">
        <v>46296</v>
      </c>
      <c r="K899" s="13">
        <f>INDEX(Assumptions!$B$4:$B$23,MATCH(F899,Assumptions!$A$4:$A$23,0))</f>
        <v>1.0869565217391299</v>
      </c>
      <c r="L899" s="14">
        <f t="shared" si="28"/>
        <v>2.2717391304347814</v>
      </c>
      <c r="M899" t="str">
        <f t="shared" si="29"/>
        <v>No</v>
      </c>
    </row>
    <row r="900" spans="1:13" x14ac:dyDescent="0.25">
      <c r="A900">
        <v>338733</v>
      </c>
      <c r="B900" t="s">
        <v>2795</v>
      </c>
      <c r="C900" t="s">
        <v>2796</v>
      </c>
      <c r="D900" t="s">
        <v>6220</v>
      </c>
      <c r="E900">
        <v>1.69</v>
      </c>
      <c r="F900" t="s">
        <v>50</v>
      </c>
      <c r="G900" t="s">
        <v>2545</v>
      </c>
      <c r="H900" t="s">
        <v>2666</v>
      </c>
      <c r="I900" s="11">
        <v>46297</v>
      </c>
      <c r="J900" s="12">
        <v>46296</v>
      </c>
      <c r="K900" s="13">
        <f>INDEX(Assumptions!$B$4:$B$23,MATCH(F900,Assumptions!$A$4:$A$23,0))</f>
        <v>1.0869565217391299</v>
      </c>
      <c r="L900" s="14">
        <f t="shared" si="28"/>
        <v>1.8369565217391295</v>
      </c>
      <c r="M900" t="str">
        <f t="shared" si="29"/>
        <v>No</v>
      </c>
    </row>
    <row r="901" spans="1:13" x14ac:dyDescent="0.25">
      <c r="A901">
        <v>338732</v>
      </c>
      <c r="B901" t="s">
        <v>2798</v>
      </c>
      <c r="C901" t="s">
        <v>2799</v>
      </c>
      <c r="D901" t="s">
        <v>6220</v>
      </c>
      <c r="E901">
        <v>2.65</v>
      </c>
      <c r="F901" t="s">
        <v>50</v>
      </c>
      <c r="G901" t="s">
        <v>2545</v>
      </c>
      <c r="H901" t="s">
        <v>2666</v>
      </c>
      <c r="I901" s="11">
        <v>46297</v>
      </c>
      <c r="J901" s="12">
        <v>46296</v>
      </c>
      <c r="K901" s="13">
        <f>INDEX(Assumptions!$B$4:$B$23,MATCH(F901,Assumptions!$A$4:$A$23,0))</f>
        <v>1.0869565217391299</v>
      </c>
      <c r="L901" s="14">
        <f t="shared" si="28"/>
        <v>2.880434782608694</v>
      </c>
      <c r="M901" t="str">
        <f t="shared" si="29"/>
        <v>No</v>
      </c>
    </row>
    <row r="902" spans="1:13" x14ac:dyDescent="0.25">
      <c r="A902">
        <v>338731</v>
      </c>
      <c r="B902" t="s">
        <v>2801</v>
      </c>
      <c r="C902" t="s">
        <v>2802</v>
      </c>
      <c r="D902" t="s">
        <v>6220</v>
      </c>
      <c r="E902">
        <v>2.39</v>
      </c>
      <c r="F902" t="s">
        <v>50</v>
      </c>
      <c r="G902" t="s">
        <v>2545</v>
      </c>
      <c r="H902" t="s">
        <v>2666</v>
      </c>
      <c r="I902" s="11">
        <v>46297</v>
      </c>
      <c r="J902" s="12">
        <v>46296</v>
      </c>
      <c r="K902" s="13">
        <f>INDEX(Assumptions!$B$4:$B$23,MATCH(F902,Assumptions!$A$4:$A$23,0))</f>
        <v>1.0869565217391299</v>
      </c>
      <c r="L902" s="14">
        <f t="shared" si="28"/>
        <v>2.5978260869565206</v>
      </c>
      <c r="M902" t="str">
        <f t="shared" si="29"/>
        <v>No</v>
      </c>
    </row>
    <row r="903" spans="1:13" x14ac:dyDescent="0.25">
      <c r="A903">
        <v>338730</v>
      </c>
      <c r="B903" t="s">
        <v>2804</v>
      </c>
      <c r="C903" t="s">
        <v>2805</v>
      </c>
      <c r="D903" t="s">
        <v>6220</v>
      </c>
      <c r="E903">
        <v>3.29</v>
      </c>
      <c r="F903" t="s">
        <v>50</v>
      </c>
      <c r="G903" t="s">
        <v>2545</v>
      </c>
      <c r="H903" t="s">
        <v>2666</v>
      </c>
      <c r="I903" s="11">
        <v>46297</v>
      </c>
      <c r="J903" s="12">
        <v>46296</v>
      </c>
      <c r="K903" s="13">
        <f>INDEX(Assumptions!$B$4:$B$23,MATCH(F903,Assumptions!$A$4:$A$23,0))</f>
        <v>1.0869565217391299</v>
      </c>
      <c r="L903" s="14">
        <f t="shared" si="28"/>
        <v>3.5760869565217375</v>
      </c>
      <c r="M903" t="str">
        <f t="shared" si="29"/>
        <v>No</v>
      </c>
    </row>
    <row r="904" spans="1:13" x14ac:dyDescent="0.25">
      <c r="A904">
        <v>338729</v>
      </c>
      <c r="B904" t="s">
        <v>2807</v>
      </c>
      <c r="C904" t="s">
        <v>2808</v>
      </c>
      <c r="D904" t="s">
        <v>6220</v>
      </c>
      <c r="E904">
        <v>2.95</v>
      </c>
      <c r="F904" t="s">
        <v>50</v>
      </c>
      <c r="G904" t="s">
        <v>2545</v>
      </c>
      <c r="H904" t="s">
        <v>2666</v>
      </c>
      <c r="I904" s="11">
        <v>46297</v>
      </c>
      <c r="J904" s="12">
        <v>46296</v>
      </c>
      <c r="K904" s="13">
        <f>INDEX(Assumptions!$B$4:$B$23,MATCH(F904,Assumptions!$A$4:$A$23,0))</f>
        <v>1.0869565217391299</v>
      </c>
      <c r="L904" s="14">
        <f t="shared" si="28"/>
        <v>3.2065217391304337</v>
      </c>
      <c r="M904" t="str">
        <f t="shared" si="29"/>
        <v>No</v>
      </c>
    </row>
    <row r="905" spans="1:13" x14ac:dyDescent="0.25">
      <c r="A905">
        <v>338728</v>
      </c>
      <c r="B905" t="s">
        <v>2810</v>
      </c>
      <c r="C905" t="s">
        <v>2811</v>
      </c>
      <c r="D905" t="s">
        <v>6220</v>
      </c>
      <c r="E905">
        <v>2.75</v>
      </c>
      <c r="F905" t="s">
        <v>50</v>
      </c>
      <c r="G905" t="s">
        <v>2545</v>
      </c>
      <c r="H905" t="s">
        <v>2666</v>
      </c>
      <c r="I905" s="11">
        <v>46297</v>
      </c>
      <c r="J905" s="12">
        <v>46296</v>
      </c>
      <c r="K905" s="13">
        <f>INDEX(Assumptions!$B$4:$B$23,MATCH(F905,Assumptions!$A$4:$A$23,0))</f>
        <v>1.0869565217391299</v>
      </c>
      <c r="L905" s="14">
        <f t="shared" si="28"/>
        <v>2.9891304347826075</v>
      </c>
      <c r="M905" t="str">
        <f t="shared" si="29"/>
        <v>No</v>
      </c>
    </row>
    <row r="906" spans="1:13" x14ac:dyDescent="0.25">
      <c r="A906">
        <v>338727</v>
      </c>
      <c r="B906" t="s">
        <v>2813</v>
      </c>
      <c r="C906" t="s">
        <v>2814</v>
      </c>
      <c r="D906" t="s">
        <v>6220</v>
      </c>
      <c r="E906">
        <v>3.39</v>
      </c>
      <c r="F906" t="s">
        <v>50</v>
      </c>
      <c r="G906" t="s">
        <v>2545</v>
      </c>
      <c r="H906" t="s">
        <v>2666</v>
      </c>
      <c r="I906" s="11">
        <v>46297</v>
      </c>
      <c r="J906" s="12">
        <v>46296</v>
      </c>
      <c r="K906" s="13">
        <f>INDEX(Assumptions!$B$4:$B$23,MATCH(F906,Assumptions!$A$4:$A$23,0))</f>
        <v>1.0869565217391299</v>
      </c>
      <c r="L906" s="14">
        <f t="shared" si="28"/>
        <v>3.6847826086956506</v>
      </c>
      <c r="M906" t="str">
        <f t="shared" si="29"/>
        <v>No</v>
      </c>
    </row>
    <row r="907" spans="1:13" x14ac:dyDescent="0.25">
      <c r="A907">
        <v>338726</v>
      </c>
      <c r="B907" t="s">
        <v>2816</v>
      </c>
      <c r="C907" t="s">
        <v>2817</v>
      </c>
      <c r="D907" t="s">
        <v>6220</v>
      </c>
      <c r="E907">
        <v>4.3899999999999997</v>
      </c>
      <c r="F907" t="s">
        <v>50</v>
      </c>
      <c r="G907" t="s">
        <v>2545</v>
      </c>
      <c r="H907" t="s">
        <v>2666</v>
      </c>
      <c r="I907" s="11">
        <v>46297</v>
      </c>
      <c r="J907" s="12">
        <v>46296</v>
      </c>
      <c r="K907" s="13">
        <f>INDEX(Assumptions!$B$4:$B$23,MATCH(F907,Assumptions!$A$4:$A$23,0))</f>
        <v>1.0869565217391299</v>
      </c>
      <c r="L907" s="14">
        <f t="shared" si="28"/>
        <v>4.7717391304347805</v>
      </c>
      <c r="M907" t="str">
        <f t="shared" si="29"/>
        <v>No</v>
      </c>
    </row>
    <row r="908" spans="1:13" x14ac:dyDescent="0.25">
      <c r="A908">
        <v>338725</v>
      </c>
      <c r="B908" t="s">
        <v>2819</v>
      </c>
      <c r="C908" t="s">
        <v>2820</v>
      </c>
      <c r="D908" t="s">
        <v>6220</v>
      </c>
      <c r="E908">
        <v>1.99</v>
      </c>
      <c r="F908" t="s">
        <v>50</v>
      </c>
      <c r="G908" t="s">
        <v>2545</v>
      </c>
      <c r="H908" t="s">
        <v>2666</v>
      </c>
      <c r="I908" s="11">
        <v>46297</v>
      </c>
      <c r="J908" s="12">
        <v>46296</v>
      </c>
      <c r="K908" s="13">
        <f>INDEX(Assumptions!$B$4:$B$23,MATCH(F908,Assumptions!$A$4:$A$23,0))</f>
        <v>1.0869565217391299</v>
      </c>
      <c r="L908" s="14">
        <f t="shared" si="28"/>
        <v>2.1630434782608687</v>
      </c>
      <c r="M908" t="str">
        <f t="shared" si="29"/>
        <v>No</v>
      </c>
    </row>
    <row r="909" spans="1:13" x14ac:dyDescent="0.25">
      <c r="A909">
        <v>338724</v>
      </c>
      <c r="B909" t="s">
        <v>2822</v>
      </c>
      <c r="C909" t="s">
        <v>2823</v>
      </c>
      <c r="D909" t="s">
        <v>6220</v>
      </c>
      <c r="E909">
        <v>2.59</v>
      </c>
      <c r="F909" t="s">
        <v>50</v>
      </c>
      <c r="G909" t="s">
        <v>2545</v>
      </c>
      <c r="H909" t="s">
        <v>2666</v>
      </c>
      <c r="I909" s="11">
        <v>46297</v>
      </c>
      <c r="J909" s="12">
        <v>46296</v>
      </c>
      <c r="K909" s="13">
        <f>INDEX(Assumptions!$B$4:$B$23,MATCH(F909,Assumptions!$A$4:$A$23,0))</f>
        <v>1.0869565217391299</v>
      </c>
      <c r="L909" s="14">
        <f t="shared" si="28"/>
        <v>2.8152173913043463</v>
      </c>
      <c r="M909" t="str">
        <f t="shared" si="29"/>
        <v>No</v>
      </c>
    </row>
    <row r="910" spans="1:13" x14ac:dyDescent="0.25">
      <c r="A910">
        <v>338723</v>
      </c>
      <c r="B910" t="s">
        <v>2825</v>
      </c>
      <c r="C910" t="s">
        <v>2826</v>
      </c>
      <c r="D910" t="s">
        <v>6220</v>
      </c>
      <c r="E910">
        <v>3.85</v>
      </c>
      <c r="F910" t="s">
        <v>50</v>
      </c>
      <c r="G910" t="s">
        <v>2545</v>
      </c>
      <c r="H910" t="s">
        <v>2666</v>
      </c>
      <c r="I910" s="11">
        <v>46297</v>
      </c>
      <c r="J910" s="12">
        <v>46296</v>
      </c>
      <c r="K910" s="13">
        <f>INDEX(Assumptions!$B$4:$B$23,MATCH(F910,Assumptions!$A$4:$A$23,0))</f>
        <v>1.0869565217391299</v>
      </c>
      <c r="L910" s="14">
        <f t="shared" si="28"/>
        <v>4.1847826086956506</v>
      </c>
      <c r="M910" t="str">
        <f t="shared" si="29"/>
        <v>No</v>
      </c>
    </row>
    <row r="911" spans="1:13" x14ac:dyDescent="0.25">
      <c r="A911">
        <v>338722</v>
      </c>
      <c r="B911" t="s">
        <v>2828</v>
      </c>
      <c r="C911" t="s">
        <v>2829</v>
      </c>
      <c r="D911" t="s">
        <v>6220</v>
      </c>
      <c r="E911">
        <v>2.4900000000000002</v>
      </c>
      <c r="F911" t="s">
        <v>50</v>
      </c>
      <c r="G911" t="s">
        <v>2545</v>
      </c>
      <c r="H911" t="s">
        <v>2666</v>
      </c>
      <c r="I911" s="11">
        <v>46297</v>
      </c>
      <c r="J911" s="12">
        <v>46296</v>
      </c>
      <c r="K911" s="13">
        <f>INDEX(Assumptions!$B$4:$B$23,MATCH(F911,Assumptions!$A$4:$A$23,0))</f>
        <v>1.0869565217391299</v>
      </c>
      <c r="L911" s="14">
        <f t="shared" si="28"/>
        <v>2.7065217391304337</v>
      </c>
      <c r="M911" t="str">
        <f t="shared" si="29"/>
        <v>No</v>
      </c>
    </row>
    <row r="912" spans="1:13" x14ac:dyDescent="0.25">
      <c r="A912">
        <v>338721</v>
      </c>
      <c r="B912" t="s">
        <v>2831</v>
      </c>
      <c r="C912" t="s">
        <v>2832</v>
      </c>
      <c r="D912" t="s">
        <v>6220</v>
      </c>
      <c r="E912">
        <v>1.88</v>
      </c>
      <c r="F912" t="s">
        <v>50</v>
      </c>
      <c r="G912" t="s">
        <v>2545</v>
      </c>
      <c r="H912" t="s">
        <v>2666</v>
      </c>
      <c r="I912" s="11">
        <v>46297</v>
      </c>
      <c r="J912" s="12">
        <v>46296</v>
      </c>
      <c r="K912" s="13">
        <f>INDEX(Assumptions!$B$4:$B$23,MATCH(F912,Assumptions!$A$4:$A$23,0))</f>
        <v>1.0869565217391299</v>
      </c>
      <c r="L912" s="14">
        <f t="shared" si="28"/>
        <v>2.0434782608695641</v>
      </c>
      <c r="M912" t="str">
        <f t="shared" si="29"/>
        <v>No</v>
      </c>
    </row>
    <row r="913" spans="1:13" x14ac:dyDescent="0.25">
      <c r="A913">
        <v>338720</v>
      </c>
      <c r="B913" t="s">
        <v>2834</v>
      </c>
      <c r="C913" t="s">
        <v>2835</v>
      </c>
      <c r="D913" t="s">
        <v>6220</v>
      </c>
      <c r="E913">
        <v>2.15</v>
      </c>
      <c r="F913" t="s">
        <v>50</v>
      </c>
      <c r="G913" t="s">
        <v>2545</v>
      </c>
      <c r="H913" t="s">
        <v>2666</v>
      </c>
      <c r="I913" s="11">
        <v>46297</v>
      </c>
      <c r="J913" s="12">
        <v>46296</v>
      </c>
      <c r="K913" s="13">
        <f>INDEX(Assumptions!$B$4:$B$23,MATCH(F913,Assumptions!$A$4:$A$23,0))</f>
        <v>1.0869565217391299</v>
      </c>
      <c r="L913" s="14">
        <f t="shared" si="28"/>
        <v>2.336956521739129</v>
      </c>
      <c r="M913" t="str">
        <f t="shared" si="29"/>
        <v>No</v>
      </c>
    </row>
    <row r="914" spans="1:13" x14ac:dyDescent="0.25">
      <c r="A914">
        <v>338719</v>
      </c>
      <c r="B914" t="s">
        <v>2837</v>
      </c>
      <c r="C914" t="s">
        <v>2838</v>
      </c>
      <c r="D914" t="s">
        <v>6220</v>
      </c>
      <c r="E914">
        <v>1.69</v>
      </c>
      <c r="F914" t="s">
        <v>50</v>
      </c>
      <c r="G914" t="s">
        <v>2545</v>
      </c>
      <c r="H914" t="s">
        <v>2666</v>
      </c>
      <c r="I914" s="11">
        <v>46297</v>
      </c>
      <c r="J914" s="12">
        <v>46296</v>
      </c>
      <c r="K914" s="13">
        <f>INDEX(Assumptions!$B$4:$B$23,MATCH(F914,Assumptions!$A$4:$A$23,0))</f>
        <v>1.0869565217391299</v>
      </c>
      <c r="L914" s="14">
        <f t="shared" si="28"/>
        <v>1.8369565217391295</v>
      </c>
      <c r="M914" t="str">
        <f t="shared" si="29"/>
        <v>No</v>
      </c>
    </row>
    <row r="915" spans="1:13" x14ac:dyDescent="0.25">
      <c r="A915">
        <v>338718</v>
      </c>
      <c r="B915" t="s">
        <v>2840</v>
      </c>
      <c r="C915" t="s">
        <v>2841</v>
      </c>
      <c r="D915" t="s">
        <v>6220</v>
      </c>
      <c r="E915">
        <v>2.25</v>
      </c>
      <c r="F915" t="s">
        <v>50</v>
      </c>
      <c r="G915" t="s">
        <v>2545</v>
      </c>
      <c r="H915" t="s">
        <v>2666</v>
      </c>
      <c r="I915" s="11">
        <v>46297</v>
      </c>
      <c r="J915" s="12">
        <v>46296</v>
      </c>
      <c r="K915" s="13">
        <f>INDEX(Assumptions!$B$4:$B$23,MATCH(F915,Assumptions!$A$4:$A$23,0))</f>
        <v>1.0869565217391299</v>
      </c>
      <c r="L915" s="14">
        <f t="shared" si="28"/>
        <v>2.4456521739130421</v>
      </c>
      <c r="M915" t="str">
        <f t="shared" si="29"/>
        <v>No</v>
      </c>
    </row>
    <row r="916" spans="1:13" x14ac:dyDescent="0.25">
      <c r="A916">
        <v>338717</v>
      </c>
      <c r="B916" t="s">
        <v>2843</v>
      </c>
      <c r="C916" t="s">
        <v>2844</v>
      </c>
      <c r="D916" t="s">
        <v>6220</v>
      </c>
      <c r="E916">
        <v>3.95</v>
      </c>
      <c r="F916" t="s">
        <v>50</v>
      </c>
      <c r="G916" t="s">
        <v>2545</v>
      </c>
      <c r="H916" t="s">
        <v>2666</v>
      </c>
      <c r="I916" s="11">
        <v>46297</v>
      </c>
      <c r="J916" s="12">
        <v>46296</v>
      </c>
      <c r="K916" s="13">
        <f>INDEX(Assumptions!$B$4:$B$23,MATCH(F916,Assumptions!$A$4:$A$23,0))</f>
        <v>1.0869565217391299</v>
      </c>
      <c r="L916" s="14">
        <f t="shared" si="28"/>
        <v>4.2934782608695636</v>
      </c>
      <c r="M916" t="str">
        <f t="shared" si="29"/>
        <v>No</v>
      </c>
    </row>
    <row r="917" spans="1:13" x14ac:dyDescent="0.25">
      <c r="A917">
        <v>338716</v>
      </c>
      <c r="B917" t="s">
        <v>2846</v>
      </c>
      <c r="C917" t="s">
        <v>2847</v>
      </c>
      <c r="D917" t="s">
        <v>6220</v>
      </c>
      <c r="E917">
        <v>4.99</v>
      </c>
      <c r="F917" t="s">
        <v>50</v>
      </c>
      <c r="G917" t="s">
        <v>2545</v>
      </c>
      <c r="H917" t="s">
        <v>2666</v>
      </c>
      <c r="I917" s="11">
        <v>46297</v>
      </c>
      <c r="J917" s="12">
        <v>46296</v>
      </c>
      <c r="K917" s="13">
        <f>INDEX(Assumptions!$B$4:$B$23,MATCH(F917,Assumptions!$A$4:$A$23,0))</f>
        <v>1.0869565217391299</v>
      </c>
      <c r="L917" s="14">
        <f t="shared" si="28"/>
        <v>5.423913043478259</v>
      </c>
      <c r="M917" t="str">
        <f t="shared" si="29"/>
        <v>No</v>
      </c>
    </row>
    <row r="918" spans="1:13" x14ac:dyDescent="0.25">
      <c r="A918">
        <v>338715</v>
      </c>
      <c r="B918" t="s">
        <v>2849</v>
      </c>
      <c r="C918" t="s">
        <v>2850</v>
      </c>
      <c r="D918" t="s">
        <v>6220</v>
      </c>
      <c r="E918">
        <v>4.59</v>
      </c>
      <c r="F918" t="s">
        <v>50</v>
      </c>
      <c r="G918" t="s">
        <v>2545</v>
      </c>
      <c r="H918" t="s">
        <v>2666</v>
      </c>
      <c r="I918" s="11">
        <v>46297</v>
      </c>
      <c r="J918" s="12">
        <v>46296</v>
      </c>
      <c r="K918" s="13">
        <f>INDEX(Assumptions!$B$4:$B$23,MATCH(F918,Assumptions!$A$4:$A$23,0))</f>
        <v>1.0869565217391299</v>
      </c>
      <c r="L918" s="14">
        <f t="shared" si="28"/>
        <v>4.9891304347826066</v>
      </c>
      <c r="M918" t="str">
        <f t="shared" si="29"/>
        <v>No</v>
      </c>
    </row>
    <row r="919" spans="1:13" x14ac:dyDescent="0.25">
      <c r="A919">
        <v>338714</v>
      </c>
      <c r="B919" t="s">
        <v>2852</v>
      </c>
      <c r="C919" t="s">
        <v>2853</v>
      </c>
      <c r="D919" t="s">
        <v>6220</v>
      </c>
      <c r="E919">
        <v>2.59</v>
      </c>
      <c r="F919" t="s">
        <v>50</v>
      </c>
      <c r="G919" t="s">
        <v>2545</v>
      </c>
      <c r="H919" t="s">
        <v>2666</v>
      </c>
      <c r="I919" s="11">
        <v>46297</v>
      </c>
      <c r="J919" s="12">
        <v>46296</v>
      </c>
      <c r="K919" s="13">
        <f>INDEX(Assumptions!$B$4:$B$23,MATCH(F919,Assumptions!$A$4:$A$23,0))</f>
        <v>1.0869565217391299</v>
      </c>
      <c r="L919" s="14">
        <f t="shared" si="28"/>
        <v>2.8152173913043463</v>
      </c>
      <c r="M919" t="str">
        <f t="shared" si="29"/>
        <v>No</v>
      </c>
    </row>
    <row r="920" spans="1:13" x14ac:dyDescent="0.25">
      <c r="A920">
        <v>338713</v>
      </c>
      <c r="B920" t="s">
        <v>2855</v>
      </c>
      <c r="C920" t="s">
        <v>2856</v>
      </c>
      <c r="D920" t="s">
        <v>6220</v>
      </c>
      <c r="E920">
        <v>2.35</v>
      </c>
      <c r="F920" t="s">
        <v>50</v>
      </c>
      <c r="G920" t="s">
        <v>2545</v>
      </c>
      <c r="H920" t="s">
        <v>2666</v>
      </c>
      <c r="I920" s="11">
        <v>46297</v>
      </c>
      <c r="J920" s="12">
        <v>46296</v>
      </c>
      <c r="K920" s="13">
        <f>INDEX(Assumptions!$B$4:$B$23,MATCH(F920,Assumptions!$A$4:$A$23,0))</f>
        <v>1.0869565217391299</v>
      </c>
      <c r="L920" s="14">
        <f t="shared" si="28"/>
        <v>2.5543478260869557</v>
      </c>
      <c r="M920" t="str">
        <f t="shared" si="29"/>
        <v>No</v>
      </c>
    </row>
    <row r="921" spans="1:13" x14ac:dyDescent="0.25">
      <c r="A921">
        <v>338712</v>
      </c>
      <c r="B921" t="s">
        <v>2858</v>
      </c>
      <c r="C921" t="s">
        <v>2859</v>
      </c>
      <c r="D921" t="s">
        <v>6220</v>
      </c>
      <c r="E921">
        <v>3.89</v>
      </c>
      <c r="F921" t="s">
        <v>50</v>
      </c>
      <c r="G921" t="s">
        <v>2545</v>
      </c>
      <c r="H921" t="s">
        <v>2666</v>
      </c>
      <c r="I921" s="11">
        <v>46297</v>
      </c>
      <c r="J921" s="12">
        <v>46296</v>
      </c>
      <c r="K921" s="13">
        <f>INDEX(Assumptions!$B$4:$B$23,MATCH(F921,Assumptions!$A$4:$A$23,0))</f>
        <v>1.0869565217391299</v>
      </c>
      <c r="L921" s="14">
        <f t="shared" si="28"/>
        <v>4.228260869565216</v>
      </c>
      <c r="M921" t="str">
        <f t="shared" si="29"/>
        <v>No</v>
      </c>
    </row>
    <row r="922" spans="1:13" x14ac:dyDescent="0.25">
      <c r="A922">
        <v>338711</v>
      </c>
      <c r="B922" t="s">
        <v>2861</v>
      </c>
      <c r="C922" t="s">
        <v>2862</v>
      </c>
      <c r="D922" t="s">
        <v>6220</v>
      </c>
      <c r="E922">
        <v>2.79</v>
      </c>
      <c r="F922" t="s">
        <v>50</v>
      </c>
      <c r="G922" t="s">
        <v>2545</v>
      </c>
      <c r="H922" t="s">
        <v>2666</v>
      </c>
      <c r="I922" s="11">
        <v>46297</v>
      </c>
      <c r="J922" s="12">
        <v>46296</v>
      </c>
      <c r="K922" s="13">
        <f>INDEX(Assumptions!$B$4:$B$23,MATCH(F922,Assumptions!$A$4:$A$23,0))</f>
        <v>1.0869565217391299</v>
      </c>
      <c r="L922" s="14">
        <f t="shared" si="28"/>
        <v>3.0326086956521725</v>
      </c>
      <c r="M922" t="str">
        <f t="shared" si="29"/>
        <v>No</v>
      </c>
    </row>
    <row r="923" spans="1:13" x14ac:dyDescent="0.25">
      <c r="A923">
        <v>338710</v>
      </c>
      <c r="B923" t="s">
        <v>2864</v>
      </c>
      <c r="C923" t="s">
        <v>2865</v>
      </c>
      <c r="D923" t="s">
        <v>6220</v>
      </c>
      <c r="E923">
        <v>1.19</v>
      </c>
      <c r="F923" t="s">
        <v>50</v>
      </c>
      <c r="G923" t="s">
        <v>2545</v>
      </c>
      <c r="H923" t="s">
        <v>2666</v>
      </c>
      <c r="I923" s="11">
        <v>46297</v>
      </c>
      <c r="J923" s="12">
        <v>46296</v>
      </c>
      <c r="K923" s="13">
        <f>INDEX(Assumptions!$B$4:$B$23,MATCH(F923,Assumptions!$A$4:$A$23,0))</f>
        <v>1.0869565217391299</v>
      </c>
      <c r="L923" s="14">
        <f t="shared" si="28"/>
        <v>1.2934782608695645</v>
      </c>
      <c r="M923" t="str">
        <f t="shared" si="29"/>
        <v>No</v>
      </c>
    </row>
    <row r="924" spans="1:13" x14ac:dyDescent="0.25">
      <c r="A924">
        <v>338709</v>
      </c>
      <c r="B924" t="s">
        <v>2867</v>
      </c>
      <c r="C924" t="s">
        <v>2868</v>
      </c>
      <c r="D924" t="s">
        <v>6220</v>
      </c>
      <c r="E924">
        <v>19.5</v>
      </c>
      <c r="F924" t="s">
        <v>50</v>
      </c>
      <c r="G924" t="s">
        <v>2545</v>
      </c>
      <c r="H924" t="s">
        <v>2666</v>
      </c>
      <c r="I924" s="11">
        <v>46297</v>
      </c>
      <c r="J924" s="12">
        <v>46296</v>
      </c>
      <c r="K924" s="13">
        <f>INDEX(Assumptions!$B$4:$B$23,MATCH(F924,Assumptions!$A$4:$A$23,0))</f>
        <v>1.0869565217391299</v>
      </c>
      <c r="L924" s="14">
        <f t="shared" si="28"/>
        <v>21.195652173913032</v>
      </c>
      <c r="M924" t="str">
        <f t="shared" si="29"/>
        <v>No</v>
      </c>
    </row>
    <row r="925" spans="1:13" x14ac:dyDescent="0.25">
      <c r="A925">
        <v>338708</v>
      </c>
      <c r="B925" t="s">
        <v>2871</v>
      </c>
      <c r="C925" t="s">
        <v>2872</v>
      </c>
      <c r="D925" t="s">
        <v>6220</v>
      </c>
      <c r="E925">
        <v>8.94</v>
      </c>
      <c r="F925" t="s">
        <v>50</v>
      </c>
      <c r="G925" t="s">
        <v>2545</v>
      </c>
      <c r="H925" t="s">
        <v>2666</v>
      </c>
      <c r="I925" s="11">
        <v>46297</v>
      </c>
      <c r="J925" s="12">
        <v>46296</v>
      </c>
      <c r="K925" s="13">
        <f>INDEX(Assumptions!$B$4:$B$23,MATCH(F925,Assumptions!$A$4:$A$23,0))</f>
        <v>1.0869565217391299</v>
      </c>
      <c r="L925" s="14">
        <f t="shared" si="28"/>
        <v>9.7173913043478208</v>
      </c>
      <c r="M925" t="str">
        <f t="shared" si="29"/>
        <v>No</v>
      </c>
    </row>
    <row r="926" spans="1:13" x14ac:dyDescent="0.25">
      <c r="A926">
        <v>338707</v>
      </c>
      <c r="B926" t="s">
        <v>2875</v>
      </c>
      <c r="C926" t="s">
        <v>2876</v>
      </c>
      <c r="D926" t="s">
        <v>6220</v>
      </c>
      <c r="E926">
        <v>8.35</v>
      </c>
      <c r="F926" t="s">
        <v>50</v>
      </c>
      <c r="G926" t="s">
        <v>2545</v>
      </c>
      <c r="H926" t="s">
        <v>2666</v>
      </c>
      <c r="I926" s="11">
        <v>46297</v>
      </c>
      <c r="J926" s="12">
        <v>46296</v>
      </c>
      <c r="K926" s="13">
        <f>INDEX(Assumptions!$B$4:$B$23,MATCH(F926,Assumptions!$A$4:$A$23,0))</f>
        <v>1.0869565217391299</v>
      </c>
      <c r="L926" s="14">
        <f t="shared" si="28"/>
        <v>9.0760869565217348</v>
      </c>
      <c r="M926" t="str">
        <f t="shared" si="29"/>
        <v>No</v>
      </c>
    </row>
    <row r="927" spans="1:13" x14ac:dyDescent="0.25">
      <c r="A927">
        <v>338706</v>
      </c>
      <c r="B927" t="s">
        <v>2879</v>
      </c>
      <c r="C927" t="s">
        <v>2880</v>
      </c>
      <c r="D927" t="s">
        <v>6220</v>
      </c>
      <c r="E927">
        <v>4.95</v>
      </c>
      <c r="F927" t="s">
        <v>50</v>
      </c>
      <c r="G927" t="s">
        <v>2545</v>
      </c>
      <c r="H927" t="s">
        <v>2666</v>
      </c>
      <c r="I927" s="11">
        <v>46297</v>
      </c>
      <c r="J927" s="12">
        <v>46296</v>
      </c>
      <c r="K927" s="13">
        <f>INDEX(Assumptions!$B$4:$B$23,MATCH(F927,Assumptions!$A$4:$A$23,0))</f>
        <v>1.0869565217391299</v>
      </c>
      <c r="L927" s="14">
        <f t="shared" si="28"/>
        <v>5.3804347826086936</v>
      </c>
      <c r="M927" t="str">
        <f t="shared" si="29"/>
        <v>No</v>
      </c>
    </row>
    <row r="928" spans="1:13" x14ac:dyDescent="0.25">
      <c r="A928">
        <v>338705</v>
      </c>
      <c r="B928" t="s">
        <v>2882</v>
      </c>
      <c r="C928" t="s">
        <v>2883</v>
      </c>
      <c r="D928" t="s">
        <v>6220</v>
      </c>
      <c r="E928">
        <v>1.79</v>
      </c>
      <c r="F928" t="s">
        <v>50</v>
      </c>
      <c r="G928" t="s">
        <v>2545</v>
      </c>
      <c r="H928" t="s">
        <v>2666</v>
      </c>
      <c r="I928" s="11">
        <v>46297</v>
      </c>
      <c r="J928" s="12">
        <v>46296</v>
      </c>
      <c r="K928" s="13">
        <f>INDEX(Assumptions!$B$4:$B$23,MATCH(F928,Assumptions!$A$4:$A$23,0))</f>
        <v>1.0869565217391299</v>
      </c>
      <c r="L928" s="14">
        <f t="shared" si="28"/>
        <v>1.9456521739130426</v>
      </c>
      <c r="M928" t="str">
        <f t="shared" si="29"/>
        <v>No</v>
      </c>
    </row>
    <row r="929" spans="1:13" x14ac:dyDescent="0.25">
      <c r="A929">
        <v>338704</v>
      </c>
      <c r="B929" t="s">
        <v>2885</v>
      </c>
      <c r="C929" t="s">
        <v>2886</v>
      </c>
      <c r="D929" t="s">
        <v>6220</v>
      </c>
      <c r="E929">
        <v>2.09</v>
      </c>
      <c r="F929" t="s">
        <v>50</v>
      </c>
      <c r="G929" t="s">
        <v>2545</v>
      </c>
      <c r="H929" t="s">
        <v>2666</v>
      </c>
      <c r="I929" s="11">
        <v>46297</v>
      </c>
      <c r="J929" s="12">
        <v>46296</v>
      </c>
      <c r="K929" s="13">
        <f>INDEX(Assumptions!$B$4:$B$23,MATCH(F929,Assumptions!$A$4:$A$23,0))</f>
        <v>1.0869565217391299</v>
      </c>
      <c r="L929" s="14">
        <f t="shared" si="28"/>
        <v>2.2717391304347814</v>
      </c>
      <c r="M929" t="str">
        <f t="shared" si="29"/>
        <v>No</v>
      </c>
    </row>
    <row r="930" spans="1:13" x14ac:dyDescent="0.25">
      <c r="A930">
        <v>338703</v>
      </c>
      <c r="B930" t="s">
        <v>2888</v>
      </c>
      <c r="C930" t="s">
        <v>2889</v>
      </c>
      <c r="D930" t="s">
        <v>6220</v>
      </c>
      <c r="E930">
        <v>2.85</v>
      </c>
      <c r="F930" t="s">
        <v>50</v>
      </c>
      <c r="G930" t="s">
        <v>2545</v>
      </c>
      <c r="H930" t="s">
        <v>2666</v>
      </c>
      <c r="I930" s="11">
        <v>46297</v>
      </c>
      <c r="J930" s="12">
        <v>46296</v>
      </c>
      <c r="K930" s="13">
        <f>INDEX(Assumptions!$B$4:$B$23,MATCH(F930,Assumptions!$A$4:$A$23,0))</f>
        <v>1.0869565217391299</v>
      </c>
      <c r="L930" s="14">
        <f t="shared" si="28"/>
        <v>3.0978260869565206</v>
      </c>
      <c r="M930" t="str">
        <f t="shared" si="29"/>
        <v>No</v>
      </c>
    </row>
    <row r="931" spans="1:13" x14ac:dyDescent="0.25">
      <c r="A931">
        <v>338702</v>
      </c>
      <c r="B931" t="s">
        <v>2891</v>
      </c>
      <c r="C931" t="s">
        <v>2892</v>
      </c>
      <c r="D931" t="s">
        <v>6220</v>
      </c>
      <c r="E931">
        <v>3.15</v>
      </c>
      <c r="F931" t="s">
        <v>50</v>
      </c>
      <c r="G931" t="s">
        <v>2545</v>
      </c>
      <c r="H931" t="s">
        <v>2666</v>
      </c>
      <c r="I931" s="11">
        <v>46297</v>
      </c>
      <c r="J931" s="12">
        <v>46296</v>
      </c>
      <c r="K931" s="13">
        <f>INDEX(Assumptions!$B$4:$B$23,MATCH(F931,Assumptions!$A$4:$A$23,0))</f>
        <v>1.0869565217391299</v>
      </c>
      <c r="L931" s="14">
        <f t="shared" si="28"/>
        <v>3.423913043478259</v>
      </c>
      <c r="M931" t="str">
        <f t="shared" si="29"/>
        <v>No</v>
      </c>
    </row>
    <row r="932" spans="1:13" x14ac:dyDescent="0.25">
      <c r="A932">
        <v>338701</v>
      </c>
      <c r="B932" t="s">
        <v>2894</v>
      </c>
      <c r="C932" t="s">
        <v>2895</v>
      </c>
      <c r="D932" t="s">
        <v>6220</v>
      </c>
      <c r="E932">
        <v>1.75</v>
      </c>
      <c r="F932" t="s">
        <v>50</v>
      </c>
      <c r="G932" t="s">
        <v>2545</v>
      </c>
      <c r="H932" t="s">
        <v>2666</v>
      </c>
      <c r="I932" s="11">
        <v>46297</v>
      </c>
      <c r="J932" s="12">
        <v>46296</v>
      </c>
      <c r="K932" s="13">
        <f>INDEX(Assumptions!$B$4:$B$23,MATCH(F932,Assumptions!$A$4:$A$23,0))</f>
        <v>1.0869565217391299</v>
      </c>
      <c r="L932" s="14">
        <f t="shared" si="28"/>
        <v>1.9021739130434774</v>
      </c>
      <c r="M932" t="str">
        <f t="shared" si="29"/>
        <v>No</v>
      </c>
    </row>
    <row r="933" spans="1:13" x14ac:dyDescent="0.25">
      <c r="A933">
        <v>338700</v>
      </c>
      <c r="B933" t="s">
        <v>2897</v>
      </c>
      <c r="C933" t="s">
        <v>2898</v>
      </c>
      <c r="D933" t="s">
        <v>6220</v>
      </c>
      <c r="E933">
        <v>3.89</v>
      </c>
      <c r="F933" t="s">
        <v>50</v>
      </c>
      <c r="G933" t="s">
        <v>2545</v>
      </c>
      <c r="H933" t="s">
        <v>2666</v>
      </c>
      <c r="I933" s="11">
        <v>46297</v>
      </c>
      <c r="J933" s="12">
        <v>46296</v>
      </c>
      <c r="K933" s="13">
        <f>INDEX(Assumptions!$B$4:$B$23,MATCH(F933,Assumptions!$A$4:$A$23,0))</f>
        <v>1.0869565217391299</v>
      </c>
      <c r="L933" s="14">
        <f t="shared" si="28"/>
        <v>4.228260869565216</v>
      </c>
      <c r="M933" t="str">
        <f t="shared" si="29"/>
        <v>No</v>
      </c>
    </row>
    <row r="934" spans="1:13" x14ac:dyDescent="0.25">
      <c r="A934">
        <v>338699</v>
      </c>
      <c r="B934" t="s">
        <v>2900</v>
      </c>
      <c r="C934" t="s">
        <v>2901</v>
      </c>
      <c r="D934" t="s">
        <v>6220</v>
      </c>
      <c r="E934">
        <v>4.3899999999999997</v>
      </c>
      <c r="F934" t="s">
        <v>50</v>
      </c>
      <c r="G934" t="s">
        <v>2545</v>
      </c>
      <c r="H934" t="s">
        <v>2666</v>
      </c>
      <c r="I934" s="11">
        <v>46297</v>
      </c>
      <c r="J934" s="12">
        <v>46296</v>
      </c>
      <c r="K934" s="13">
        <f>INDEX(Assumptions!$B$4:$B$23,MATCH(F934,Assumptions!$A$4:$A$23,0))</f>
        <v>1.0869565217391299</v>
      </c>
      <c r="L934" s="14">
        <f t="shared" si="28"/>
        <v>4.7717391304347805</v>
      </c>
      <c r="M934" t="str">
        <f t="shared" si="29"/>
        <v>No</v>
      </c>
    </row>
    <row r="935" spans="1:13" x14ac:dyDescent="0.25">
      <c r="A935">
        <v>338698</v>
      </c>
      <c r="B935" t="s">
        <v>2903</v>
      </c>
      <c r="C935" t="s">
        <v>2904</v>
      </c>
      <c r="D935" t="s">
        <v>6220</v>
      </c>
      <c r="E935">
        <v>3.05</v>
      </c>
      <c r="F935" t="s">
        <v>50</v>
      </c>
      <c r="G935" t="s">
        <v>2545</v>
      </c>
      <c r="H935" t="s">
        <v>2666</v>
      </c>
      <c r="I935" s="11">
        <v>46297</v>
      </c>
      <c r="J935" s="12">
        <v>46296</v>
      </c>
      <c r="K935" s="13">
        <f>INDEX(Assumptions!$B$4:$B$23,MATCH(F935,Assumptions!$A$4:$A$23,0))</f>
        <v>1.0869565217391299</v>
      </c>
      <c r="L935" s="14">
        <f t="shared" si="28"/>
        <v>3.3152173913043459</v>
      </c>
      <c r="M935" t="str">
        <f t="shared" si="29"/>
        <v>No</v>
      </c>
    </row>
    <row r="936" spans="1:13" x14ac:dyDescent="0.25">
      <c r="A936">
        <v>338697</v>
      </c>
      <c r="B936" t="s">
        <v>2906</v>
      </c>
      <c r="C936" t="s">
        <v>2907</v>
      </c>
      <c r="D936" t="s">
        <v>6220</v>
      </c>
      <c r="E936">
        <v>2.29</v>
      </c>
      <c r="F936" t="s">
        <v>50</v>
      </c>
      <c r="G936" t="s">
        <v>2545</v>
      </c>
      <c r="H936" t="s">
        <v>2666</v>
      </c>
      <c r="I936" s="11">
        <v>46297</v>
      </c>
      <c r="J936" s="12">
        <v>46296</v>
      </c>
      <c r="K936" s="13">
        <f>INDEX(Assumptions!$B$4:$B$23,MATCH(F936,Assumptions!$A$4:$A$23,0))</f>
        <v>1.0869565217391299</v>
      </c>
      <c r="L936" s="14">
        <f t="shared" si="28"/>
        <v>2.4891304347826075</v>
      </c>
      <c r="M936" t="str">
        <f t="shared" si="29"/>
        <v>No</v>
      </c>
    </row>
    <row r="937" spans="1:13" x14ac:dyDescent="0.25">
      <c r="A937">
        <v>338696</v>
      </c>
      <c r="B937" t="s">
        <v>2909</v>
      </c>
      <c r="C937" t="s">
        <v>2910</v>
      </c>
      <c r="D937" t="s">
        <v>6220</v>
      </c>
      <c r="E937">
        <v>2.25</v>
      </c>
      <c r="F937" t="s">
        <v>50</v>
      </c>
      <c r="G937" t="s">
        <v>2545</v>
      </c>
      <c r="H937" t="s">
        <v>2666</v>
      </c>
      <c r="I937" s="11">
        <v>46297</v>
      </c>
      <c r="J937" s="12">
        <v>46296</v>
      </c>
      <c r="K937" s="13">
        <f>INDEX(Assumptions!$B$4:$B$23,MATCH(F937,Assumptions!$A$4:$A$23,0))</f>
        <v>1.0869565217391299</v>
      </c>
      <c r="L937" s="14">
        <f t="shared" si="28"/>
        <v>2.4456521739130421</v>
      </c>
      <c r="M937" t="str">
        <f t="shared" si="29"/>
        <v>No</v>
      </c>
    </row>
    <row r="938" spans="1:13" x14ac:dyDescent="0.25">
      <c r="A938">
        <v>338695</v>
      </c>
      <c r="B938" t="s">
        <v>2912</v>
      </c>
      <c r="C938" t="s">
        <v>2913</v>
      </c>
      <c r="D938" t="s">
        <v>6220</v>
      </c>
      <c r="E938">
        <v>1.85</v>
      </c>
      <c r="F938" t="s">
        <v>50</v>
      </c>
      <c r="G938" t="s">
        <v>2545</v>
      </c>
      <c r="H938" t="s">
        <v>2666</v>
      </c>
      <c r="I938" s="11">
        <v>46297</v>
      </c>
      <c r="J938" s="12">
        <v>46296</v>
      </c>
      <c r="K938" s="13">
        <f>INDEX(Assumptions!$B$4:$B$23,MATCH(F938,Assumptions!$A$4:$A$23,0))</f>
        <v>1.0869565217391299</v>
      </c>
      <c r="L938" s="14">
        <f t="shared" si="28"/>
        <v>2.0108695652173907</v>
      </c>
      <c r="M938" t="str">
        <f t="shared" si="29"/>
        <v>No</v>
      </c>
    </row>
    <row r="939" spans="1:13" x14ac:dyDescent="0.25">
      <c r="A939">
        <v>338694</v>
      </c>
      <c r="B939" t="s">
        <v>2915</v>
      </c>
      <c r="C939" t="s">
        <v>2916</v>
      </c>
      <c r="D939" t="s">
        <v>6220</v>
      </c>
      <c r="E939">
        <v>1.55</v>
      </c>
      <c r="F939" t="s">
        <v>50</v>
      </c>
      <c r="G939" t="s">
        <v>2545</v>
      </c>
      <c r="H939" t="s">
        <v>2666</v>
      </c>
      <c r="I939" s="11">
        <v>46297</v>
      </c>
      <c r="J939" s="12">
        <v>46296</v>
      </c>
      <c r="K939" s="13">
        <f>INDEX(Assumptions!$B$4:$B$23,MATCH(F939,Assumptions!$A$4:$A$23,0))</f>
        <v>1.0869565217391299</v>
      </c>
      <c r="L939" s="14">
        <f t="shared" si="28"/>
        <v>1.6847826086956514</v>
      </c>
      <c r="M939" t="str">
        <f t="shared" si="29"/>
        <v>No</v>
      </c>
    </row>
    <row r="940" spans="1:13" x14ac:dyDescent="0.25">
      <c r="A940">
        <v>338693</v>
      </c>
      <c r="B940" t="s">
        <v>2918</v>
      </c>
      <c r="C940" t="s">
        <v>2919</v>
      </c>
      <c r="D940" t="s">
        <v>6220</v>
      </c>
      <c r="E940">
        <v>2.85</v>
      </c>
      <c r="F940" t="s">
        <v>50</v>
      </c>
      <c r="G940" t="s">
        <v>2545</v>
      </c>
      <c r="H940" t="s">
        <v>2666</v>
      </c>
      <c r="I940" s="11">
        <v>46297</v>
      </c>
      <c r="J940" s="12">
        <v>46296</v>
      </c>
      <c r="K940" s="13">
        <f>INDEX(Assumptions!$B$4:$B$23,MATCH(F940,Assumptions!$A$4:$A$23,0))</f>
        <v>1.0869565217391299</v>
      </c>
      <c r="L940" s="14">
        <f t="shared" si="28"/>
        <v>3.0978260869565206</v>
      </c>
      <c r="M940" t="str">
        <f t="shared" si="29"/>
        <v>No</v>
      </c>
    </row>
    <row r="941" spans="1:13" x14ac:dyDescent="0.25">
      <c r="A941">
        <v>338692</v>
      </c>
      <c r="B941" t="s">
        <v>2921</v>
      </c>
      <c r="C941" t="s">
        <v>2922</v>
      </c>
      <c r="D941" t="s">
        <v>6220</v>
      </c>
      <c r="E941">
        <v>1.1000000000000001</v>
      </c>
      <c r="F941" t="s">
        <v>50</v>
      </c>
      <c r="G941" t="s">
        <v>2545</v>
      </c>
      <c r="H941" t="s">
        <v>2666</v>
      </c>
      <c r="I941" s="11">
        <v>46297</v>
      </c>
      <c r="J941" s="12">
        <v>46296</v>
      </c>
      <c r="K941" s="13">
        <f>INDEX(Assumptions!$B$4:$B$23,MATCH(F941,Assumptions!$A$4:$A$23,0))</f>
        <v>1.0869565217391299</v>
      </c>
      <c r="L941" s="14">
        <f t="shared" si="28"/>
        <v>1.195652173913043</v>
      </c>
      <c r="M941" t="str">
        <f t="shared" si="29"/>
        <v>No</v>
      </c>
    </row>
    <row r="942" spans="1:13" x14ac:dyDescent="0.25">
      <c r="A942">
        <v>338691</v>
      </c>
      <c r="B942" t="s">
        <v>2925</v>
      </c>
      <c r="C942" t="s">
        <v>2926</v>
      </c>
      <c r="D942" t="s">
        <v>6220</v>
      </c>
      <c r="E942">
        <v>2.4900000000000002</v>
      </c>
      <c r="F942" t="s">
        <v>50</v>
      </c>
      <c r="G942" t="s">
        <v>2545</v>
      </c>
      <c r="H942" t="s">
        <v>2666</v>
      </c>
      <c r="I942" s="11">
        <v>46297</v>
      </c>
      <c r="J942" s="12">
        <v>46296</v>
      </c>
      <c r="K942" s="13">
        <f>INDEX(Assumptions!$B$4:$B$23,MATCH(F942,Assumptions!$A$4:$A$23,0))</f>
        <v>1.0869565217391299</v>
      </c>
      <c r="L942" s="14">
        <f t="shared" si="28"/>
        <v>2.7065217391304337</v>
      </c>
      <c r="M942" t="str">
        <f t="shared" si="29"/>
        <v>No</v>
      </c>
    </row>
    <row r="943" spans="1:13" x14ac:dyDescent="0.25">
      <c r="A943">
        <v>338690</v>
      </c>
      <c r="B943" t="s">
        <v>2928</v>
      </c>
      <c r="C943" t="s">
        <v>2929</v>
      </c>
      <c r="D943" t="s">
        <v>6220</v>
      </c>
      <c r="E943">
        <v>10.15</v>
      </c>
      <c r="F943" t="s">
        <v>50</v>
      </c>
      <c r="G943" t="s">
        <v>2545</v>
      </c>
      <c r="H943" t="s">
        <v>2666</v>
      </c>
      <c r="I943" s="11">
        <v>46297</v>
      </c>
      <c r="J943" s="12">
        <v>46296</v>
      </c>
      <c r="K943" s="13">
        <f>INDEX(Assumptions!$B$4:$B$23,MATCH(F943,Assumptions!$A$4:$A$23,0))</f>
        <v>1.0869565217391299</v>
      </c>
      <c r="L943" s="14">
        <f t="shared" si="28"/>
        <v>11.032608695652169</v>
      </c>
      <c r="M943" t="str">
        <f t="shared" si="29"/>
        <v>No</v>
      </c>
    </row>
    <row r="944" spans="1:13" x14ac:dyDescent="0.25">
      <c r="A944">
        <v>338689</v>
      </c>
      <c r="B944" t="s">
        <v>2932</v>
      </c>
      <c r="C944" t="s">
        <v>2933</v>
      </c>
      <c r="D944" t="s">
        <v>6220</v>
      </c>
      <c r="E944">
        <v>5.65</v>
      </c>
      <c r="F944" t="s">
        <v>50</v>
      </c>
      <c r="G944" t="s">
        <v>2545</v>
      </c>
      <c r="H944" t="s">
        <v>2666</v>
      </c>
      <c r="I944" s="11">
        <v>46297</v>
      </c>
      <c r="J944" s="12">
        <v>46296</v>
      </c>
      <c r="K944" s="13">
        <f>INDEX(Assumptions!$B$4:$B$23,MATCH(F944,Assumptions!$A$4:$A$23,0))</f>
        <v>1.0869565217391299</v>
      </c>
      <c r="L944" s="14">
        <f t="shared" si="28"/>
        <v>6.1413043478260843</v>
      </c>
      <c r="M944" t="str">
        <f t="shared" si="29"/>
        <v>No</v>
      </c>
    </row>
    <row r="945" spans="1:13" x14ac:dyDescent="0.25">
      <c r="A945">
        <v>338688</v>
      </c>
      <c r="B945" t="s">
        <v>2936</v>
      </c>
      <c r="C945" t="s">
        <v>2937</v>
      </c>
      <c r="D945" t="s">
        <v>6220</v>
      </c>
      <c r="E945">
        <v>1.69</v>
      </c>
      <c r="F945" t="s">
        <v>50</v>
      </c>
      <c r="G945" t="s">
        <v>2545</v>
      </c>
      <c r="H945" t="s">
        <v>2666</v>
      </c>
      <c r="I945" s="11">
        <v>46297</v>
      </c>
      <c r="J945" s="12">
        <v>46296</v>
      </c>
      <c r="K945" s="13">
        <f>INDEX(Assumptions!$B$4:$B$23,MATCH(F945,Assumptions!$A$4:$A$23,0))</f>
        <v>1.0869565217391299</v>
      </c>
      <c r="L945" s="14">
        <f t="shared" si="28"/>
        <v>1.8369565217391295</v>
      </c>
      <c r="M945" t="str">
        <f t="shared" si="29"/>
        <v>No</v>
      </c>
    </row>
    <row r="946" spans="1:13" x14ac:dyDescent="0.25">
      <c r="A946">
        <v>338687</v>
      </c>
      <c r="B946" t="s">
        <v>2939</v>
      </c>
      <c r="C946" t="s">
        <v>2940</v>
      </c>
      <c r="D946" t="s">
        <v>6220</v>
      </c>
      <c r="E946">
        <v>0.69</v>
      </c>
      <c r="F946" t="s">
        <v>50</v>
      </c>
      <c r="G946" t="s">
        <v>2545</v>
      </c>
      <c r="H946" t="s">
        <v>2666</v>
      </c>
      <c r="I946" s="11">
        <v>46297</v>
      </c>
      <c r="J946" s="12">
        <v>46296</v>
      </c>
      <c r="K946" s="13">
        <f>INDEX(Assumptions!$B$4:$B$23,MATCH(F946,Assumptions!$A$4:$A$23,0))</f>
        <v>1.0869565217391299</v>
      </c>
      <c r="L946" s="14">
        <f t="shared" si="28"/>
        <v>0.74999999999999956</v>
      </c>
      <c r="M946" t="str">
        <f t="shared" si="29"/>
        <v>No</v>
      </c>
    </row>
    <row r="947" spans="1:13" x14ac:dyDescent="0.25">
      <c r="A947">
        <v>338686</v>
      </c>
      <c r="B947" t="s">
        <v>2942</v>
      </c>
      <c r="C947" t="s">
        <v>2943</v>
      </c>
      <c r="D947" t="s">
        <v>6220</v>
      </c>
      <c r="E947">
        <v>1.0900000000000001</v>
      </c>
      <c r="F947" t="s">
        <v>50</v>
      </c>
      <c r="G947" t="s">
        <v>2545</v>
      </c>
      <c r="H947" t="s">
        <v>2666</v>
      </c>
      <c r="I947" s="11">
        <v>46297</v>
      </c>
      <c r="J947" s="12">
        <v>46296</v>
      </c>
      <c r="K947" s="13">
        <f>INDEX(Assumptions!$B$4:$B$23,MATCH(F947,Assumptions!$A$4:$A$23,0))</f>
        <v>1.0869565217391299</v>
      </c>
      <c r="L947" s="14">
        <f t="shared" si="28"/>
        <v>1.1847826086956517</v>
      </c>
      <c r="M947" t="str">
        <f t="shared" si="29"/>
        <v>No</v>
      </c>
    </row>
    <row r="948" spans="1:13" x14ac:dyDescent="0.25">
      <c r="A948">
        <v>338685</v>
      </c>
      <c r="B948" t="s">
        <v>2945</v>
      </c>
      <c r="C948" t="s">
        <v>2946</v>
      </c>
      <c r="D948" t="s">
        <v>6220</v>
      </c>
      <c r="E948">
        <v>1.55</v>
      </c>
      <c r="F948" t="s">
        <v>50</v>
      </c>
      <c r="G948" t="s">
        <v>2545</v>
      </c>
      <c r="H948" t="s">
        <v>2666</v>
      </c>
      <c r="I948" s="11">
        <v>46297</v>
      </c>
      <c r="J948" s="12">
        <v>46296</v>
      </c>
      <c r="K948" s="13">
        <f>INDEX(Assumptions!$B$4:$B$23,MATCH(F948,Assumptions!$A$4:$A$23,0))</f>
        <v>1.0869565217391299</v>
      </c>
      <c r="L948" s="14">
        <f t="shared" si="28"/>
        <v>1.6847826086956514</v>
      </c>
      <c r="M948" t="str">
        <f t="shared" si="29"/>
        <v>No</v>
      </c>
    </row>
    <row r="949" spans="1:13" x14ac:dyDescent="0.25">
      <c r="A949">
        <v>338684</v>
      </c>
      <c r="B949" t="s">
        <v>2948</v>
      </c>
      <c r="C949" t="s">
        <v>2949</v>
      </c>
      <c r="D949" t="s">
        <v>6220</v>
      </c>
      <c r="E949">
        <v>4.49</v>
      </c>
      <c r="F949" t="s">
        <v>50</v>
      </c>
      <c r="G949" t="s">
        <v>2545</v>
      </c>
      <c r="H949" t="s">
        <v>2666</v>
      </c>
      <c r="I949" s="11">
        <v>46297</v>
      </c>
      <c r="J949" s="12">
        <v>46296</v>
      </c>
      <c r="K949" s="13">
        <f>INDEX(Assumptions!$B$4:$B$23,MATCH(F949,Assumptions!$A$4:$A$23,0))</f>
        <v>1.0869565217391299</v>
      </c>
      <c r="L949" s="14">
        <f t="shared" si="28"/>
        <v>4.8804347826086936</v>
      </c>
      <c r="M949" t="str">
        <f t="shared" si="29"/>
        <v>No</v>
      </c>
    </row>
    <row r="950" spans="1:13" x14ac:dyDescent="0.25">
      <c r="A950">
        <v>338683</v>
      </c>
      <c r="B950" t="s">
        <v>2952</v>
      </c>
      <c r="C950" t="s">
        <v>2953</v>
      </c>
      <c r="D950" t="s">
        <v>6220</v>
      </c>
      <c r="E950">
        <v>7.28</v>
      </c>
      <c r="F950" t="s">
        <v>50</v>
      </c>
      <c r="G950" t="s">
        <v>2545</v>
      </c>
      <c r="H950" t="s">
        <v>2666</v>
      </c>
      <c r="I950" s="11">
        <v>46297</v>
      </c>
      <c r="J950" s="12">
        <v>46296</v>
      </c>
      <c r="K950" s="13">
        <f>INDEX(Assumptions!$B$4:$B$23,MATCH(F950,Assumptions!$A$4:$A$23,0))</f>
        <v>1.0869565217391299</v>
      </c>
      <c r="L950" s="14">
        <f t="shared" si="28"/>
        <v>7.9130434782608665</v>
      </c>
      <c r="M950" t="str">
        <f t="shared" si="29"/>
        <v>No</v>
      </c>
    </row>
    <row r="951" spans="1:13" x14ac:dyDescent="0.25">
      <c r="A951">
        <v>338682</v>
      </c>
      <c r="B951" t="s">
        <v>2956</v>
      </c>
      <c r="C951" t="s">
        <v>2957</v>
      </c>
      <c r="D951" t="s">
        <v>6220</v>
      </c>
      <c r="E951">
        <v>2.4900000000000002</v>
      </c>
      <c r="F951" t="s">
        <v>50</v>
      </c>
      <c r="G951" t="s">
        <v>2545</v>
      </c>
      <c r="H951" t="s">
        <v>2666</v>
      </c>
      <c r="I951" s="11">
        <v>46297</v>
      </c>
      <c r="J951" s="12">
        <v>46296</v>
      </c>
      <c r="K951" s="13">
        <f>INDEX(Assumptions!$B$4:$B$23,MATCH(F951,Assumptions!$A$4:$A$23,0))</f>
        <v>1.0869565217391299</v>
      </c>
      <c r="L951" s="14">
        <f t="shared" si="28"/>
        <v>2.7065217391304337</v>
      </c>
      <c r="M951" t="str">
        <f t="shared" si="29"/>
        <v>No</v>
      </c>
    </row>
    <row r="952" spans="1:13" x14ac:dyDescent="0.25">
      <c r="A952">
        <v>338681</v>
      </c>
      <c r="B952" t="s">
        <v>2959</v>
      </c>
      <c r="C952" t="s">
        <v>2960</v>
      </c>
      <c r="D952" t="s">
        <v>6220</v>
      </c>
      <c r="E952">
        <v>6.3</v>
      </c>
      <c r="F952" t="s">
        <v>50</v>
      </c>
      <c r="G952" t="s">
        <v>2545</v>
      </c>
      <c r="H952" t="s">
        <v>2666</v>
      </c>
      <c r="I952" s="11">
        <v>46297</v>
      </c>
      <c r="J952" s="12">
        <v>46296</v>
      </c>
      <c r="K952" s="13">
        <f>INDEX(Assumptions!$B$4:$B$23,MATCH(F952,Assumptions!$A$4:$A$23,0))</f>
        <v>1.0869565217391299</v>
      </c>
      <c r="L952" s="14">
        <f t="shared" si="28"/>
        <v>6.847826086956518</v>
      </c>
      <c r="M952" t="str">
        <f t="shared" si="29"/>
        <v>No</v>
      </c>
    </row>
    <row r="953" spans="1:13" x14ac:dyDescent="0.25">
      <c r="A953">
        <v>338680</v>
      </c>
      <c r="B953" t="s">
        <v>2963</v>
      </c>
      <c r="C953" t="s">
        <v>2964</v>
      </c>
      <c r="D953" t="s">
        <v>6220</v>
      </c>
      <c r="E953">
        <v>21.29</v>
      </c>
      <c r="F953" t="s">
        <v>50</v>
      </c>
      <c r="G953" t="s">
        <v>2545</v>
      </c>
      <c r="H953" t="s">
        <v>2666</v>
      </c>
      <c r="I953" s="11">
        <v>46297</v>
      </c>
      <c r="J953" s="12">
        <v>46296</v>
      </c>
      <c r="K953" s="13">
        <f>INDEX(Assumptions!$B$4:$B$23,MATCH(F953,Assumptions!$A$4:$A$23,0))</f>
        <v>1.0869565217391299</v>
      </c>
      <c r="L953" s="14">
        <f t="shared" si="28"/>
        <v>23.141304347826075</v>
      </c>
      <c r="M953" t="str">
        <f t="shared" si="29"/>
        <v>No</v>
      </c>
    </row>
    <row r="954" spans="1:13" x14ac:dyDescent="0.25">
      <c r="A954">
        <v>338679</v>
      </c>
      <c r="B954" t="s">
        <v>2967</v>
      </c>
      <c r="C954" t="s">
        <v>2968</v>
      </c>
      <c r="D954" t="s">
        <v>6220</v>
      </c>
      <c r="E954">
        <v>16.75</v>
      </c>
      <c r="F954" t="s">
        <v>50</v>
      </c>
      <c r="G954" t="s">
        <v>2545</v>
      </c>
      <c r="H954" t="s">
        <v>2666</v>
      </c>
      <c r="I954" s="11">
        <v>46297</v>
      </c>
      <c r="J954" s="12">
        <v>46296</v>
      </c>
      <c r="K954" s="13">
        <f>INDEX(Assumptions!$B$4:$B$23,MATCH(F954,Assumptions!$A$4:$A$23,0))</f>
        <v>1.0869565217391299</v>
      </c>
      <c r="L954" s="14">
        <f t="shared" si="28"/>
        <v>18.206521739130427</v>
      </c>
      <c r="M954" t="str">
        <f t="shared" si="29"/>
        <v>No</v>
      </c>
    </row>
    <row r="955" spans="1:13" x14ac:dyDescent="0.25">
      <c r="A955">
        <v>338678</v>
      </c>
      <c r="B955" t="s">
        <v>2971</v>
      </c>
      <c r="C955" t="s">
        <v>2972</v>
      </c>
      <c r="D955" t="s">
        <v>6220</v>
      </c>
      <c r="E955">
        <v>12.89</v>
      </c>
      <c r="F955" t="s">
        <v>50</v>
      </c>
      <c r="G955" t="s">
        <v>2545</v>
      </c>
      <c r="H955" t="s">
        <v>2666</v>
      </c>
      <c r="I955" s="11">
        <v>46297</v>
      </c>
      <c r="J955" s="12">
        <v>46296</v>
      </c>
      <c r="K955" s="13">
        <f>INDEX(Assumptions!$B$4:$B$23,MATCH(F955,Assumptions!$A$4:$A$23,0))</f>
        <v>1.0869565217391299</v>
      </c>
      <c r="L955" s="14">
        <f t="shared" si="28"/>
        <v>14.010869565217385</v>
      </c>
      <c r="M955" t="str">
        <f t="shared" si="29"/>
        <v>No</v>
      </c>
    </row>
    <row r="956" spans="1:13" x14ac:dyDescent="0.25">
      <c r="A956">
        <v>338677</v>
      </c>
      <c r="B956" t="s">
        <v>2975</v>
      </c>
      <c r="C956" t="s">
        <v>2976</v>
      </c>
      <c r="D956" t="s">
        <v>6220</v>
      </c>
      <c r="E956">
        <v>2.89</v>
      </c>
      <c r="F956" t="s">
        <v>50</v>
      </c>
      <c r="G956" t="s">
        <v>2545</v>
      </c>
      <c r="H956" t="s">
        <v>2666</v>
      </c>
      <c r="I956" s="11">
        <v>46297</v>
      </c>
      <c r="J956" s="12">
        <v>46296</v>
      </c>
      <c r="K956" s="13">
        <f>INDEX(Assumptions!$B$4:$B$23,MATCH(F956,Assumptions!$A$4:$A$23,0))</f>
        <v>1.0869565217391299</v>
      </c>
      <c r="L956" s="14">
        <f t="shared" si="28"/>
        <v>3.1413043478260856</v>
      </c>
      <c r="M956" t="str">
        <f t="shared" si="29"/>
        <v>No</v>
      </c>
    </row>
    <row r="957" spans="1:13" x14ac:dyDescent="0.25">
      <c r="A957">
        <v>338676</v>
      </c>
      <c r="B957" t="s">
        <v>2978</v>
      </c>
      <c r="C957" t="s">
        <v>2979</v>
      </c>
      <c r="D957" t="s">
        <v>6220</v>
      </c>
      <c r="E957">
        <v>3.1</v>
      </c>
      <c r="F957" t="s">
        <v>50</v>
      </c>
      <c r="G957" t="s">
        <v>2545</v>
      </c>
      <c r="H957" t="s">
        <v>2666</v>
      </c>
      <c r="I957" s="11">
        <v>46297</v>
      </c>
      <c r="J957" s="12">
        <v>46296</v>
      </c>
      <c r="K957" s="13">
        <f>INDEX(Assumptions!$B$4:$B$23,MATCH(F957,Assumptions!$A$4:$A$23,0))</f>
        <v>1.0869565217391299</v>
      </c>
      <c r="L957" s="14">
        <f t="shared" si="28"/>
        <v>3.3695652173913029</v>
      </c>
      <c r="M957" t="str">
        <f t="shared" si="29"/>
        <v>No</v>
      </c>
    </row>
    <row r="958" spans="1:13" x14ac:dyDescent="0.25">
      <c r="A958">
        <v>338675</v>
      </c>
      <c r="B958" t="s">
        <v>2982</v>
      </c>
      <c r="C958" t="s">
        <v>2983</v>
      </c>
      <c r="D958" t="s">
        <v>6220</v>
      </c>
      <c r="E958">
        <v>2.29</v>
      </c>
      <c r="F958" t="s">
        <v>50</v>
      </c>
      <c r="G958" t="s">
        <v>2545</v>
      </c>
      <c r="H958" t="s">
        <v>2666</v>
      </c>
      <c r="I958" s="11">
        <v>46297</v>
      </c>
      <c r="J958" s="12">
        <v>46296</v>
      </c>
      <c r="K958" s="13">
        <f>INDEX(Assumptions!$B$4:$B$23,MATCH(F958,Assumptions!$A$4:$A$23,0))</f>
        <v>1.0869565217391299</v>
      </c>
      <c r="L958" s="14">
        <f t="shared" si="28"/>
        <v>2.4891304347826075</v>
      </c>
      <c r="M958" t="str">
        <f t="shared" si="29"/>
        <v>No</v>
      </c>
    </row>
    <row r="959" spans="1:13" x14ac:dyDescent="0.25">
      <c r="A959">
        <v>338674</v>
      </c>
      <c r="B959" t="s">
        <v>2985</v>
      </c>
      <c r="C959" t="s">
        <v>2986</v>
      </c>
      <c r="D959" t="s">
        <v>6220</v>
      </c>
      <c r="E959">
        <v>3.25</v>
      </c>
      <c r="F959" t="s">
        <v>50</v>
      </c>
      <c r="G959" t="s">
        <v>2545</v>
      </c>
      <c r="H959" t="s">
        <v>2666</v>
      </c>
      <c r="I959" s="11">
        <v>46297</v>
      </c>
      <c r="J959" s="12">
        <v>46296</v>
      </c>
      <c r="K959" s="13">
        <f>INDEX(Assumptions!$B$4:$B$23,MATCH(F959,Assumptions!$A$4:$A$23,0))</f>
        <v>1.0869565217391299</v>
      </c>
      <c r="L959" s="14">
        <f t="shared" si="28"/>
        <v>3.5326086956521721</v>
      </c>
      <c r="M959" t="str">
        <f t="shared" si="29"/>
        <v>No</v>
      </c>
    </row>
    <row r="960" spans="1:13" x14ac:dyDescent="0.25">
      <c r="A960">
        <v>338673</v>
      </c>
      <c r="B960" t="s">
        <v>2988</v>
      </c>
      <c r="C960" t="s">
        <v>2989</v>
      </c>
      <c r="D960" t="s">
        <v>6220</v>
      </c>
      <c r="E960">
        <v>4.49</v>
      </c>
      <c r="F960" t="s">
        <v>50</v>
      </c>
      <c r="G960" t="s">
        <v>2545</v>
      </c>
      <c r="H960" t="s">
        <v>2666</v>
      </c>
      <c r="I960" s="11">
        <v>46297</v>
      </c>
      <c r="J960" s="12">
        <v>46296</v>
      </c>
      <c r="K960" s="13">
        <f>INDEX(Assumptions!$B$4:$B$23,MATCH(F960,Assumptions!$A$4:$A$23,0))</f>
        <v>1.0869565217391299</v>
      </c>
      <c r="L960" s="14">
        <f t="shared" si="28"/>
        <v>4.8804347826086936</v>
      </c>
      <c r="M960" t="str">
        <f t="shared" si="29"/>
        <v>No</v>
      </c>
    </row>
    <row r="961" spans="1:13" x14ac:dyDescent="0.25">
      <c r="A961">
        <v>338672</v>
      </c>
      <c r="B961" t="s">
        <v>2991</v>
      </c>
      <c r="C961" t="s">
        <v>2992</v>
      </c>
      <c r="D961" t="s">
        <v>6220</v>
      </c>
      <c r="E961">
        <v>2.95</v>
      </c>
      <c r="F961" t="s">
        <v>50</v>
      </c>
      <c r="G961" t="s">
        <v>2545</v>
      </c>
      <c r="H961" t="s">
        <v>2666</v>
      </c>
      <c r="I961" s="11">
        <v>46297</v>
      </c>
      <c r="J961" s="12">
        <v>46296</v>
      </c>
      <c r="K961" s="13">
        <f>INDEX(Assumptions!$B$4:$B$23,MATCH(F961,Assumptions!$A$4:$A$23,0))</f>
        <v>1.0869565217391299</v>
      </c>
      <c r="L961" s="14">
        <f t="shared" si="28"/>
        <v>3.2065217391304337</v>
      </c>
      <c r="M961" t="str">
        <f t="shared" si="29"/>
        <v>No</v>
      </c>
    </row>
    <row r="962" spans="1:13" x14ac:dyDescent="0.25">
      <c r="A962">
        <v>338671</v>
      </c>
      <c r="B962" t="s">
        <v>2994</v>
      </c>
      <c r="C962" t="s">
        <v>2995</v>
      </c>
      <c r="D962" t="s">
        <v>6220</v>
      </c>
      <c r="E962">
        <v>2.5499999999999998</v>
      </c>
      <c r="F962" t="s">
        <v>50</v>
      </c>
      <c r="G962" t="s">
        <v>2545</v>
      </c>
      <c r="H962" t="s">
        <v>2666</v>
      </c>
      <c r="I962" s="11">
        <v>46297</v>
      </c>
      <c r="J962" s="12">
        <v>46296</v>
      </c>
      <c r="K962" s="13">
        <f>INDEX(Assumptions!$B$4:$B$23,MATCH(F962,Assumptions!$A$4:$A$23,0))</f>
        <v>1.0869565217391299</v>
      </c>
      <c r="L962" s="14">
        <f t="shared" ref="L962:L1025" si="30">E962*K962</f>
        <v>2.7717391304347809</v>
      </c>
      <c r="M962" t="str">
        <f t="shared" ref="M962:M1025" si="31">IF(C962="Unnamed product","Yes","No")</f>
        <v>No</v>
      </c>
    </row>
    <row r="963" spans="1:13" x14ac:dyDescent="0.25">
      <c r="A963">
        <v>338670</v>
      </c>
      <c r="B963" t="s">
        <v>2997</v>
      </c>
      <c r="C963" t="s">
        <v>2998</v>
      </c>
      <c r="D963" t="s">
        <v>6220</v>
      </c>
      <c r="E963">
        <v>9.19</v>
      </c>
      <c r="F963" t="s">
        <v>50</v>
      </c>
      <c r="G963" t="s">
        <v>2545</v>
      </c>
      <c r="H963" t="s">
        <v>2666</v>
      </c>
      <c r="I963" s="11">
        <v>46297</v>
      </c>
      <c r="J963" s="12">
        <v>46296</v>
      </c>
      <c r="K963" s="13">
        <f>INDEX(Assumptions!$B$4:$B$23,MATCH(F963,Assumptions!$A$4:$A$23,0))</f>
        <v>1.0869565217391299</v>
      </c>
      <c r="L963" s="14">
        <f t="shared" si="30"/>
        <v>9.989130434782604</v>
      </c>
      <c r="M963" t="str">
        <f t="shared" si="31"/>
        <v>No</v>
      </c>
    </row>
    <row r="964" spans="1:13" x14ac:dyDescent="0.25">
      <c r="A964">
        <v>338669</v>
      </c>
      <c r="B964" t="s">
        <v>3000</v>
      </c>
      <c r="C964" t="s">
        <v>3001</v>
      </c>
      <c r="D964" t="s">
        <v>6220</v>
      </c>
      <c r="E964">
        <v>5.69</v>
      </c>
      <c r="F964" t="s">
        <v>50</v>
      </c>
      <c r="G964" t="s">
        <v>2545</v>
      </c>
      <c r="H964" t="s">
        <v>2666</v>
      </c>
      <c r="I964" s="11">
        <v>46297</v>
      </c>
      <c r="J964" s="12">
        <v>46296</v>
      </c>
      <c r="K964" s="13">
        <f>INDEX(Assumptions!$B$4:$B$23,MATCH(F964,Assumptions!$A$4:$A$23,0))</f>
        <v>1.0869565217391299</v>
      </c>
      <c r="L964" s="14">
        <f t="shared" si="30"/>
        <v>6.1847826086956497</v>
      </c>
      <c r="M964" t="str">
        <f t="shared" si="31"/>
        <v>No</v>
      </c>
    </row>
    <row r="965" spans="1:13" x14ac:dyDescent="0.25">
      <c r="A965">
        <v>338668</v>
      </c>
      <c r="B965" t="s">
        <v>320</v>
      </c>
      <c r="C965" t="s">
        <v>3003</v>
      </c>
      <c r="D965" t="s">
        <v>6220</v>
      </c>
      <c r="E965">
        <v>4.1900000000000004</v>
      </c>
      <c r="F965" t="s">
        <v>50</v>
      </c>
      <c r="G965" t="s">
        <v>2545</v>
      </c>
      <c r="H965" t="s">
        <v>2666</v>
      </c>
      <c r="I965" s="11">
        <v>46297</v>
      </c>
      <c r="J965" s="12">
        <v>46296</v>
      </c>
      <c r="K965" s="13">
        <f>INDEX(Assumptions!$B$4:$B$23,MATCH(F965,Assumptions!$A$4:$A$23,0))</f>
        <v>1.0869565217391299</v>
      </c>
      <c r="L965" s="14">
        <f t="shared" si="30"/>
        <v>4.5543478260869552</v>
      </c>
      <c r="M965" t="str">
        <f t="shared" si="31"/>
        <v>No</v>
      </c>
    </row>
    <row r="966" spans="1:13" x14ac:dyDescent="0.25">
      <c r="A966">
        <v>338667</v>
      </c>
      <c r="B966" t="s">
        <v>3005</v>
      </c>
      <c r="C966" t="s">
        <v>3006</v>
      </c>
      <c r="D966" t="s">
        <v>6220</v>
      </c>
      <c r="E966">
        <v>1.85</v>
      </c>
      <c r="F966" t="s">
        <v>50</v>
      </c>
      <c r="G966" t="s">
        <v>2545</v>
      </c>
      <c r="H966" t="s">
        <v>2666</v>
      </c>
      <c r="I966" s="11">
        <v>46297</v>
      </c>
      <c r="J966" s="12">
        <v>46296</v>
      </c>
      <c r="K966" s="13">
        <f>INDEX(Assumptions!$B$4:$B$23,MATCH(F966,Assumptions!$A$4:$A$23,0))</f>
        <v>1.0869565217391299</v>
      </c>
      <c r="L966" s="14">
        <f t="shared" si="30"/>
        <v>2.0108695652173907</v>
      </c>
      <c r="M966" t="str">
        <f t="shared" si="31"/>
        <v>No</v>
      </c>
    </row>
    <row r="967" spans="1:13" x14ac:dyDescent="0.25">
      <c r="A967">
        <v>338666</v>
      </c>
      <c r="B967" t="s">
        <v>3008</v>
      </c>
      <c r="C967" t="s">
        <v>3009</v>
      </c>
      <c r="D967" t="s">
        <v>6220</v>
      </c>
      <c r="E967">
        <v>1.99</v>
      </c>
      <c r="F967" t="s">
        <v>50</v>
      </c>
      <c r="G967" t="s">
        <v>2545</v>
      </c>
      <c r="H967" t="s">
        <v>2666</v>
      </c>
      <c r="I967" s="11">
        <v>46297</v>
      </c>
      <c r="J967" s="12">
        <v>46296</v>
      </c>
      <c r="K967" s="13">
        <f>INDEX(Assumptions!$B$4:$B$23,MATCH(F967,Assumptions!$A$4:$A$23,0))</f>
        <v>1.0869565217391299</v>
      </c>
      <c r="L967" s="14">
        <f t="shared" si="30"/>
        <v>2.1630434782608687</v>
      </c>
      <c r="M967" t="str">
        <f t="shared" si="31"/>
        <v>No</v>
      </c>
    </row>
    <row r="968" spans="1:13" x14ac:dyDescent="0.25">
      <c r="A968">
        <v>338665</v>
      </c>
      <c r="B968" t="s">
        <v>3011</v>
      </c>
      <c r="C968" t="s">
        <v>3012</v>
      </c>
      <c r="D968" t="s">
        <v>6220</v>
      </c>
      <c r="E968">
        <v>2.69</v>
      </c>
      <c r="F968" t="s">
        <v>50</v>
      </c>
      <c r="G968" t="s">
        <v>2545</v>
      </c>
      <c r="H968" t="s">
        <v>2666</v>
      </c>
      <c r="I968" s="11">
        <v>46297</v>
      </c>
      <c r="J968" s="12">
        <v>46296</v>
      </c>
      <c r="K968" s="13">
        <f>INDEX(Assumptions!$B$4:$B$23,MATCH(F968,Assumptions!$A$4:$A$23,0))</f>
        <v>1.0869565217391299</v>
      </c>
      <c r="L968" s="14">
        <f t="shared" si="30"/>
        <v>2.9239130434782594</v>
      </c>
      <c r="M968" t="str">
        <f t="shared" si="31"/>
        <v>No</v>
      </c>
    </row>
    <row r="969" spans="1:13" x14ac:dyDescent="0.25">
      <c r="A969">
        <v>338664</v>
      </c>
      <c r="B969" t="s">
        <v>3014</v>
      </c>
      <c r="C969" t="s">
        <v>3015</v>
      </c>
      <c r="D969" t="s">
        <v>6220</v>
      </c>
      <c r="E969">
        <v>2.29</v>
      </c>
      <c r="F969" t="s">
        <v>50</v>
      </c>
      <c r="G969" t="s">
        <v>2545</v>
      </c>
      <c r="H969" t="s">
        <v>2666</v>
      </c>
      <c r="I969" s="11">
        <v>46297</v>
      </c>
      <c r="J969" s="12">
        <v>46296</v>
      </c>
      <c r="K969" s="13">
        <f>INDEX(Assumptions!$B$4:$B$23,MATCH(F969,Assumptions!$A$4:$A$23,0))</f>
        <v>1.0869565217391299</v>
      </c>
      <c r="L969" s="14">
        <f t="shared" si="30"/>
        <v>2.4891304347826075</v>
      </c>
      <c r="M969" t="str">
        <f t="shared" si="31"/>
        <v>No</v>
      </c>
    </row>
    <row r="970" spans="1:13" x14ac:dyDescent="0.25">
      <c r="A970">
        <v>338663</v>
      </c>
      <c r="B970" t="s">
        <v>3017</v>
      </c>
      <c r="C970" t="s">
        <v>3018</v>
      </c>
      <c r="D970" t="s">
        <v>6220</v>
      </c>
      <c r="E970">
        <v>2.29</v>
      </c>
      <c r="F970" t="s">
        <v>50</v>
      </c>
      <c r="G970" t="s">
        <v>2545</v>
      </c>
      <c r="H970" t="s">
        <v>2666</v>
      </c>
      <c r="I970" s="11">
        <v>46297</v>
      </c>
      <c r="J970" s="12">
        <v>46296</v>
      </c>
      <c r="K970" s="13">
        <f>INDEX(Assumptions!$B$4:$B$23,MATCH(F970,Assumptions!$A$4:$A$23,0))</f>
        <v>1.0869565217391299</v>
      </c>
      <c r="L970" s="14">
        <f t="shared" si="30"/>
        <v>2.4891304347826075</v>
      </c>
      <c r="M970" t="str">
        <f t="shared" si="31"/>
        <v>No</v>
      </c>
    </row>
    <row r="971" spans="1:13" x14ac:dyDescent="0.25">
      <c r="A971">
        <v>338662</v>
      </c>
      <c r="B971" t="s">
        <v>3020</v>
      </c>
      <c r="C971" t="s">
        <v>3021</v>
      </c>
      <c r="D971" t="s">
        <v>6220</v>
      </c>
      <c r="E971">
        <v>2.09</v>
      </c>
      <c r="F971" t="s">
        <v>50</v>
      </c>
      <c r="G971" t="s">
        <v>2545</v>
      </c>
      <c r="H971" t="s">
        <v>2666</v>
      </c>
      <c r="I971" s="11">
        <v>46297</v>
      </c>
      <c r="J971" s="12">
        <v>46296</v>
      </c>
      <c r="K971" s="13">
        <f>INDEX(Assumptions!$B$4:$B$23,MATCH(F971,Assumptions!$A$4:$A$23,0))</f>
        <v>1.0869565217391299</v>
      </c>
      <c r="L971" s="14">
        <f t="shared" si="30"/>
        <v>2.2717391304347814</v>
      </c>
      <c r="M971" t="str">
        <f t="shared" si="31"/>
        <v>No</v>
      </c>
    </row>
    <row r="972" spans="1:13" x14ac:dyDescent="0.25">
      <c r="A972">
        <v>338661</v>
      </c>
      <c r="B972" t="s">
        <v>3023</v>
      </c>
      <c r="C972" t="s">
        <v>3024</v>
      </c>
      <c r="D972" t="s">
        <v>6220</v>
      </c>
      <c r="E972">
        <v>5.99</v>
      </c>
      <c r="F972" t="s">
        <v>50</v>
      </c>
      <c r="G972" t="s">
        <v>2545</v>
      </c>
      <c r="H972" t="s">
        <v>2666</v>
      </c>
      <c r="I972" s="11">
        <v>46297</v>
      </c>
      <c r="J972" s="12">
        <v>46296</v>
      </c>
      <c r="K972" s="13">
        <f>INDEX(Assumptions!$B$4:$B$23,MATCH(F972,Assumptions!$A$4:$A$23,0))</f>
        <v>1.0869565217391299</v>
      </c>
      <c r="L972" s="14">
        <f t="shared" si="30"/>
        <v>6.5108695652173889</v>
      </c>
      <c r="M972" t="str">
        <f t="shared" si="31"/>
        <v>No</v>
      </c>
    </row>
    <row r="973" spans="1:13" x14ac:dyDescent="0.25">
      <c r="A973">
        <v>338660</v>
      </c>
      <c r="B973" t="s">
        <v>3026</v>
      </c>
      <c r="C973" t="s">
        <v>3027</v>
      </c>
      <c r="D973" t="s">
        <v>6220</v>
      </c>
      <c r="E973">
        <v>8.4499999999999993</v>
      </c>
      <c r="F973" t="s">
        <v>50</v>
      </c>
      <c r="G973" t="s">
        <v>2545</v>
      </c>
      <c r="H973" t="s">
        <v>2666</v>
      </c>
      <c r="I973" s="11">
        <v>46297</v>
      </c>
      <c r="J973" s="12">
        <v>46296</v>
      </c>
      <c r="K973" s="13">
        <f>INDEX(Assumptions!$B$4:$B$23,MATCH(F973,Assumptions!$A$4:$A$23,0))</f>
        <v>1.0869565217391299</v>
      </c>
      <c r="L973" s="14">
        <f t="shared" si="30"/>
        <v>9.184782608695647</v>
      </c>
      <c r="M973" t="str">
        <f t="shared" si="31"/>
        <v>No</v>
      </c>
    </row>
    <row r="974" spans="1:13" x14ac:dyDescent="0.25">
      <c r="A974">
        <v>338659</v>
      </c>
      <c r="B974" t="s">
        <v>3030</v>
      </c>
      <c r="C974" t="s">
        <v>3031</v>
      </c>
      <c r="D974" t="s">
        <v>6220</v>
      </c>
      <c r="E974">
        <v>1.29</v>
      </c>
      <c r="F974" t="s">
        <v>50</v>
      </c>
      <c r="G974" t="s">
        <v>2545</v>
      </c>
      <c r="H974" t="s">
        <v>2666</v>
      </c>
      <c r="I974" s="11">
        <v>46297</v>
      </c>
      <c r="J974" s="12">
        <v>46296</v>
      </c>
      <c r="K974" s="13">
        <f>INDEX(Assumptions!$B$4:$B$23,MATCH(F974,Assumptions!$A$4:$A$23,0))</f>
        <v>1.0869565217391299</v>
      </c>
      <c r="L974" s="14">
        <f t="shared" si="30"/>
        <v>1.4021739130434776</v>
      </c>
      <c r="M974" t="str">
        <f t="shared" si="31"/>
        <v>No</v>
      </c>
    </row>
    <row r="975" spans="1:13" x14ac:dyDescent="0.25">
      <c r="A975">
        <v>338658</v>
      </c>
      <c r="B975" t="s">
        <v>3033</v>
      </c>
      <c r="C975" t="s">
        <v>3034</v>
      </c>
      <c r="D975" t="s">
        <v>6220</v>
      </c>
      <c r="E975">
        <v>1.85</v>
      </c>
      <c r="F975" t="s">
        <v>50</v>
      </c>
      <c r="G975" t="s">
        <v>2545</v>
      </c>
      <c r="H975" t="s">
        <v>2666</v>
      </c>
      <c r="I975" s="11">
        <v>46297</v>
      </c>
      <c r="J975" s="12">
        <v>46296</v>
      </c>
      <c r="K975" s="13">
        <f>INDEX(Assumptions!$B$4:$B$23,MATCH(F975,Assumptions!$A$4:$A$23,0))</f>
        <v>1.0869565217391299</v>
      </c>
      <c r="L975" s="14">
        <f t="shared" si="30"/>
        <v>2.0108695652173907</v>
      </c>
      <c r="M975" t="str">
        <f t="shared" si="31"/>
        <v>No</v>
      </c>
    </row>
    <row r="976" spans="1:13" x14ac:dyDescent="0.25">
      <c r="A976">
        <v>338657</v>
      </c>
      <c r="B976" t="s">
        <v>3036</v>
      </c>
      <c r="C976" t="s">
        <v>3037</v>
      </c>
      <c r="D976" t="s">
        <v>6220</v>
      </c>
      <c r="E976">
        <v>3.99</v>
      </c>
      <c r="F976" t="s">
        <v>50</v>
      </c>
      <c r="G976" t="s">
        <v>2545</v>
      </c>
      <c r="H976" t="s">
        <v>2666</v>
      </c>
      <c r="I976" s="11">
        <v>46297</v>
      </c>
      <c r="J976" s="12">
        <v>46296</v>
      </c>
      <c r="K976" s="13">
        <f>INDEX(Assumptions!$B$4:$B$23,MATCH(F976,Assumptions!$A$4:$A$23,0))</f>
        <v>1.0869565217391299</v>
      </c>
      <c r="L976" s="14">
        <f t="shared" si="30"/>
        <v>4.336956521739129</v>
      </c>
      <c r="M976" t="str">
        <f t="shared" si="31"/>
        <v>No</v>
      </c>
    </row>
    <row r="977" spans="1:13" x14ac:dyDescent="0.25">
      <c r="A977">
        <v>338656</v>
      </c>
      <c r="B977" t="s">
        <v>3039</v>
      </c>
      <c r="C977" t="s">
        <v>3040</v>
      </c>
      <c r="D977" t="s">
        <v>6220</v>
      </c>
      <c r="E977">
        <v>5.65</v>
      </c>
      <c r="F977" t="s">
        <v>50</v>
      </c>
      <c r="G977" t="s">
        <v>2545</v>
      </c>
      <c r="H977" t="s">
        <v>2666</v>
      </c>
      <c r="I977" s="11">
        <v>46297</v>
      </c>
      <c r="J977" s="12">
        <v>46296</v>
      </c>
      <c r="K977" s="13">
        <f>INDEX(Assumptions!$B$4:$B$23,MATCH(F977,Assumptions!$A$4:$A$23,0))</f>
        <v>1.0869565217391299</v>
      </c>
      <c r="L977" s="14">
        <f t="shared" si="30"/>
        <v>6.1413043478260843</v>
      </c>
      <c r="M977" t="str">
        <f t="shared" si="31"/>
        <v>No</v>
      </c>
    </row>
    <row r="978" spans="1:13" x14ac:dyDescent="0.25">
      <c r="A978">
        <v>338655</v>
      </c>
      <c r="B978" t="s">
        <v>3042</v>
      </c>
      <c r="C978" t="s">
        <v>3043</v>
      </c>
      <c r="D978" t="s">
        <v>6220</v>
      </c>
      <c r="E978">
        <v>4.8499999999999996</v>
      </c>
      <c r="F978" t="s">
        <v>50</v>
      </c>
      <c r="G978" t="s">
        <v>2545</v>
      </c>
      <c r="H978" t="s">
        <v>2666</v>
      </c>
      <c r="I978" s="11">
        <v>46297</v>
      </c>
      <c r="J978" s="12">
        <v>46296</v>
      </c>
      <c r="K978" s="13">
        <f>INDEX(Assumptions!$B$4:$B$23,MATCH(F978,Assumptions!$A$4:$A$23,0))</f>
        <v>1.0869565217391299</v>
      </c>
      <c r="L978" s="14">
        <f t="shared" si="30"/>
        <v>5.2717391304347796</v>
      </c>
      <c r="M978" t="str">
        <f t="shared" si="31"/>
        <v>No</v>
      </c>
    </row>
    <row r="979" spans="1:13" x14ac:dyDescent="0.25">
      <c r="A979">
        <v>338654</v>
      </c>
      <c r="B979" t="s">
        <v>3045</v>
      </c>
      <c r="C979" t="s">
        <v>3046</v>
      </c>
      <c r="D979" t="s">
        <v>6220</v>
      </c>
      <c r="E979">
        <v>3.75</v>
      </c>
      <c r="F979" t="s">
        <v>50</v>
      </c>
      <c r="G979" t="s">
        <v>2545</v>
      </c>
      <c r="H979" t="s">
        <v>2666</v>
      </c>
      <c r="I979" s="11">
        <v>46297</v>
      </c>
      <c r="J979" s="12">
        <v>46296</v>
      </c>
      <c r="K979" s="13">
        <f>INDEX(Assumptions!$B$4:$B$23,MATCH(F979,Assumptions!$A$4:$A$23,0))</f>
        <v>1.0869565217391299</v>
      </c>
      <c r="L979" s="14">
        <f t="shared" si="30"/>
        <v>4.0760869565217375</v>
      </c>
      <c r="M979" t="str">
        <f t="shared" si="31"/>
        <v>No</v>
      </c>
    </row>
    <row r="980" spans="1:13" x14ac:dyDescent="0.25">
      <c r="A980">
        <v>338653</v>
      </c>
      <c r="B980" t="s">
        <v>3048</v>
      </c>
      <c r="C980" t="s">
        <v>3049</v>
      </c>
      <c r="D980" t="s">
        <v>6220</v>
      </c>
      <c r="E980">
        <v>2.29</v>
      </c>
      <c r="F980" t="s">
        <v>50</v>
      </c>
      <c r="G980" t="s">
        <v>2545</v>
      </c>
      <c r="H980" t="s">
        <v>2666</v>
      </c>
      <c r="I980" s="11">
        <v>46297</v>
      </c>
      <c r="J980" s="12">
        <v>46296</v>
      </c>
      <c r="K980" s="13">
        <f>INDEX(Assumptions!$B$4:$B$23,MATCH(F980,Assumptions!$A$4:$A$23,0))</f>
        <v>1.0869565217391299</v>
      </c>
      <c r="L980" s="14">
        <f t="shared" si="30"/>
        <v>2.4891304347826075</v>
      </c>
      <c r="M980" t="str">
        <f t="shared" si="31"/>
        <v>No</v>
      </c>
    </row>
    <row r="981" spans="1:13" x14ac:dyDescent="0.25">
      <c r="A981">
        <v>338652</v>
      </c>
      <c r="B981" t="s">
        <v>3051</v>
      </c>
      <c r="C981" t="s">
        <v>3052</v>
      </c>
      <c r="D981" t="s">
        <v>6220</v>
      </c>
      <c r="E981">
        <v>2.95</v>
      </c>
      <c r="F981" t="s">
        <v>50</v>
      </c>
      <c r="G981" t="s">
        <v>2545</v>
      </c>
      <c r="H981" t="s">
        <v>2666</v>
      </c>
      <c r="I981" s="11">
        <v>46297</v>
      </c>
      <c r="J981" s="12">
        <v>46296</v>
      </c>
      <c r="K981" s="13">
        <f>INDEX(Assumptions!$B$4:$B$23,MATCH(F981,Assumptions!$A$4:$A$23,0))</f>
        <v>1.0869565217391299</v>
      </c>
      <c r="L981" s="14">
        <f t="shared" si="30"/>
        <v>3.2065217391304337</v>
      </c>
      <c r="M981" t="str">
        <f t="shared" si="31"/>
        <v>No</v>
      </c>
    </row>
    <row r="982" spans="1:13" x14ac:dyDescent="0.25">
      <c r="A982">
        <v>338651</v>
      </c>
      <c r="B982" t="s">
        <v>3054</v>
      </c>
      <c r="C982" t="s">
        <v>3055</v>
      </c>
      <c r="D982" t="s">
        <v>6220</v>
      </c>
      <c r="E982">
        <v>2.35</v>
      </c>
      <c r="F982" t="s">
        <v>50</v>
      </c>
      <c r="G982" t="s">
        <v>2545</v>
      </c>
      <c r="H982" t="s">
        <v>2666</v>
      </c>
      <c r="I982" s="11">
        <v>46297</v>
      </c>
      <c r="J982" s="12">
        <v>46296</v>
      </c>
      <c r="K982" s="13">
        <f>INDEX(Assumptions!$B$4:$B$23,MATCH(F982,Assumptions!$A$4:$A$23,0))</f>
        <v>1.0869565217391299</v>
      </c>
      <c r="L982" s="14">
        <f t="shared" si="30"/>
        <v>2.5543478260869557</v>
      </c>
      <c r="M982" t="str">
        <f t="shared" si="31"/>
        <v>No</v>
      </c>
    </row>
    <row r="983" spans="1:13" x14ac:dyDescent="0.25">
      <c r="A983">
        <v>338650</v>
      </c>
      <c r="B983" t="s">
        <v>3057</v>
      </c>
      <c r="C983" t="s">
        <v>3058</v>
      </c>
      <c r="D983" t="s">
        <v>6220</v>
      </c>
      <c r="E983">
        <v>8.5</v>
      </c>
      <c r="F983" t="s">
        <v>50</v>
      </c>
      <c r="G983" t="s">
        <v>2545</v>
      </c>
      <c r="H983" t="s">
        <v>2666</v>
      </c>
      <c r="I983" s="11">
        <v>46297</v>
      </c>
      <c r="J983" s="12">
        <v>46296</v>
      </c>
      <c r="K983" s="13">
        <f>INDEX(Assumptions!$B$4:$B$23,MATCH(F983,Assumptions!$A$4:$A$23,0))</f>
        <v>1.0869565217391299</v>
      </c>
      <c r="L983" s="14">
        <f t="shared" si="30"/>
        <v>9.239130434782604</v>
      </c>
      <c r="M983" t="str">
        <f t="shared" si="31"/>
        <v>No</v>
      </c>
    </row>
    <row r="984" spans="1:13" x14ac:dyDescent="0.25">
      <c r="A984">
        <v>338649</v>
      </c>
      <c r="B984" t="s">
        <v>3060</v>
      </c>
      <c r="C984" t="s">
        <v>3061</v>
      </c>
      <c r="D984" t="s">
        <v>6220</v>
      </c>
      <c r="E984">
        <v>8.9</v>
      </c>
      <c r="F984" t="s">
        <v>50</v>
      </c>
      <c r="G984" t="s">
        <v>2545</v>
      </c>
      <c r="H984" t="s">
        <v>2666</v>
      </c>
      <c r="I984" s="11">
        <v>46297</v>
      </c>
      <c r="J984" s="12">
        <v>46296</v>
      </c>
      <c r="K984" s="13">
        <f>INDEX(Assumptions!$B$4:$B$23,MATCH(F984,Assumptions!$A$4:$A$23,0))</f>
        <v>1.0869565217391299</v>
      </c>
      <c r="L984" s="14">
        <f t="shared" si="30"/>
        <v>9.6739130434782563</v>
      </c>
      <c r="M984" t="str">
        <f t="shared" si="31"/>
        <v>No</v>
      </c>
    </row>
    <row r="985" spans="1:13" x14ac:dyDescent="0.25">
      <c r="A985">
        <v>338648</v>
      </c>
      <c r="B985" t="s">
        <v>3064</v>
      </c>
      <c r="C985" t="s">
        <v>3065</v>
      </c>
      <c r="D985" t="s">
        <v>6220</v>
      </c>
      <c r="E985">
        <v>3.89</v>
      </c>
      <c r="F985" t="s">
        <v>50</v>
      </c>
      <c r="G985" t="s">
        <v>2545</v>
      </c>
      <c r="H985" t="s">
        <v>2666</v>
      </c>
      <c r="I985" s="11">
        <v>46297</v>
      </c>
      <c r="J985" s="12">
        <v>46296</v>
      </c>
      <c r="K985" s="13">
        <f>INDEX(Assumptions!$B$4:$B$23,MATCH(F985,Assumptions!$A$4:$A$23,0))</f>
        <v>1.0869565217391299</v>
      </c>
      <c r="L985" s="14">
        <f t="shared" si="30"/>
        <v>4.228260869565216</v>
      </c>
      <c r="M985" t="str">
        <f t="shared" si="31"/>
        <v>No</v>
      </c>
    </row>
    <row r="986" spans="1:13" x14ac:dyDescent="0.25">
      <c r="A986">
        <v>338647</v>
      </c>
      <c r="B986" t="s">
        <v>3067</v>
      </c>
      <c r="C986" t="s">
        <v>3068</v>
      </c>
      <c r="D986" t="s">
        <v>6220</v>
      </c>
      <c r="E986">
        <v>3.55</v>
      </c>
      <c r="F986" t="s">
        <v>50</v>
      </c>
      <c r="G986" t="s">
        <v>2545</v>
      </c>
      <c r="H986" t="s">
        <v>2666</v>
      </c>
      <c r="I986" s="11">
        <v>46297</v>
      </c>
      <c r="J986" s="12">
        <v>46296</v>
      </c>
      <c r="K986" s="13">
        <f>INDEX(Assumptions!$B$4:$B$23,MATCH(F986,Assumptions!$A$4:$A$23,0))</f>
        <v>1.0869565217391299</v>
      </c>
      <c r="L986" s="14">
        <f t="shared" si="30"/>
        <v>3.8586956521739109</v>
      </c>
      <c r="M986" t="str">
        <f t="shared" si="31"/>
        <v>No</v>
      </c>
    </row>
    <row r="987" spans="1:13" x14ac:dyDescent="0.25">
      <c r="A987">
        <v>338646</v>
      </c>
      <c r="B987" t="s">
        <v>3070</v>
      </c>
      <c r="C987" t="s">
        <v>3071</v>
      </c>
      <c r="D987" t="s">
        <v>6220</v>
      </c>
      <c r="E987">
        <v>1.55</v>
      </c>
      <c r="F987" t="s">
        <v>50</v>
      </c>
      <c r="G987" t="s">
        <v>2545</v>
      </c>
      <c r="H987" t="s">
        <v>2666</v>
      </c>
      <c r="I987" s="11">
        <v>46297</v>
      </c>
      <c r="J987" s="12">
        <v>46296</v>
      </c>
      <c r="K987" s="13">
        <f>INDEX(Assumptions!$B$4:$B$23,MATCH(F987,Assumptions!$A$4:$A$23,0))</f>
        <v>1.0869565217391299</v>
      </c>
      <c r="L987" s="14">
        <f t="shared" si="30"/>
        <v>1.6847826086956514</v>
      </c>
      <c r="M987" t="str">
        <f t="shared" si="31"/>
        <v>No</v>
      </c>
    </row>
    <row r="988" spans="1:13" x14ac:dyDescent="0.25">
      <c r="A988">
        <v>338645</v>
      </c>
      <c r="B988" t="s">
        <v>3073</v>
      </c>
      <c r="C988" t="s">
        <v>3074</v>
      </c>
      <c r="D988" t="s">
        <v>6220</v>
      </c>
      <c r="E988">
        <v>2.79</v>
      </c>
      <c r="F988" t="s">
        <v>50</v>
      </c>
      <c r="G988" t="s">
        <v>2545</v>
      </c>
      <c r="H988" t="s">
        <v>2666</v>
      </c>
      <c r="I988" s="11">
        <v>46297</v>
      </c>
      <c r="J988" s="12">
        <v>46296</v>
      </c>
      <c r="K988" s="13">
        <f>INDEX(Assumptions!$B$4:$B$23,MATCH(F988,Assumptions!$A$4:$A$23,0))</f>
        <v>1.0869565217391299</v>
      </c>
      <c r="L988" s="14">
        <f t="shared" si="30"/>
        <v>3.0326086956521725</v>
      </c>
      <c r="M988" t="str">
        <f t="shared" si="31"/>
        <v>No</v>
      </c>
    </row>
    <row r="989" spans="1:13" x14ac:dyDescent="0.25">
      <c r="A989">
        <v>338644</v>
      </c>
      <c r="B989" t="s">
        <v>3076</v>
      </c>
      <c r="C989" t="s">
        <v>3077</v>
      </c>
      <c r="D989" t="s">
        <v>6220</v>
      </c>
      <c r="E989">
        <v>5.95</v>
      </c>
      <c r="F989" t="s">
        <v>50</v>
      </c>
      <c r="G989" t="s">
        <v>2545</v>
      </c>
      <c r="H989" t="s">
        <v>2666</v>
      </c>
      <c r="I989" s="11">
        <v>46297</v>
      </c>
      <c r="J989" s="12">
        <v>46296</v>
      </c>
      <c r="K989" s="13">
        <f>INDEX(Assumptions!$B$4:$B$23,MATCH(F989,Assumptions!$A$4:$A$23,0))</f>
        <v>1.0869565217391299</v>
      </c>
      <c r="L989" s="14">
        <f t="shared" si="30"/>
        <v>6.4673913043478235</v>
      </c>
      <c r="M989" t="str">
        <f t="shared" si="31"/>
        <v>No</v>
      </c>
    </row>
    <row r="990" spans="1:13" x14ac:dyDescent="0.25">
      <c r="A990">
        <v>338643</v>
      </c>
      <c r="B990" t="s">
        <v>3079</v>
      </c>
      <c r="C990" t="s">
        <v>3080</v>
      </c>
      <c r="D990" t="s">
        <v>6220</v>
      </c>
      <c r="E990">
        <v>2.99</v>
      </c>
      <c r="F990" t="s">
        <v>50</v>
      </c>
      <c r="G990" t="s">
        <v>2545</v>
      </c>
      <c r="H990" t="s">
        <v>2666</v>
      </c>
      <c r="I990" s="11">
        <v>46297</v>
      </c>
      <c r="J990" s="12">
        <v>46296</v>
      </c>
      <c r="K990" s="13">
        <f>INDEX(Assumptions!$B$4:$B$23,MATCH(F990,Assumptions!$A$4:$A$23,0))</f>
        <v>1.0869565217391299</v>
      </c>
      <c r="L990" s="14">
        <f t="shared" si="30"/>
        <v>3.2499999999999987</v>
      </c>
      <c r="M990" t="str">
        <f t="shared" si="31"/>
        <v>No</v>
      </c>
    </row>
    <row r="991" spans="1:13" x14ac:dyDescent="0.25">
      <c r="A991">
        <v>338642</v>
      </c>
      <c r="B991" t="s">
        <v>3082</v>
      </c>
      <c r="C991" t="s">
        <v>3083</v>
      </c>
      <c r="D991" t="s">
        <v>6220</v>
      </c>
      <c r="E991">
        <v>3.05</v>
      </c>
      <c r="F991" t="s">
        <v>50</v>
      </c>
      <c r="G991" t="s">
        <v>2545</v>
      </c>
      <c r="H991" t="s">
        <v>2666</v>
      </c>
      <c r="I991" s="11">
        <v>46297</v>
      </c>
      <c r="J991" s="12">
        <v>46296</v>
      </c>
      <c r="K991" s="13">
        <f>INDEX(Assumptions!$B$4:$B$23,MATCH(F991,Assumptions!$A$4:$A$23,0))</f>
        <v>1.0869565217391299</v>
      </c>
      <c r="L991" s="14">
        <f t="shared" si="30"/>
        <v>3.3152173913043459</v>
      </c>
      <c r="M991" t="str">
        <f t="shared" si="31"/>
        <v>No</v>
      </c>
    </row>
    <row r="992" spans="1:13" x14ac:dyDescent="0.25">
      <c r="A992">
        <v>338641</v>
      </c>
      <c r="B992" t="s">
        <v>3085</v>
      </c>
      <c r="C992" t="s">
        <v>3086</v>
      </c>
      <c r="D992" t="s">
        <v>6220</v>
      </c>
      <c r="E992">
        <v>3.05</v>
      </c>
      <c r="F992" t="s">
        <v>50</v>
      </c>
      <c r="G992" t="s">
        <v>2545</v>
      </c>
      <c r="H992" t="s">
        <v>2666</v>
      </c>
      <c r="I992" s="11">
        <v>46297</v>
      </c>
      <c r="J992" s="12">
        <v>46296</v>
      </c>
      <c r="K992" s="13">
        <f>INDEX(Assumptions!$B$4:$B$23,MATCH(F992,Assumptions!$A$4:$A$23,0))</f>
        <v>1.0869565217391299</v>
      </c>
      <c r="L992" s="14">
        <f t="shared" si="30"/>
        <v>3.3152173913043459</v>
      </c>
      <c r="M992" t="str">
        <f t="shared" si="31"/>
        <v>No</v>
      </c>
    </row>
    <row r="993" spans="1:13" x14ac:dyDescent="0.25">
      <c r="A993">
        <v>338640</v>
      </c>
      <c r="B993" t="s">
        <v>3088</v>
      </c>
      <c r="C993" t="s">
        <v>3089</v>
      </c>
      <c r="D993" t="s">
        <v>6220</v>
      </c>
      <c r="E993">
        <v>1.45</v>
      </c>
      <c r="F993" t="s">
        <v>50</v>
      </c>
      <c r="G993" t="s">
        <v>2545</v>
      </c>
      <c r="H993" t="s">
        <v>2666</v>
      </c>
      <c r="I993" s="11">
        <v>46297</v>
      </c>
      <c r="J993" s="12">
        <v>46296</v>
      </c>
      <c r="K993" s="13">
        <f>INDEX(Assumptions!$B$4:$B$23,MATCH(F993,Assumptions!$A$4:$A$23,0))</f>
        <v>1.0869565217391299</v>
      </c>
      <c r="L993" s="14">
        <f t="shared" si="30"/>
        <v>1.5760869565217384</v>
      </c>
      <c r="M993" t="str">
        <f t="shared" si="31"/>
        <v>No</v>
      </c>
    </row>
    <row r="994" spans="1:13" x14ac:dyDescent="0.25">
      <c r="A994">
        <v>338639</v>
      </c>
      <c r="B994" t="s">
        <v>3091</v>
      </c>
      <c r="C994" t="s">
        <v>3092</v>
      </c>
      <c r="D994" t="s">
        <v>6220</v>
      </c>
      <c r="E994">
        <v>2.89</v>
      </c>
      <c r="F994" t="s">
        <v>50</v>
      </c>
      <c r="G994" t="s">
        <v>2545</v>
      </c>
      <c r="H994" t="s">
        <v>2666</v>
      </c>
      <c r="I994" s="11">
        <v>46297</v>
      </c>
      <c r="J994" s="12">
        <v>46296</v>
      </c>
      <c r="K994" s="13">
        <f>INDEX(Assumptions!$B$4:$B$23,MATCH(F994,Assumptions!$A$4:$A$23,0))</f>
        <v>1.0869565217391299</v>
      </c>
      <c r="L994" s="14">
        <f t="shared" si="30"/>
        <v>3.1413043478260856</v>
      </c>
      <c r="M994" t="str">
        <f t="shared" si="31"/>
        <v>No</v>
      </c>
    </row>
    <row r="995" spans="1:13" x14ac:dyDescent="0.25">
      <c r="A995">
        <v>338638</v>
      </c>
      <c r="B995" t="s">
        <v>3094</v>
      </c>
      <c r="C995" t="s">
        <v>3095</v>
      </c>
      <c r="D995" t="s">
        <v>6220</v>
      </c>
      <c r="E995">
        <v>2.0499999999999998</v>
      </c>
      <c r="F995" t="s">
        <v>50</v>
      </c>
      <c r="G995" t="s">
        <v>2545</v>
      </c>
      <c r="H995" t="s">
        <v>2666</v>
      </c>
      <c r="I995" s="11">
        <v>46297</v>
      </c>
      <c r="J995" s="12">
        <v>46296</v>
      </c>
      <c r="K995" s="13">
        <f>INDEX(Assumptions!$B$4:$B$23,MATCH(F995,Assumptions!$A$4:$A$23,0))</f>
        <v>1.0869565217391299</v>
      </c>
      <c r="L995" s="14">
        <f t="shared" si="30"/>
        <v>2.228260869565216</v>
      </c>
      <c r="M995" t="str">
        <f t="shared" si="31"/>
        <v>No</v>
      </c>
    </row>
    <row r="996" spans="1:13" x14ac:dyDescent="0.25">
      <c r="A996">
        <v>338637</v>
      </c>
      <c r="B996" t="s">
        <v>3097</v>
      </c>
      <c r="C996" t="s">
        <v>3098</v>
      </c>
      <c r="D996" t="s">
        <v>6220</v>
      </c>
      <c r="E996">
        <v>5.45</v>
      </c>
      <c r="F996" t="s">
        <v>50</v>
      </c>
      <c r="G996" t="s">
        <v>2545</v>
      </c>
      <c r="H996" t="s">
        <v>2666</v>
      </c>
      <c r="I996" s="11">
        <v>46297</v>
      </c>
      <c r="J996" s="12">
        <v>46296</v>
      </c>
      <c r="K996" s="13">
        <f>INDEX(Assumptions!$B$4:$B$23,MATCH(F996,Assumptions!$A$4:$A$23,0))</f>
        <v>1.0869565217391299</v>
      </c>
      <c r="L996" s="14">
        <f t="shared" si="30"/>
        <v>5.9239130434782581</v>
      </c>
      <c r="M996" t="str">
        <f t="shared" si="31"/>
        <v>No</v>
      </c>
    </row>
    <row r="997" spans="1:13" x14ac:dyDescent="0.25">
      <c r="A997">
        <v>338636</v>
      </c>
      <c r="B997" t="s">
        <v>3101</v>
      </c>
      <c r="C997" t="s">
        <v>3102</v>
      </c>
      <c r="D997" t="s">
        <v>6220</v>
      </c>
      <c r="E997">
        <v>5.15</v>
      </c>
      <c r="F997" t="s">
        <v>50</v>
      </c>
      <c r="G997" t="s">
        <v>2545</v>
      </c>
      <c r="H997" t="s">
        <v>2666</v>
      </c>
      <c r="I997" s="11">
        <v>46297</v>
      </c>
      <c r="J997" s="12">
        <v>46296</v>
      </c>
      <c r="K997" s="13">
        <f>INDEX(Assumptions!$B$4:$B$23,MATCH(F997,Assumptions!$A$4:$A$23,0))</f>
        <v>1.0869565217391299</v>
      </c>
      <c r="L997" s="14">
        <f t="shared" si="30"/>
        <v>5.5978260869565197</v>
      </c>
      <c r="M997" t="str">
        <f t="shared" si="31"/>
        <v>No</v>
      </c>
    </row>
    <row r="998" spans="1:13" x14ac:dyDescent="0.25">
      <c r="A998">
        <v>338635</v>
      </c>
      <c r="B998" t="s">
        <v>3105</v>
      </c>
      <c r="C998" t="s">
        <v>3106</v>
      </c>
      <c r="D998" t="s">
        <v>6220</v>
      </c>
      <c r="E998">
        <v>5.45</v>
      </c>
      <c r="F998" t="s">
        <v>50</v>
      </c>
      <c r="G998" t="s">
        <v>2545</v>
      </c>
      <c r="H998" t="s">
        <v>2666</v>
      </c>
      <c r="I998" s="11">
        <v>46297</v>
      </c>
      <c r="J998" s="12">
        <v>46296</v>
      </c>
      <c r="K998" s="13">
        <f>INDEX(Assumptions!$B$4:$B$23,MATCH(F998,Assumptions!$A$4:$A$23,0))</f>
        <v>1.0869565217391299</v>
      </c>
      <c r="L998" s="14">
        <f t="shared" si="30"/>
        <v>5.9239130434782581</v>
      </c>
      <c r="M998" t="str">
        <f t="shared" si="31"/>
        <v>No</v>
      </c>
    </row>
    <row r="999" spans="1:13" x14ac:dyDescent="0.25">
      <c r="A999">
        <v>338634</v>
      </c>
      <c r="B999" t="s">
        <v>3108</v>
      </c>
      <c r="C999" t="s">
        <v>3109</v>
      </c>
      <c r="D999" t="s">
        <v>6220</v>
      </c>
      <c r="E999">
        <v>3.75</v>
      </c>
      <c r="F999" t="s">
        <v>50</v>
      </c>
      <c r="G999" t="s">
        <v>2545</v>
      </c>
      <c r="H999" t="s">
        <v>2666</v>
      </c>
      <c r="I999" s="11">
        <v>46297</v>
      </c>
      <c r="J999" s="12">
        <v>46296</v>
      </c>
      <c r="K999" s="13">
        <f>INDEX(Assumptions!$B$4:$B$23,MATCH(F999,Assumptions!$A$4:$A$23,0))</f>
        <v>1.0869565217391299</v>
      </c>
      <c r="L999" s="14">
        <f t="shared" si="30"/>
        <v>4.0760869565217375</v>
      </c>
      <c r="M999" t="str">
        <f t="shared" si="31"/>
        <v>No</v>
      </c>
    </row>
    <row r="1000" spans="1:13" x14ac:dyDescent="0.25">
      <c r="A1000">
        <v>338633</v>
      </c>
      <c r="B1000" t="s">
        <v>3111</v>
      </c>
      <c r="C1000" t="s">
        <v>3112</v>
      </c>
      <c r="D1000" t="s">
        <v>6220</v>
      </c>
      <c r="E1000">
        <v>3.59</v>
      </c>
      <c r="F1000" t="s">
        <v>50</v>
      </c>
      <c r="G1000" t="s">
        <v>2545</v>
      </c>
      <c r="H1000" t="s">
        <v>2666</v>
      </c>
      <c r="I1000" s="11">
        <v>46297</v>
      </c>
      <c r="J1000" s="12">
        <v>46296</v>
      </c>
      <c r="K1000" s="13">
        <f>INDEX(Assumptions!$B$4:$B$23,MATCH(F1000,Assumptions!$A$4:$A$23,0))</f>
        <v>1.0869565217391299</v>
      </c>
      <c r="L1000" s="14">
        <f t="shared" si="30"/>
        <v>3.9021739130434763</v>
      </c>
      <c r="M1000" t="str">
        <f t="shared" si="31"/>
        <v>No</v>
      </c>
    </row>
    <row r="1001" spans="1:13" x14ac:dyDescent="0.25">
      <c r="A1001">
        <v>338632</v>
      </c>
      <c r="B1001" t="s">
        <v>3114</v>
      </c>
      <c r="C1001" t="s">
        <v>3115</v>
      </c>
      <c r="D1001" t="s">
        <v>6220</v>
      </c>
      <c r="E1001">
        <v>3.39</v>
      </c>
      <c r="F1001" t="s">
        <v>50</v>
      </c>
      <c r="G1001" t="s">
        <v>2545</v>
      </c>
      <c r="H1001" t="s">
        <v>2666</v>
      </c>
      <c r="I1001" s="11">
        <v>46297</v>
      </c>
      <c r="J1001" s="12">
        <v>46296</v>
      </c>
      <c r="K1001" s="13">
        <f>INDEX(Assumptions!$B$4:$B$23,MATCH(F1001,Assumptions!$A$4:$A$23,0))</f>
        <v>1.0869565217391299</v>
      </c>
      <c r="L1001" s="14">
        <f t="shared" si="30"/>
        <v>3.6847826086956506</v>
      </c>
      <c r="M1001" t="str">
        <f t="shared" si="31"/>
        <v>No</v>
      </c>
    </row>
    <row r="1002" spans="1:13" x14ac:dyDescent="0.25">
      <c r="A1002">
        <v>338631</v>
      </c>
      <c r="B1002" t="s">
        <v>3117</v>
      </c>
      <c r="C1002" t="s">
        <v>3118</v>
      </c>
      <c r="D1002" t="s">
        <v>6220</v>
      </c>
      <c r="E1002">
        <v>1.19</v>
      </c>
      <c r="F1002" t="s">
        <v>50</v>
      </c>
      <c r="G1002" t="s">
        <v>2545</v>
      </c>
      <c r="H1002" t="s">
        <v>2666</v>
      </c>
      <c r="I1002" s="11">
        <v>46297</v>
      </c>
      <c r="J1002" s="12">
        <v>46296</v>
      </c>
      <c r="K1002" s="13">
        <f>INDEX(Assumptions!$B$4:$B$23,MATCH(F1002,Assumptions!$A$4:$A$23,0))</f>
        <v>1.0869565217391299</v>
      </c>
      <c r="L1002" s="14">
        <f t="shared" si="30"/>
        <v>1.2934782608695645</v>
      </c>
      <c r="M1002" t="str">
        <f t="shared" si="31"/>
        <v>No</v>
      </c>
    </row>
    <row r="1003" spans="1:13" x14ac:dyDescent="0.25">
      <c r="A1003">
        <v>338630</v>
      </c>
      <c r="B1003" t="s">
        <v>3120</v>
      </c>
      <c r="C1003" t="s">
        <v>3121</v>
      </c>
      <c r="D1003" t="s">
        <v>6220</v>
      </c>
      <c r="E1003">
        <v>1.79</v>
      </c>
      <c r="F1003" t="s">
        <v>50</v>
      </c>
      <c r="G1003" t="s">
        <v>2545</v>
      </c>
      <c r="H1003" t="s">
        <v>2666</v>
      </c>
      <c r="I1003" s="11">
        <v>46297</v>
      </c>
      <c r="J1003" s="12">
        <v>46296</v>
      </c>
      <c r="K1003" s="13">
        <f>INDEX(Assumptions!$B$4:$B$23,MATCH(F1003,Assumptions!$A$4:$A$23,0))</f>
        <v>1.0869565217391299</v>
      </c>
      <c r="L1003" s="14">
        <f t="shared" si="30"/>
        <v>1.9456521739130426</v>
      </c>
      <c r="M1003" t="str">
        <f t="shared" si="31"/>
        <v>No</v>
      </c>
    </row>
    <row r="1004" spans="1:13" x14ac:dyDescent="0.25">
      <c r="A1004">
        <v>338629</v>
      </c>
      <c r="B1004" t="s">
        <v>3123</v>
      </c>
      <c r="C1004" t="s">
        <v>3124</v>
      </c>
      <c r="D1004" t="s">
        <v>6220</v>
      </c>
      <c r="E1004">
        <v>1.49</v>
      </c>
      <c r="F1004" t="s">
        <v>50</v>
      </c>
      <c r="G1004" t="s">
        <v>2545</v>
      </c>
      <c r="H1004" t="s">
        <v>2666</v>
      </c>
      <c r="I1004" s="11">
        <v>46297</v>
      </c>
      <c r="J1004" s="12">
        <v>46296</v>
      </c>
      <c r="K1004" s="13">
        <f>INDEX(Assumptions!$B$4:$B$23,MATCH(F1004,Assumptions!$A$4:$A$23,0))</f>
        <v>1.0869565217391299</v>
      </c>
      <c r="L1004" s="14">
        <f t="shared" si="30"/>
        <v>1.6195652173913035</v>
      </c>
      <c r="M1004" t="str">
        <f t="shared" si="31"/>
        <v>No</v>
      </c>
    </row>
    <row r="1005" spans="1:13" x14ac:dyDescent="0.25">
      <c r="A1005">
        <v>338628</v>
      </c>
      <c r="B1005" t="s">
        <v>3126</v>
      </c>
      <c r="C1005" t="s">
        <v>3127</v>
      </c>
      <c r="D1005" t="s">
        <v>6220</v>
      </c>
      <c r="E1005">
        <v>2.09</v>
      </c>
      <c r="F1005" t="s">
        <v>50</v>
      </c>
      <c r="G1005" t="s">
        <v>2545</v>
      </c>
      <c r="H1005" t="s">
        <v>2666</v>
      </c>
      <c r="I1005" s="11">
        <v>46297</v>
      </c>
      <c r="J1005" s="12">
        <v>46296</v>
      </c>
      <c r="K1005" s="13">
        <f>INDEX(Assumptions!$B$4:$B$23,MATCH(F1005,Assumptions!$A$4:$A$23,0))</f>
        <v>1.0869565217391299</v>
      </c>
      <c r="L1005" s="14">
        <f t="shared" si="30"/>
        <v>2.2717391304347814</v>
      </c>
      <c r="M1005" t="str">
        <f t="shared" si="31"/>
        <v>No</v>
      </c>
    </row>
    <row r="1006" spans="1:13" x14ac:dyDescent="0.25">
      <c r="A1006">
        <v>338627</v>
      </c>
      <c r="B1006" t="s">
        <v>3129</v>
      </c>
      <c r="C1006" t="s">
        <v>3130</v>
      </c>
      <c r="D1006" t="s">
        <v>6220</v>
      </c>
      <c r="E1006">
        <v>1.65</v>
      </c>
      <c r="F1006" t="s">
        <v>50</v>
      </c>
      <c r="G1006" t="s">
        <v>2545</v>
      </c>
      <c r="H1006" t="s">
        <v>2666</v>
      </c>
      <c r="I1006" s="11">
        <v>46297</v>
      </c>
      <c r="J1006" s="12">
        <v>46296</v>
      </c>
      <c r="K1006" s="13">
        <f>INDEX(Assumptions!$B$4:$B$23,MATCH(F1006,Assumptions!$A$4:$A$23,0))</f>
        <v>1.0869565217391299</v>
      </c>
      <c r="L1006" s="14">
        <f t="shared" si="30"/>
        <v>1.7934782608695643</v>
      </c>
      <c r="M1006" t="str">
        <f t="shared" si="31"/>
        <v>No</v>
      </c>
    </row>
    <row r="1007" spans="1:13" x14ac:dyDescent="0.25">
      <c r="A1007">
        <v>338626</v>
      </c>
      <c r="B1007" t="s">
        <v>3132</v>
      </c>
      <c r="C1007" t="s">
        <v>3133</v>
      </c>
      <c r="D1007" t="s">
        <v>6220</v>
      </c>
      <c r="E1007">
        <v>1.99</v>
      </c>
      <c r="F1007" t="s">
        <v>50</v>
      </c>
      <c r="G1007" t="s">
        <v>2545</v>
      </c>
      <c r="H1007" t="s">
        <v>2666</v>
      </c>
      <c r="I1007" s="11">
        <v>46297</v>
      </c>
      <c r="J1007" s="12">
        <v>46296</v>
      </c>
      <c r="K1007" s="13">
        <f>INDEX(Assumptions!$B$4:$B$23,MATCH(F1007,Assumptions!$A$4:$A$23,0))</f>
        <v>1.0869565217391299</v>
      </c>
      <c r="L1007" s="14">
        <f t="shared" si="30"/>
        <v>2.1630434782608687</v>
      </c>
      <c r="M1007" t="str">
        <f t="shared" si="31"/>
        <v>No</v>
      </c>
    </row>
    <row r="1008" spans="1:13" x14ac:dyDescent="0.25">
      <c r="A1008">
        <v>338625</v>
      </c>
      <c r="B1008" t="s">
        <v>3135</v>
      </c>
      <c r="C1008" t="s">
        <v>3136</v>
      </c>
      <c r="D1008" t="s">
        <v>6220</v>
      </c>
      <c r="E1008">
        <v>1.89</v>
      </c>
      <c r="F1008" t="s">
        <v>50</v>
      </c>
      <c r="G1008" t="s">
        <v>2545</v>
      </c>
      <c r="H1008" t="s">
        <v>2666</v>
      </c>
      <c r="I1008" s="11">
        <v>46297</v>
      </c>
      <c r="J1008" s="12">
        <v>46296</v>
      </c>
      <c r="K1008" s="13">
        <f>INDEX(Assumptions!$B$4:$B$23,MATCH(F1008,Assumptions!$A$4:$A$23,0))</f>
        <v>1.0869565217391299</v>
      </c>
      <c r="L1008" s="14">
        <f t="shared" si="30"/>
        <v>2.0543478260869557</v>
      </c>
      <c r="M1008" t="str">
        <f t="shared" si="31"/>
        <v>No</v>
      </c>
    </row>
    <row r="1009" spans="1:13" x14ac:dyDescent="0.25">
      <c r="A1009">
        <v>338624</v>
      </c>
      <c r="B1009" t="s">
        <v>3138</v>
      </c>
      <c r="C1009" t="s">
        <v>3139</v>
      </c>
      <c r="D1009" t="s">
        <v>6220</v>
      </c>
      <c r="E1009">
        <v>1.59</v>
      </c>
      <c r="F1009" t="s">
        <v>50</v>
      </c>
      <c r="G1009" t="s">
        <v>2545</v>
      </c>
      <c r="H1009" t="s">
        <v>2666</v>
      </c>
      <c r="I1009" s="11">
        <v>46297</v>
      </c>
      <c r="J1009" s="12">
        <v>46296</v>
      </c>
      <c r="K1009" s="13">
        <f>INDEX(Assumptions!$B$4:$B$23,MATCH(F1009,Assumptions!$A$4:$A$23,0))</f>
        <v>1.0869565217391299</v>
      </c>
      <c r="L1009" s="14">
        <f t="shared" si="30"/>
        <v>1.7282608695652166</v>
      </c>
      <c r="M1009" t="str">
        <f t="shared" si="31"/>
        <v>No</v>
      </c>
    </row>
    <row r="1010" spans="1:13" x14ac:dyDescent="0.25">
      <c r="A1010">
        <v>338623</v>
      </c>
      <c r="B1010" t="s">
        <v>3141</v>
      </c>
      <c r="C1010" t="s">
        <v>3142</v>
      </c>
      <c r="D1010" t="s">
        <v>6220</v>
      </c>
      <c r="E1010">
        <v>2.25</v>
      </c>
      <c r="F1010" t="s">
        <v>50</v>
      </c>
      <c r="G1010" t="s">
        <v>2545</v>
      </c>
      <c r="H1010" t="s">
        <v>2666</v>
      </c>
      <c r="I1010" s="11">
        <v>46297</v>
      </c>
      <c r="J1010" s="12">
        <v>46296</v>
      </c>
      <c r="K1010" s="13">
        <f>INDEX(Assumptions!$B$4:$B$23,MATCH(F1010,Assumptions!$A$4:$A$23,0))</f>
        <v>1.0869565217391299</v>
      </c>
      <c r="L1010" s="14">
        <f t="shared" si="30"/>
        <v>2.4456521739130421</v>
      </c>
      <c r="M1010" t="str">
        <f t="shared" si="31"/>
        <v>No</v>
      </c>
    </row>
    <row r="1011" spans="1:13" x14ac:dyDescent="0.25">
      <c r="A1011">
        <v>338622</v>
      </c>
      <c r="B1011" t="s">
        <v>3144</v>
      </c>
      <c r="C1011" t="s">
        <v>3145</v>
      </c>
      <c r="D1011" t="s">
        <v>6220</v>
      </c>
      <c r="E1011">
        <v>1.99</v>
      </c>
      <c r="F1011" t="s">
        <v>50</v>
      </c>
      <c r="G1011" t="s">
        <v>2545</v>
      </c>
      <c r="H1011" t="s">
        <v>2666</v>
      </c>
      <c r="I1011" s="11">
        <v>46297</v>
      </c>
      <c r="J1011" s="12">
        <v>46296</v>
      </c>
      <c r="K1011" s="13">
        <f>INDEX(Assumptions!$B$4:$B$23,MATCH(F1011,Assumptions!$A$4:$A$23,0))</f>
        <v>1.0869565217391299</v>
      </c>
      <c r="L1011" s="14">
        <f t="shared" si="30"/>
        <v>2.1630434782608687</v>
      </c>
      <c r="M1011" t="str">
        <f t="shared" si="31"/>
        <v>No</v>
      </c>
    </row>
    <row r="1012" spans="1:13" x14ac:dyDescent="0.25">
      <c r="A1012">
        <v>338621</v>
      </c>
      <c r="B1012" t="s">
        <v>3147</v>
      </c>
      <c r="C1012" t="s">
        <v>3148</v>
      </c>
      <c r="D1012" t="s">
        <v>6220</v>
      </c>
      <c r="E1012">
        <v>2.4900000000000002</v>
      </c>
      <c r="F1012" t="s">
        <v>50</v>
      </c>
      <c r="G1012" t="s">
        <v>2545</v>
      </c>
      <c r="H1012" t="s">
        <v>2666</v>
      </c>
      <c r="I1012" s="11">
        <v>46297</v>
      </c>
      <c r="J1012" s="12">
        <v>46296</v>
      </c>
      <c r="K1012" s="13">
        <f>INDEX(Assumptions!$B$4:$B$23,MATCH(F1012,Assumptions!$A$4:$A$23,0))</f>
        <v>1.0869565217391299</v>
      </c>
      <c r="L1012" s="14">
        <f t="shared" si="30"/>
        <v>2.7065217391304337</v>
      </c>
      <c r="M1012" t="str">
        <f t="shared" si="31"/>
        <v>No</v>
      </c>
    </row>
    <row r="1013" spans="1:13" x14ac:dyDescent="0.25">
      <c r="A1013">
        <v>338620</v>
      </c>
      <c r="B1013" t="s">
        <v>3150</v>
      </c>
      <c r="C1013" t="s">
        <v>3151</v>
      </c>
      <c r="D1013" t="s">
        <v>6220</v>
      </c>
      <c r="E1013">
        <v>1.89</v>
      </c>
      <c r="F1013" t="s">
        <v>50</v>
      </c>
      <c r="G1013" t="s">
        <v>2545</v>
      </c>
      <c r="H1013" t="s">
        <v>2666</v>
      </c>
      <c r="I1013" s="11">
        <v>46297</v>
      </c>
      <c r="J1013" s="12">
        <v>46296</v>
      </c>
      <c r="K1013" s="13">
        <f>INDEX(Assumptions!$B$4:$B$23,MATCH(F1013,Assumptions!$A$4:$A$23,0))</f>
        <v>1.0869565217391299</v>
      </c>
      <c r="L1013" s="14">
        <f t="shared" si="30"/>
        <v>2.0543478260869557</v>
      </c>
      <c r="M1013" t="str">
        <f t="shared" si="31"/>
        <v>No</v>
      </c>
    </row>
    <row r="1014" spans="1:13" x14ac:dyDescent="0.25">
      <c r="A1014">
        <v>338619</v>
      </c>
      <c r="B1014" t="s">
        <v>3153</v>
      </c>
      <c r="C1014" t="s">
        <v>3154</v>
      </c>
      <c r="D1014" t="s">
        <v>6220</v>
      </c>
      <c r="E1014">
        <v>1.95</v>
      </c>
      <c r="F1014" t="s">
        <v>50</v>
      </c>
      <c r="G1014" t="s">
        <v>2545</v>
      </c>
      <c r="H1014" t="s">
        <v>2666</v>
      </c>
      <c r="I1014" s="11">
        <v>46297</v>
      </c>
      <c r="J1014" s="12">
        <v>46296</v>
      </c>
      <c r="K1014" s="13">
        <f>INDEX(Assumptions!$B$4:$B$23,MATCH(F1014,Assumptions!$A$4:$A$23,0))</f>
        <v>1.0869565217391299</v>
      </c>
      <c r="L1014" s="14">
        <f t="shared" si="30"/>
        <v>2.1195652173913033</v>
      </c>
      <c r="M1014" t="str">
        <f t="shared" si="31"/>
        <v>No</v>
      </c>
    </row>
    <row r="1015" spans="1:13" x14ac:dyDescent="0.25">
      <c r="A1015">
        <v>338618</v>
      </c>
      <c r="B1015" t="s">
        <v>3156</v>
      </c>
      <c r="C1015" t="s">
        <v>3157</v>
      </c>
      <c r="D1015" t="s">
        <v>6220</v>
      </c>
      <c r="E1015">
        <v>1.45</v>
      </c>
      <c r="F1015" t="s">
        <v>50</v>
      </c>
      <c r="G1015" t="s">
        <v>2545</v>
      </c>
      <c r="H1015" t="s">
        <v>2666</v>
      </c>
      <c r="I1015" s="11">
        <v>46297</v>
      </c>
      <c r="J1015" s="12">
        <v>46296</v>
      </c>
      <c r="K1015" s="13">
        <f>INDEX(Assumptions!$B$4:$B$23,MATCH(F1015,Assumptions!$A$4:$A$23,0))</f>
        <v>1.0869565217391299</v>
      </c>
      <c r="L1015" s="14">
        <f t="shared" si="30"/>
        <v>1.5760869565217384</v>
      </c>
      <c r="M1015" t="str">
        <f t="shared" si="31"/>
        <v>No</v>
      </c>
    </row>
    <row r="1016" spans="1:13" x14ac:dyDescent="0.25">
      <c r="A1016">
        <v>338617</v>
      </c>
      <c r="B1016" t="s">
        <v>3159</v>
      </c>
      <c r="C1016" t="s">
        <v>3160</v>
      </c>
      <c r="D1016" t="s">
        <v>6220</v>
      </c>
      <c r="E1016">
        <v>3.59</v>
      </c>
      <c r="F1016" t="s">
        <v>50</v>
      </c>
      <c r="G1016" t="s">
        <v>2545</v>
      </c>
      <c r="H1016" t="s">
        <v>2666</v>
      </c>
      <c r="I1016" s="11">
        <v>46297</v>
      </c>
      <c r="J1016" s="12">
        <v>46296</v>
      </c>
      <c r="K1016" s="13">
        <f>INDEX(Assumptions!$B$4:$B$23,MATCH(F1016,Assumptions!$A$4:$A$23,0))</f>
        <v>1.0869565217391299</v>
      </c>
      <c r="L1016" s="14">
        <f t="shared" si="30"/>
        <v>3.9021739130434763</v>
      </c>
      <c r="M1016" t="str">
        <f t="shared" si="31"/>
        <v>No</v>
      </c>
    </row>
    <row r="1017" spans="1:13" x14ac:dyDescent="0.25">
      <c r="A1017">
        <v>338616</v>
      </c>
      <c r="B1017" t="s">
        <v>3162</v>
      </c>
      <c r="C1017" t="s">
        <v>3163</v>
      </c>
      <c r="D1017" t="s">
        <v>6220</v>
      </c>
      <c r="E1017">
        <v>1.59</v>
      </c>
      <c r="F1017" t="s">
        <v>50</v>
      </c>
      <c r="G1017" t="s">
        <v>2545</v>
      </c>
      <c r="H1017" t="s">
        <v>2666</v>
      </c>
      <c r="I1017" s="11">
        <v>46297</v>
      </c>
      <c r="J1017" s="12">
        <v>46296</v>
      </c>
      <c r="K1017" s="13">
        <f>INDEX(Assumptions!$B$4:$B$23,MATCH(F1017,Assumptions!$A$4:$A$23,0))</f>
        <v>1.0869565217391299</v>
      </c>
      <c r="L1017" s="14">
        <f t="shared" si="30"/>
        <v>1.7282608695652166</v>
      </c>
      <c r="M1017" t="str">
        <f t="shared" si="31"/>
        <v>No</v>
      </c>
    </row>
    <row r="1018" spans="1:13" x14ac:dyDescent="0.25">
      <c r="A1018">
        <v>338615</v>
      </c>
      <c r="B1018" t="s">
        <v>3165</v>
      </c>
      <c r="C1018" t="s">
        <v>3166</v>
      </c>
      <c r="D1018" t="s">
        <v>6220</v>
      </c>
      <c r="E1018">
        <v>2.29</v>
      </c>
      <c r="F1018" t="s">
        <v>50</v>
      </c>
      <c r="G1018" t="s">
        <v>2545</v>
      </c>
      <c r="H1018" t="s">
        <v>2666</v>
      </c>
      <c r="I1018" s="11">
        <v>46297</v>
      </c>
      <c r="J1018" s="12">
        <v>46296</v>
      </c>
      <c r="K1018" s="13">
        <f>INDEX(Assumptions!$B$4:$B$23,MATCH(F1018,Assumptions!$A$4:$A$23,0))</f>
        <v>1.0869565217391299</v>
      </c>
      <c r="L1018" s="14">
        <f t="shared" si="30"/>
        <v>2.4891304347826075</v>
      </c>
      <c r="M1018" t="str">
        <f t="shared" si="31"/>
        <v>No</v>
      </c>
    </row>
    <row r="1019" spans="1:13" x14ac:dyDescent="0.25">
      <c r="A1019">
        <v>338614</v>
      </c>
      <c r="B1019" t="s">
        <v>3168</v>
      </c>
      <c r="C1019" t="s">
        <v>3169</v>
      </c>
      <c r="D1019" t="s">
        <v>6220</v>
      </c>
      <c r="E1019">
        <v>2.75</v>
      </c>
      <c r="F1019" t="s">
        <v>50</v>
      </c>
      <c r="G1019" t="s">
        <v>2545</v>
      </c>
      <c r="H1019" t="s">
        <v>2666</v>
      </c>
      <c r="I1019" s="11">
        <v>46297</v>
      </c>
      <c r="J1019" s="12">
        <v>46296</v>
      </c>
      <c r="K1019" s="13">
        <f>INDEX(Assumptions!$B$4:$B$23,MATCH(F1019,Assumptions!$A$4:$A$23,0))</f>
        <v>1.0869565217391299</v>
      </c>
      <c r="L1019" s="14">
        <f t="shared" si="30"/>
        <v>2.9891304347826075</v>
      </c>
      <c r="M1019" t="str">
        <f t="shared" si="31"/>
        <v>No</v>
      </c>
    </row>
    <row r="1020" spans="1:13" x14ac:dyDescent="0.25">
      <c r="A1020">
        <v>338613</v>
      </c>
      <c r="B1020" t="s">
        <v>3171</v>
      </c>
      <c r="C1020" t="s">
        <v>3172</v>
      </c>
      <c r="D1020" t="s">
        <v>6220</v>
      </c>
      <c r="E1020">
        <v>1.19</v>
      </c>
      <c r="F1020" t="s">
        <v>50</v>
      </c>
      <c r="G1020" t="s">
        <v>2545</v>
      </c>
      <c r="H1020" t="s">
        <v>2666</v>
      </c>
      <c r="I1020" s="11">
        <v>46297</v>
      </c>
      <c r="J1020" s="12">
        <v>46296</v>
      </c>
      <c r="K1020" s="13">
        <f>INDEX(Assumptions!$B$4:$B$23,MATCH(F1020,Assumptions!$A$4:$A$23,0))</f>
        <v>1.0869565217391299</v>
      </c>
      <c r="L1020" s="14">
        <f t="shared" si="30"/>
        <v>1.2934782608695645</v>
      </c>
      <c r="M1020" t="str">
        <f t="shared" si="31"/>
        <v>No</v>
      </c>
    </row>
    <row r="1021" spans="1:13" x14ac:dyDescent="0.25">
      <c r="A1021">
        <v>338612</v>
      </c>
      <c r="B1021" t="s">
        <v>3174</v>
      </c>
      <c r="C1021" t="s">
        <v>3175</v>
      </c>
      <c r="D1021" t="s">
        <v>6220</v>
      </c>
      <c r="E1021">
        <v>0.95</v>
      </c>
      <c r="F1021" t="s">
        <v>50</v>
      </c>
      <c r="G1021" t="s">
        <v>2545</v>
      </c>
      <c r="H1021" t="s">
        <v>2666</v>
      </c>
      <c r="I1021" s="11">
        <v>46297</v>
      </c>
      <c r="J1021" s="12">
        <v>46296</v>
      </c>
      <c r="K1021" s="13">
        <f>INDEX(Assumptions!$B$4:$B$23,MATCH(F1021,Assumptions!$A$4:$A$23,0))</f>
        <v>1.0869565217391299</v>
      </c>
      <c r="L1021" s="14">
        <f t="shared" si="30"/>
        <v>1.0326086956521734</v>
      </c>
      <c r="M1021" t="str">
        <f t="shared" si="31"/>
        <v>No</v>
      </c>
    </row>
    <row r="1022" spans="1:13" x14ac:dyDescent="0.25">
      <c r="A1022">
        <v>338611</v>
      </c>
      <c r="B1022" t="s">
        <v>3177</v>
      </c>
      <c r="C1022" t="s">
        <v>3178</v>
      </c>
      <c r="D1022" t="s">
        <v>6220</v>
      </c>
      <c r="E1022">
        <v>2.29</v>
      </c>
      <c r="F1022" t="s">
        <v>50</v>
      </c>
      <c r="G1022" t="s">
        <v>2545</v>
      </c>
      <c r="H1022" t="s">
        <v>2666</v>
      </c>
      <c r="I1022" s="11">
        <v>46297</v>
      </c>
      <c r="J1022" s="12">
        <v>46296</v>
      </c>
      <c r="K1022" s="13">
        <f>INDEX(Assumptions!$B$4:$B$23,MATCH(F1022,Assumptions!$A$4:$A$23,0))</f>
        <v>1.0869565217391299</v>
      </c>
      <c r="L1022" s="14">
        <f t="shared" si="30"/>
        <v>2.4891304347826075</v>
      </c>
      <c r="M1022" t="str">
        <f t="shared" si="31"/>
        <v>No</v>
      </c>
    </row>
    <row r="1023" spans="1:13" x14ac:dyDescent="0.25">
      <c r="A1023">
        <v>338610</v>
      </c>
      <c r="B1023" t="s">
        <v>3180</v>
      </c>
      <c r="C1023" t="s">
        <v>3181</v>
      </c>
      <c r="D1023" t="s">
        <v>6220</v>
      </c>
      <c r="E1023">
        <v>1.45</v>
      </c>
      <c r="F1023" t="s">
        <v>50</v>
      </c>
      <c r="G1023" t="s">
        <v>2545</v>
      </c>
      <c r="H1023" t="s">
        <v>2666</v>
      </c>
      <c r="I1023" s="11">
        <v>46297</v>
      </c>
      <c r="J1023" s="12">
        <v>46296</v>
      </c>
      <c r="K1023" s="13">
        <f>INDEX(Assumptions!$B$4:$B$23,MATCH(F1023,Assumptions!$A$4:$A$23,0))</f>
        <v>1.0869565217391299</v>
      </c>
      <c r="L1023" s="14">
        <f t="shared" si="30"/>
        <v>1.5760869565217384</v>
      </c>
      <c r="M1023" t="str">
        <f t="shared" si="31"/>
        <v>No</v>
      </c>
    </row>
    <row r="1024" spans="1:13" x14ac:dyDescent="0.25">
      <c r="A1024">
        <v>338609</v>
      </c>
      <c r="B1024" t="s">
        <v>3183</v>
      </c>
      <c r="C1024" t="s">
        <v>3184</v>
      </c>
      <c r="D1024" t="s">
        <v>6220</v>
      </c>
      <c r="E1024">
        <v>2.15</v>
      </c>
      <c r="F1024" t="s">
        <v>50</v>
      </c>
      <c r="G1024" t="s">
        <v>2545</v>
      </c>
      <c r="H1024" t="s">
        <v>2666</v>
      </c>
      <c r="I1024" s="11">
        <v>46297</v>
      </c>
      <c r="J1024" s="12">
        <v>46296</v>
      </c>
      <c r="K1024" s="13">
        <f>INDEX(Assumptions!$B$4:$B$23,MATCH(F1024,Assumptions!$A$4:$A$23,0))</f>
        <v>1.0869565217391299</v>
      </c>
      <c r="L1024" s="14">
        <f t="shared" si="30"/>
        <v>2.336956521739129</v>
      </c>
      <c r="M1024" t="str">
        <f t="shared" si="31"/>
        <v>No</v>
      </c>
    </row>
    <row r="1025" spans="1:13" x14ac:dyDescent="0.25">
      <c r="A1025">
        <v>338608</v>
      </c>
      <c r="B1025" t="s">
        <v>3186</v>
      </c>
      <c r="C1025" t="s">
        <v>3187</v>
      </c>
      <c r="D1025" t="s">
        <v>6220</v>
      </c>
      <c r="E1025">
        <v>1.79</v>
      </c>
      <c r="F1025" t="s">
        <v>50</v>
      </c>
      <c r="G1025" t="s">
        <v>2545</v>
      </c>
      <c r="H1025" t="s">
        <v>2666</v>
      </c>
      <c r="I1025" s="11">
        <v>46297</v>
      </c>
      <c r="J1025" s="12">
        <v>46296</v>
      </c>
      <c r="K1025" s="13">
        <f>INDEX(Assumptions!$B$4:$B$23,MATCH(F1025,Assumptions!$A$4:$A$23,0))</f>
        <v>1.0869565217391299</v>
      </c>
      <c r="L1025" s="14">
        <f t="shared" si="30"/>
        <v>1.9456521739130426</v>
      </c>
      <c r="M1025" t="str">
        <f t="shared" si="31"/>
        <v>No</v>
      </c>
    </row>
    <row r="1026" spans="1:13" x14ac:dyDescent="0.25">
      <c r="A1026">
        <v>338607</v>
      </c>
      <c r="B1026" t="s">
        <v>3189</v>
      </c>
      <c r="C1026" t="s">
        <v>3190</v>
      </c>
      <c r="D1026" t="s">
        <v>6220</v>
      </c>
      <c r="E1026">
        <v>1.65</v>
      </c>
      <c r="F1026" t="s">
        <v>50</v>
      </c>
      <c r="G1026" t="s">
        <v>2545</v>
      </c>
      <c r="H1026" t="s">
        <v>2666</v>
      </c>
      <c r="I1026" s="11">
        <v>46297</v>
      </c>
      <c r="J1026" s="12">
        <v>46296</v>
      </c>
      <c r="K1026" s="13">
        <f>INDEX(Assumptions!$B$4:$B$23,MATCH(F1026,Assumptions!$A$4:$A$23,0))</f>
        <v>1.0869565217391299</v>
      </c>
      <c r="L1026" s="14">
        <f t="shared" ref="L1026:L1089" si="32">E1026*K1026</f>
        <v>1.7934782608695643</v>
      </c>
      <c r="M1026" t="str">
        <f t="shared" ref="M1026:M1089" si="33">IF(C1026="Unnamed product","Yes","No")</f>
        <v>No</v>
      </c>
    </row>
    <row r="1027" spans="1:13" x14ac:dyDescent="0.25">
      <c r="A1027">
        <v>338606</v>
      </c>
      <c r="B1027" t="s">
        <v>3192</v>
      </c>
      <c r="C1027" t="s">
        <v>3193</v>
      </c>
      <c r="D1027" t="s">
        <v>6220</v>
      </c>
      <c r="E1027">
        <v>1.25</v>
      </c>
      <c r="F1027" t="s">
        <v>50</v>
      </c>
      <c r="G1027" t="s">
        <v>2545</v>
      </c>
      <c r="H1027" t="s">
        <v>2666</v>
      </c>
      <c r="I1027" s="11">
        <v>46297</v>
      </c>
      <c r="J1027" s="12">
        <v>46296</v>
      </c>
      <c r="K1027" s="13">
        <f>INDEX(Assumptions!$B$4:$B$23,MATCH(F1027,Assumptions!$A$4:$A$23,0))</f>
        <v>1.0869565217391299</v>
      </c>
      <c r="L1027" s="14">
        <f t="shared" si="32"/>
        <v>1.3586956521739124</v>
      </c>
      <c r="M1027" t="str">
        <f t="shared" si="33"/>
        <v>No</v>
      </c>
    </row>
    <row r="1028" spans="1:13" x14ac:dyDescent="0.25">
      <c r="A1028">
        <v>338605</v>
      </c>
      <c r="B1028" t="s">
        <v>3195</v>
      </c>
      <c r="C1028" t="s">
        <v>3196</v>
      </c>
      <c r="D1028" t="s">
        <v>6220</v>
      </c>
      <c r="E1028">
        <v>0.79</v>
      </c>
      <c r="F1028" t="s">
        <v>50</v>
      </c>
      <c r="G1028" t="s">
        <v>2545</v>
      </c>
      <c r="H1028" t="s">
        <v>2666</v>
      </c>
      <c r="I1028" s="11">
        <v>46297</v>
      </c>
      <c r="J1028" s="12">
        <v>46296</v>
      </c>
      <c r="K1028" s="13">
        <f>INDEX(Assumptions!$B$4:$B$23,MATCH(F1028,Assumptions!$A$4:$A$23,0))</f>
        <v>1.0869565217391299</v>
      </c>
      <c r="L1028" s="14">
        <f t="shared" si="32"/>
        <v>0.85869565217391264</v>
      </c>
      <c r="M1028" t="str">
        <f t="shared" si="33"/>
        <v>No</v>
      </c>
    </row>
    <row r="1029" spans="1:13" x14ac:dyDescent="0.25">
      <c r="A1029">
        <v>338604</v>
      </c>
      <c r="B1029" t="s">
        <v>3199</v>
      </c>
      <c r="C1029" t="s">
        <v>3200</v>
      </c>
      <c r="D1029" t="s">
        <v>6220</v>
      </c>
      <c r="E1029">
        <v>0.79</v>
      </c>
      <c r="F1029" t="s">
        <v>50</v>
      </c>
      <c r="G1029" t="s">
        <v>2545</v>
      </c>
      <c r="H1029" t="s">
        <v>2666</v>
      </c>
      <c r="I1029" s="11">
        <v>46297</v>
      </c>
      <c r="J1029" s="12">
        <v>46296</v>
      </c>
      <c r="K1029" s="13">
        <f>INDEX(Assumptions!$B$4:$B$23,MATCH(F1029,Assumptions!$A$4:$A$23,0))</f>
        <v>1.0869565217391299</v>
      </c>
      <c r="L1029" s="14">
        <f t="shared" si="32"/>
        <v>0.85869565217391264</v>
      </c>
      <c r="M1029" t="str">
        <f t="shared" si="33"/>
        <v>No</v>
      </c>
    </row>
    <row r="1030" spans="1:13" x14ac:dyDescent="0.25">
      <c r="A1030">
        <v>338603</v>
      </c>
      <c r="B1030" t="s">
        <v>3202</v>
      </c>
      <c r="C1030" t="s">
        <v>3203</v>
      </c>
      <c r="D1030" t="s">
        <v>6220</v>
      </c>
      <c r="E1030">
        <v>2.19</v>
      </c>
      <c r="F1030" t="s">
        <v>50</v>
      </c>
      <c r="G1030" t="s">
        <v>2545</v>
      </c>
      <c r="H1030" t="s">
        <v>2666</v>
      </c>
      <c r="I1030" s="11">
        <v>46297</v>
      </c>
      <c r="J1030" s="12">
        <v>46296</v>
      </c>
      <c r="K1030" s="13">
        <f>INDEX(Assumptions!$B$4:$B$23,MATCH(F1030,Assumptions!$A$4:$A$23,0))</f>
        <v>1.0869565217391299</v>
      </c>
      <c r="L1030" s="14">
        <f t="shared" si="32"/>
        <v>2.3804347826086945</v>
      </c>
      <c r="M1030" t="str">
        <f t="shared" si="33"/>
        <v>No</v>
      </c>
    </row>
    <row r="1031" spans="1:13" x14ac:dyDescent="0.25">
      <c r="A1031">
        <v>338602</v>
      </c>
      <c r="B1031" t="s">
        <v>3205</v>
      </c>
      <c r="C1031" t="s">
        <v>3206</v>
      </c>
      <c r="D1031" t="s">
        <v>6220</v>
      </c>
      <c r="E1031">
        <v>1.1499999999999999</v>
      </c>
      <c r="F1031" t="s">
        <v>50</v>
      </c>
      <c r="G1031" t="s">
        <v>2545</v>
      </c>
      <c r="H1031" t="s">
        <v>2666</v>
      </c>
      <c r="I1031" s="11">
        <v>46297</v>
      </c>
      <c r="J1031" s="12">
        <v>46296</v>
      </c>
      <c r="K1031" s="13">
        <f>INDEX(Assumptions!$B$4:$B$23,MATCH(F1031,Assumptions!$A$4:$A$23,0))</f>
        <v>1.0869565217391299</v>
      </c>
      <c r="L1031" s="14">
        <f t="shared" si="32"/>
        <v>1.2499999999999993</v>
      </c>
      <c r="M1031" t="str">
        <f t="shared" si="33"/>
        <v>No</v>
      </c>
    </row>
    <row r="1032" spans="1:13" x14ac:dyDescent="0.25">
      <c r="A1032">
        <v>338601</v>
      </c>
      <c r="B1032" t="s">
        <v>3208</v>
      </c>
      <c r="C1032" t="s">
        <v>3209</v>
      </c>
      <c r="D1032" t="s">
        <v>6220</v>
      </c>
      <c r="E1032">
        <v>1.89</v>
      </c>
      <c r="F1032" t="s">
        <v>50</v>
      </c>
      <c r="G1032" t="s">
        <v>2545</v>
      </c>
      <c r="H1032" t="s">
        <v>2666</v>
      </c>
      <c r="I1032" s="11">
        <v>46297</v>
      </c>
      <c r="J1032" s="12">
        <v>46296</v>
      </c>
      <c r="K1032" s="13">
        <f>INDEX(Assumptions!$B$4:$B$23,MATCH(F1032,Assumptions!$A$4:$A$23,0))</f>
        <v>1.0869565217391299</v>
      </c>
      <c r="L1032" s="14">
        <f t="shared" si="32"/>
        <v>2.0543478260869557</v>
      </c>
      <c r="M1032" t="str">
        <f t="shared" si="33"/>
        <v>No</v>
      </c>
    </row>
    <row r="1033" spans="1:13" x14ac:dyDescent="0.25">
      <c r="A1033">
        <v>338600</v>
      </c>
      <c r="B1033" t="s">
        <v>3211</v>
      </c>
      <c r="C1033" t="s">
        <v>3212</v>
      </c>
      <c r="D1033" t="s">
        <v>6220</v>
      </c>
      <c r="E1033">
        <v>1.39</v>
      </c>
      <c r="F1033" t="s">
        <v>50</v>
      </c>
      <c r="G1033" t="s">
        <v>2545</v>
      </c>
      <c r="H1033" t="s">
        <v>2666</v>
      </c>
      <c r="I1033" s="11">
        <v>46297</v>
      </c>
      <c r="J1033" s="12">
        <v>46296</v>
      </c>
      <c r="K1033" s="13">
        <f>INDEX(Assumptions!$B$4:$B$23,MATCH(F1033,Assumptions!$A$4:$A$23,0))</f>
        <v>1.0869565217391299</v>
      </c>
      <c r="L1033" s="14">
        <f t="shared" si="32"/>
        <v>1.5108695652173905</v>
      </c>
      <c r="M1033" t="str">
        <f t="shared" si="33"/>
        <v>No</v>
      </c>
    </row>
    <row r="1034" spans="1:13" x14ac:dyDescent="0.25">
      <c r="A1034">
        <v>338599</v>
      </c>
      <c r="B1034" t="s">
        <v>3215</v>
      </c>
      <c r="C1034" t="s">
        <v>3216</v>
      </c>
      <c r="D1034" t="s">
        <v>6220</v>
      </c>
      <c r="E1034">
        <v>2.99</v>
      </c>
      <c r="F1034" t="s">
        <v>50</v>
      </c>
      <c r="G1034" t="s">
        <v>2545</v>
      </c>
      <c r="H1034" t="s">
        <v>2666</v>
      </c>
      <c r="I1034" s="11">
        <v>46297</v>
      </c>
      <c r="J1034" s="12">
        <v>46296</v>
      </c>
      <c r="K1034" s="13">
        <f>INDEX(Assumptions!$B$4:$B$23,MATCH(F1034,Assumptions!$A$4:$A$23,0))</f>
        <v>1.0869565217391299</v>
      </c>
      <c r="L1034" s="14">
        <f t="shared" si="32"/>
        <v>3.2499999999999987</v>
      </c>
      <c r="M1034" t="str">
        <f t="shared" si="33"/>
        <v>No</v>
      </c>
    </row>
    <row r="1035" spans="1:13" x14ac:dyDescent="0.25">
      <c r="A1035">
        <v>338598</v>
      </c>
      <c r="B1035" t="s">
        <v>3218</v>
      </c>
      <c r="C1035" t="s">
        <v>3219</v>
      </c>
      <c r="D1035" t="s">
        <v>6220</v>
      </c>
      <c r="E1035">
        <v>2.59</v>
      </c>
      <c r="F1035" t="s">
        <v>50</v>
      </c>
      <c r="G1035" t="s">
        <v>2545</v>
      </c>
      <c r="H1035" t="s">
        <v>2666</v>
      </c>
      <c r="I1035" s="11">
        <v>46297</v>
      </c>
      <c r="J1035" s="12">
        <v>46296</v>
      </c>
      <c r="K1035" s="13">
        <f>INDEX(Assumptions!$B$4:$B$23,MATCH(F1035,Assumptions!$A$4:$A$23,0))</f>
        <v>1.0869565217391299</v>
      </c>
      <c r="L1035" s="14">
        <f t="shared" si="32"/>
        <v>2.8152173913043463</v>
      </c>
      <c r="M1035" t="str">
        <f t="shared" si="33"/>
        <v>No</v>
      </c>
    </row>
    <row r="1036" spans="1:13" x14ac:dyDescent="0.25">
      <c r="A1036">
        <v>338597</v>
      </c>
      <c r="B1036" t="s">
        <v>3221</v>
      </c>
      <c r="C1036" t="s">
        <v>3222</v>
      </c>
      <c r="D1036" t="s">
        <v>6220</v>
      </c>
      <c r="E1036">
        <v>2.99</v>
      </c>
      <c r="F1036" t="s">
        <v>50</v>
      </c>
      <c r="G1036" t="s">
        <v>2545</v>
      </c>
      <c r="H1036" t="s">
        <v>2666</v>
      </c>
      <c r="I1036" s="11">
        <v>46297</v>
      </c>
      <c r="J1036" s="12">
        <v>46296</v>
      </c>
      <c r="K1036" s="13">
        <f>INDEX(Assumptions!$B$4:$B$23,MATCH(F1036,Assumptions!$A$4:$A$23,0))</f>
        <v>1.0869565217391299</v>
      </c>
      <c r="L1036" s="14">
        <f t="shared" si="32"/>
        <v>3.2499999999999987</v>
      </c>
      <c r="M1036" t="str">
        <f t="shared" si="33"/>
        <v>No</v>
      </c>
    </row>
    <row r="1037" spans="1:13" x14ac:dyDescent="0.25">
      <c r="A1037">
        <v>338596</v>
      </c>
      <c r="B1037" t="s">
        <v>3224</v>
      </c>
      <c r="C1037" t="s">
        <v>3225</v>
      </c>
      <c r="D1037" t="s">
        <v>6220</v>
      </c>
      <c r="E1037">
        <v>3.89</v>
      </c>
      <c r="F1037" t="s">
        <v>50</v>
      </c>
      <c r="G1037" t="s">
        <v>2545</v>
      </c>
      <c r="H1037" t="s">
        <v>2666</v>
      </c>
      <c r="I1037" s="11">
        <v>46297</v>
      </c>
      <c r="J1037" s="12">
        <v>46296</v>
      </c>
      <c r="K1037" s="13">
        <f>INDEX(Assumptions!$B$4:$B$23,MATCH(F1037,Assumptions!$A$4:$A$23,0))</f>
        <v>1.0869565217391299</v>
      </c>
      <c r="L1037" s="14">
        <f t="shared" si="32"/>
        <v>4.228260869565216</v>
      </c>
      <c r="M1037" t="str">
        <f t="shared" si="33"/>
        <v>No</v>
      </c>
    </row>
    <row r="1038" spans="1:13" x14ac:dyDescent="0.25">
      <c r="A1038">
        <v>338595</v>
      </c>
      <c r="B1038" t="s">
        <v>3227</v>
      </c>
      <c r="C1038" t="s">
        <v>3228</v>
      </c>
      <c r="D1038" t="s">
        <v>6220</v>
      </c>
      <c r="E1038">
        <v>3.85</v>
      </c>
      <c r="F1038" t="s">
        <v>50</v>
      </c>
      <c r="G1038" t="s">
        <v>2545</v>
      </c>
      <c r="H1038" t="s">
        <v>2666</v>
      </c>
      <c r="I1038" s="11">
        <v>46297</v>
      </c>
      <c r="J1038" s="12">
        <v>46296</v>
      </c>
      <c r="K1038" s="13">
        <f>INDEX(Assumptions!$B$4:$B$23,MATCH(F1038,Assumptions!$A$4:$A$23,0))</f>
        <v>1.0869565217391299</v>
      </c>
      <c r="L1038" s="14">
        <f t="shared" si="32"/>
        <v>4.1847826086956506</v>
      </c>
      <c r="M1038" t="str">
        <f t="shared" si="33"/>
        <v>No</v>
      </c>
    </row>
    <row r="1039" spans="1:13" x14ac:dyDescent="0.25">
      <c r="A1039">
        <v>338594</v>
      </c>
      <c r="B1039" t="s">
        <v>3230</v>
      </c>
      <c r="C1039" t="s">
        <v>3231</v>
      </c>
      <c r="D1039" t="s">
        <v>6220</v>
      </c>
      <c r="E1039">
        <v>2.19</v>
      </c>
      <c r="F1039" t="s">
        <v>50</v>
      </c>
      <c r="G1039" t="s">
        <v>2545</v>
      </c>
      <c r="H1039" t="s">
        <v>2666</v>
      </c>
      <c r="I1039" s="11">
        <v>46297</v>
      </c>
      <c r="J1039" s="12">
        <v>46296</v>
      </c>
      <c r="K1039" s="13">
        <f>INDEX(Assumptions!$B$4:$B$23,MATCH(F1039,Assumptions!$A$4:$A$23,0))</f>
        <v>1.0869565217391299</v>
      </c>
      <c r="L1039" s="14">
        <f t="shared" si="32"/>
        <v>2.3804347826086945</v>
      </c>
      <c r="M1039" t="str">
        <f t="shared" si="33"/>
        <v>No</v>
      </c>
    </row>
    <row r="1040" spans="1:13" x14ac:dyDescent="0.25">
      <c r="A1040">
        <v>338593</v>
      </c>
      <c r="B1040" t="s">
        <v>3233</v>
      </c>
      <c r="C1040" t="s">
        <v>3234</v>
      </c>
      <c r="D1040" t="s">
        <v>6220</v>
      </c>
      <c r="E1040">
        <v>2.89</v>
      </c>
      <c r="F1040" t="s">
        <v>50</v>
      </c>
      <c r="G1040" t="s">
        <v>2545</v>
      </c>
      <c r="H1040" t="s">
        <v>2666</v>
      </c>
      <c r="I1040" s="11">
        <v>46297</v>
      </c>
      <c r="J1040" s="12">
        <v>46296</v>
      </c>
      <c r="K1040" s="13">
        <f>INDEX(Assumptions!$B$4:$B$23,MATCH(F1040,Assumptions!$A$4:$A$23,0))</f>
        <v>1.0869565217391299</v>
      </c>
      <c r="L1040" s="14">
        <f t="shared" si="32"/>
        <v>3.1413043478260856</v>
      </c>
      <c r="M1040" t="str">
        <f t="shared" si="33"/>
        <v>No</v>
      </c>
    </row>
    <row r="1041" spans="1:13" x14ac:dyDescent="0.25">
      <c r="A1041">
        <v>338592</v>
      </c>
      <c r="B1041" t="s">
        <v>3236</v>
      </c>
      <c r="C1041" t="s">
        <v>3237</v>
      </c>
      <c r="D1041" t="s">
        <v>6220</v>
      </c>
      <c r="E1041">
        <v>12.2</v>
      </c>
      <c r="F1041" t="s">
        <v>50</v>
      </c>
      <c r="G1041" t="s">
        <v>2545</v>
      </c>
      <c r="H1041" t="s">
        <v>2666</v>
      </c>
      <c r="I1041" s="11">
        <v>46297</v>
      </c>
      <c r="J1041" s="12">
        <v>46296</v>
      </c>
      <c r="K1041" s="13">
        <f>INDEX(Assumptions!$B$4:$B$23,MATCH(F1041,Assumptions!$A$4:$A$23,0))</f>
        <v>1.0869565217391299</v>
      </c>
      <c r="L1041" s="14">
        <f t="shared" si="32"/>
        <v>13.260869565217384</v>
      </c>
      <c r="M1041" t="str">
        <f t="shared" si="33"/>
        <v>No</v>
      </c>
    </row>
    <row r="1042" spans="1:13" x14ac:dyDescent="0.25">
      <c r="A1042">
        <v>338591</v>
      </c>
      <c r="B1042" t="s">
        <v>3240</v>
      </c>
      <c r="C1042" t="s">
        <v>3241</v>
      </c>
      <c r="D1042" t="s">
        <v>6220</v>
      </c>
      <c r="E1042">
        <v>13.55</v>
      </c>
      <c r="F1042" t="s">
        <v>50</v>
      </c>
      <c r="G1042" t="s">
        <v>2545</v>
      </c>
      <c r="H1042" t="s">
        <v>2666</v>
      </c>
      <c r="I1042" s="11">
        <v>46297</v>
      </c>
      <c r="J1042" s="12">
        <v>46296</v>
      </c>
      <c r="K1042" s="13">
        <f>INDEX(Assumptions!$B$4:$B$23,MATCH(F1042,Assumptions!$A$4:$A$23,0))</f>
        <v>1.0869565217391299</v>
      </c>
      <c r="L1042" s="14">
        <f t="shared" si="32"/>
        <v>14.728260869565212</v>
      </c>
      <c r="M1042" t="str">
        <f t="shared" si="33"/>
        <v>No</v>
      </c>
    </row>
    <row r="1043" spans="1:13" x14ac:dyDescent="0.25">
      <c r="A1043">
        <v>338590</v>
      </c>
      <c r="B1043" t="s">
        <v>3244</v>
      </c>
      <c r="C1043" t="s">
        <v>3245</v>
      </c>
      <c r="D1043" t="s">
        <v>6220</v>
      </c>
      <c r="E1043">
        <v>11.69</v>
      </c>
      <c r="F1043" t="s">
        <v>50</v>
      </c>
      <c r="G1043" t="s">
        <v>2545</v>
      </c>
      <c r="H1043" t="s">
        <v>2666</v>
      </c>
      <c r="I1043" s="11">
        <v>46297</v>
      </c>
      <c r="J1043" s="12">
        <v>46296</v>
      </c>
      <c r="K1043" s="13">
        <f>INDEX(Assumptions!$B$4:$B$23,MATCH(F1043,Assumptions!$A$4:$A$23,0))</f>
        <v>1.0869565217391299</v>
      </c>
      <c r="L1043" s="14">
        <f t="shared" si="32"/>
        <v>12.706521739130428</v>
      </c>
      <c r="M1043" t="str">
        <f t="shared" si="33"/>
        <v>No</v>
      </c>
    </row>
    <row r="1044" spans="1:13" x14ac:dyDescent="0.25">
      <c r="A1044">
        <v>338589</v>
      </c>
      <c r="B1044" t="s">
        <v>3248</v>
      </c>
      <c r="C1044" t="s">
        <v>3249</v>
      </c>
      <c r="D1044" t="s">
        <v>6220</v>
      </c>
      <c r="E1044">
        <v>15.49</v>
      </c>
      <c r="F1044" t="s">
        <v>50</v>
      </c>
      <c r="G1044" t="s">
        <v>2545</v>
      </c>
      <c r="H1044" t="s">
        <v>2666</v>
      </c>
      <c r="I1044" s="11">
        <v>46297</v>
      </c>
      <c r="J1044" s="12">
        <v>46296</v>
      </c>
      <c r="K1044" s="13">
        <f>INDEX(Assumptions!$B$4:$B$23,MATCH(F1044,Assumptions!$A$4:$A$23,0))</f>
        <v>1.0869565217391299</v>
      </c>
      <c r="L1044" s="14">
        <f t="shared" si="32"/>
        <v>16.836956521739122</v>
      </c>
      <c r="M1044" t="str">
        <f t="shared" si="33"/>
        <v>No</v>
      </c>
    </row>
    <row r="1045" spans="1:13" x14ac:dyDescent="0.25">
      <c r="A1045">
        <v>338588</v>
      </c>
      <c r="B1045" t="s">
        <v>3252</v>
      </c>
      <c r="C1045" t="s">
        <v>3253</v>
      </c>
      <c r="D1045" t="s">
        <v>6220</v>
      </c>
      <c r="E1045">
        <v>13.15</v>
      </c>
      <c r="F1045" t="s">
        <v>50</v>
      </c>
      <c r="G1045" t="s">
        <v>2545</v>
      </c>
      <c r="H1045" t="s">
        <v>2666</v>
      </c>
      <c r="I1045" s="11">
        <v>46297</v>
      </c>
      <c r="J1045" s="12">
        <v>46296</v>
      </c>
      <c r="K1045" s="13">
        <f>INDEX(Assumptions!$B$4:$B$23,MATCH(F1045,Assumptions!$A$4:$A$23,0))</f>
        <v>1.0869565217391299</v>
      </c>
      <c r="L1045" s="14">
        <f t="shared" si="32"/>
        <v>14.293478260869559</v>
      </c>
      <c r="M1045" t="str">
        <f t="shared" si="33"/>
        <v>No</v>
      </c>
    </row>
    <row r="1046" spans="1:13" x14ac:dyDescent="0.25">
      <c r="A1046">
        <v>338587</v>
      </c>
      <c r="B1046" t="s">
        <v>3255</v>
      </c>
      <c r="C1046" t="s">
        <v>3256</v>
      </c>
      <c r="D1046" t="s">
        <v>6220</v>
      </c>
      <c r="E1046">
        <v>7.89</v>
      </c>
      <c r="F1046" t="s">
        <v>50</v>
      </c>
      <c r="G1046" t="s">
        <v>2545</v>
      </c>
      <c r="H1046" t="s">
        <v>2666</v>
      </c>
      <c r="I1046" s="11">
        <v>46297</v>
      </c>
      <c r="J1046" s="12">
        <v>46296</v>
      </c>
      <c r="K1046" s="13">
        <f>INDEX(Assumptions!$B$4:$B$23,MATCH(F1046,Assumptions!$A$4:$A$23,0))</f>
        <v>1.0869565217391299</v>
      </c>
      <c r="L1046" s="14">
        <f t="shared" si="32"/>
        <v>8.5760869565217348</v>
      </c>
      <c r="M1046" t="str">
        <f t="shared" si="33"/>
        <v>No</v>
      </c>
    </row>
    <row r="1047" spans="1:13" x14ac:dyDescent="0.25">
      <c r="A1047">
        <v>338586</v>
      </c>
      <c r="B1047" t="s">
        <v>3258</v>
      </c>
      <c r="C1047" t="s">
        <v>3259</v>
      </c>
      <c r="D1047" t="s">
        <v>6220</v>
      </c>
      <c r="E1047">
        <v>2.89</v>
      </c>
      <c r="F1047" t="s">
        <v>50</v>
      </c>
      <c r="G1047" t="s">
        <v>2545</v>
      </c>
      <c r="H1047" t="s">
        <v>2666</v>
      </c>
      <c r="I1047" s="11">
        <v>46297</v>
      </c>
      <c r="J1047" s="12">
        <v>46296</v>
      </c>
      <c r="K1047" s="13">
        <f>INDEX(Assumptions!$B$4:$B$23,MATCH(F1047,Assumptions!$A$4:$A$23,0))</f>
        <v>1.0869565217391299</v>
      </c>
      <c r="L1047" s="14">
        <f t="shared" si="32"/>
        <v>3.1413043478260856</v>
      </c>
      <c r="M1047" t="str">
        <f t="shared" si="33"/>
        <v>No</v>
      </c>
    </row>
    <row r="1048" spans="1:13" x14ac:dyDescent="0.25">
      <c r="A1048">
        <v>338585</v>
      </c>
      <c r="B1048" t="s">
        <v>3261</v>
      </c>
      <c r="C1048" t="s">
        <v>3262</v>
      </c>
      <c r="D1048" t="s">
        <v>6220</v>
      </c>
      <c r="E1048">
        <v>1.05</v>
      </c>
      <c r="F1048" t="s">
        <v>50</v>
      </c>
      <c r="G1048" t="s">
        <v>2545</v>
      </c>
      <c r="H1048" t="s">
        <v>2666</v>
      </c>
      <c r="I1048" s="11">
        <v>46297</v>
      </c>
      <c r="J1048" s="12">
        <v>46296</v>
      </c>
      <c r="K1048" s="13">
        <f>INDEX(Assumptions!$B$4:$B$23,MATCH(F1048,Assumptions!$A$4:$A$23,0))</f>
        <v>1.0869565217391299</v>
      </c>
      <c r="L1048" s="14">
        <f t="shared" si="32"/>
        <v>1.1413043478260865</v>
      </c>
      <c r="M1048" t="str">
        <f t="shared" si="33"/>
        <v>No</v>
      </c>
    </row>
    <row r="1049" spans="1:13" x14ac:dyDescent="0.25">
      <c r="A1049">
        <v>338584</v>
      </c>
      <c r="B1049" t="s">
        <v>3264</v>
      </c>
      <c r="C1049" t="s">
        <v>3265</v>
      </c>
      <c r="D1049" t="s">
        <v>6220</v>
      </c>
      <c r="E1049">
        <v>2.89</v>
      </c>
      <c r="F1049" t="s">
        <v>50</v>
      </c>
      <c r="G1049" t="s">
        <v>2545</v>
      </c>
      <c r="H1049" t="s">
        <v>2666</v>
      </c>
      <c r="I1049" s="11">
        <v>46297</v>
      </c>
      <c r="J1049" s="12">
        <v>46296</v>
      </c>
      <c r="K1049" s="13">
        <f>INDEX(Assumptions!$B$4:$B$23,MATCH(F1049,Assumptions!$A$4:$A$23,0))</f>
        <v>1.0869565217391299</v>
      </c>
      <c r="L1049" s="14">
        <f t="shared" si="32"/>
        <v>3.1413043478260856</v>
      </c>
      <c r="M1049" t="str">
        <f t="shared" si="33"/>
        <v>No</v>
      </c>
    </row>
    <row r="1050" spans="1:13" x14ac:dyDescent="0.25">
      <c r="A1050">
        <v>338583</v>
      </c>
      <c r="B1050" t="s">
        <v>3267</v>
      </c>
      <c r="C1050" t="s">
        <v>3268</v>
      </c>
      <c r="D1050" t="s">
        <v>6220</v>
      </c>
      <c r="E1050">
        <v>5.25</v>
      </c>
      <c r="F1050" t="s">
        <v>50</v>
      </c>
      <c r="G1050" t="s">
        <v>2545</v>
      </c>
      <c r="H1050" t="s">
        <v>2666</v>
      </c>
      <c r="I1050" s="11">
        <v>46297</v>
      </c>
      <c r="J1050" s="12">
        <v>46296</v>
      </c>
      <c r="K1050" s="13">
        <f>INDEX(Assumptions!$B$4:$B$23,MATCH(F1050,Assumptions!$A$4:$A$23,0))</f>
        <v>1.0869565217391299</v>
      </c>
      <c r="L1050" s="14">
        <f t="shared" si="32"/>
        <v>5.7065217391304319</v>
      </c>
      <c r="M1050" t="str">
        <f t="shared" si="33"/>
        <v>No</v>
      </c>
    </row>
    <row r="1051" spans="1:13" x14ac:dyDescent="0.25">
      <c r="A1051">
        <v>338582</v>
      </c>
      <c r="B1051" t="s">
        <v>3271</v>
      </c>
      <c r="C1051" t="s">
        <v>3272</v>
      </c>
      <c r="D1051" t="s">
        <v>6220</v>
      </c>
      <c r="E1051">
        <v>2.4500000000000002</v>
      </c>
      <c r="F1051" t="s">
        <v>50</v>
      </c>
      <c r="G1051" t="s">
        <v>2545</v>
      </c>
      <c r="H1051" t="s">
        <v>2666</v>
      </c>
      <c r="I1051" s="11">
        <v>46297</v>
      </c>
      <c r="J1051" s="12">
        <v>46296</v>
      </c>
      <c r="K1051" s="13">
        <f>INDEX(Assumptions!$B$4:$B$23,MATCH(F1051,Assumptions!$A$4:$A$23,0))</f>
        <v>1.0869565217391299</v>
      </c>
      <c r="L1051" s="14">
        <f t="shared" si="32"/>
        <v>2.6630434782608687</v>
      </c>
      <c r="M1051" t="str">
        <f t="shared" si="33"/>
        <v>No</v>
      </c>
    </row>
    <row r="1052" spans="1:13" x14ac:dyDescent="0.25">
      <c r="A1052">
        <v>338581</v>
      </c>
      <c r="B1052" t="s">
        <v>3274</v>
      </c>
      <c r="C1052" t="s">
        <v>6221</v>
      </c>
      <c r="D1052" t="s">
        <v>6220</v>
      </c>
      <c r="E1052">
        <v>1.81</v>
      </c>
      <c r="F1052" t="s">
        <v>50</v>
      </c>
      <c r="G1052" t="s">
        <v>3277</v>
      </c>
      <c r="H1052" t="s">
        <v>3276</v>
      </c>
      <c r="I1052" s="11">
        <v>46297</v>
      </c>
      <c r="J1052" s="12">
        <v>46296</v>
      </c>
      <c r="K1052" s="13">
        <f>INDEX(Assumptions!$B$4:$B$23,MATCH(F1052,Assumptions!$A$4:$A$23,0))</f>
        <v>1.0869565217391299</v>
      </c>
      <c r="L1052" s="14">
        <f t="shared" si="32"/>
        <v>1.9673913043478253</v>
      </c>
      <c r="M1052" t="str">
        <f t="shared" si="33"/>
        <v>Yes</v>
      </c>
    </row>
    <row r="1053" spans="1:13" x14ac:dyDescent="0.25">
      <c r="A1053">
        <v>338580</v>
      </c>
      <c r="B1053" t="s">
        <v>3279</v>
      </c>
      <c r="C1053" t="s">
        <v>6221</v>
      </c>
      <c r="D1053" t="s">
        <v>6220</v>
      </c>
      <c r="E1053">
        <v>3.71</v>
      </c>
      <c r="F1053" t="s">
        <v>50</v>
      </c>
      <c r="G1053" t="s">
        <v>3277</v>
      </c>
      <c r="H1053" t="s">
        <v>3276</v>
      </c>
      <c r="I1053" s="11">
        <v>46297</v>
      </c>
      <c r="J1053" s="12">
        <v>46296</v>
      </c>
      <c r="K1053" s="13">
        <f>INDEX(Assumptions!$B$4:$B$23,MATCH(F1053,Assumptions!$A$4:$A$23,0))</f>
        <v>1.0869565217391299</v>
      </c>
      <c r="L1053" s="14">
        <f t="shared" si="32"/>
        <v>4.0326086956521721</v>
      </c>
      <c r="M1053" t="str">
        <f t="shared" si="33"/>
        <v>Yes</v>
      </c>
    </row>
    <row r="1054" spans="1:13" x14ac:dyDescent="0.25">
      <c r="A1054">
        <v>338579</v>
      </c>
      <c r="B1054" t="s">
        <v>3281</v>
      </c>
      <c r="C1054" t="s">
        <v>6221</v>
      </c>
      <c r="D1054" t="s">
        <v>6220</v>
      </c>
      <c r="E1054">
        <v>21.5</v>
      </c>
      <c r="F1054" t="s">
        <v>123</v>
      </c>
      <c r="G1054" t="s">
        <v>125</v>
      </c>
      <c r="H1054" t="s">
        <v>124</v>
      </c>
      <c r="I1054" s="11">
        <v>46294</v>
      </c>
      <c r="J1054" s="12">
        <v>46266</v>
      </c>
      <c r="K1054" s="13">
        <f>INDEX(Assumptions!$B$4:$B$23,MATCH(F1054,Assumptions!$A$4:$A$23,0))</f>
        <v>0.10526315789473679</v>
      </c>
      <c r="L1054" s="14">
        <f t="shared" si="32"/>
        <v>2.2631578947368411</v>
      </c>
      <c r="M1054" t="str">
        <f t="shared" si="33"/>
        <v>Yes</v>
      </c>
    </row>
    <row r="1055" spans="1:13" x14ac:dyDescent="0.25">
      <c r="A1055">
        <v>338578</v>
      </c>
      <c r="B1055" t="s">
        <v>3284</v>
      </c>
      <c r="C1055" t="s">
        <v>6221</v>
      </c>
      <c r="D1055" t="s">
        <v>6220</v>
      </c>
      <c r="E1055">
        <v>39.9</v>
      </c>
      <c r="F1055" t="s">
        <v>123</v>
      </c>
      <c r="G1055" t="s">
        <v>125</v>
      </c>
      <c r="H1055" t="s">
        <v>124</v>
      </c>
      <c r="I1055" s="11">
        <v>46294</v>
      </c>
      <c r="J1055" s="12">
        <v>46266</v>
      </c>
      <c r="K1055" s="13">
        <f>INDEX(Assumptions!$B$4:$B$23,MATCH(F1055,Assumptions!$A$4:$A$23,0))</f>
        <v>0.10526315789473679</v>
      </c>
      <c r="L1055" s="14">
        <f t="shared" si="32"/>
        <v>4.1999999999999975</v>
      </c>
      <c r="M1055" t="str">
        <f t="shared" si="33"/>
        <v>Yes</v>
      </c>
    </row>
    <row r="1056" spans="1:13" x14ac:dyDescent="0.25">
      <c r="A1056">
        <v>338577</v>
      </c>
      <c r="B1056" t="s">
        <v>3286</v>
      </c>
      <c r="C1056" t="s">
        <v>6221</v>
      </c>
      <c r="D1056" t="s">
        <v>6220</v>
      </c>
      <c r="E1056">
        <v>16.899999999999999</v>
      </c>
      <c r="F1056" t="s">
        <v>123</v>
      </c>
      <c r="G1056" t="s">
        <v>125</v>
      </c>
      <c r="H1056" t="s">
        <v>124</v>
      </c>
      <c r="I1056" s="11">
        <v>46294</v>
      </c>
      <c r="J1056" s="12">
        <v>46266</v>
      </c>
      <c r="K1056" s="13">
        <f>INDEX(Assumptions!$B$4:$B$23,MATCH(F1056,Assumptions!$A$4:$A$23,0))</f>
        <v>0.10526315789473679</v>
      </c>
      <c r="L1056" s="14">
        <f t="shared" si="32"/>
        <v>1.7789473684210517</v>
      </c>
      <c r="M1056" t="str">
        <f t="shared" si="33"/>
        <v>Yes</v>
      </c>
    </row>
    <row r="1057" spans="1:13" x14ac:dyDescent="0.25">
      <c r="A1057">
        <v>338576</v>
      </c>
      <c r="B1057" t="s">
        <v>3288</v>
      </c>
      <c r="C1057" t="s">
        <v>6221</v>
      </c>
      <c r="D1057" t="s">
        <v>6220</v>
      </c>
      <c r="E1057">
        <v>15.5</v>
      </c>
      <c r="F1057" t="s">
        <v>123</v>
      </c>
      <c r="G1057" t="s">
        <v>125</v>
      </c>
      <c r="H1057" t="s">
        <v>124</v>
      </c>
      <c r="I1057" s="11">
        <v>46294</v>
      </c>
      <c r="J1057" s="12">
        <v>46266</v>
      </c>
      <c r="K1057" s="13">
        <f>INDEX(Assumptions!$B$4:$B$23,MATCH(F1057,Assumptions!$A$4:$A$23,0))</f>
        <v>0.10526315789473679</v>
      </c>
      <c r="L1057" s="14">
        <f t="shared" si="32"/>
        <v>1.6315789473684204</v>
      </c>
      <c r="M1057" t="str">
        <f t="shared" si="33"/>
        <v>Yes</v>
      </c>
    </row>
    <row r="1058" spans="1:13" x14ac:dyDescent="0.25">
      <c r="A1058">
        <v>338575</v>
      </c>
      <c r="B1058" t="s">
        <v>3291</v>
      </c>
      <c r="C1058" t="s">
        <v>6221</v>
      </c>
      <c r="D1058" t="s">
        <v>6220</v>
      </c>
      <c r="E1058">
        <v>36.9</v>
      </c>
      <c r="F1058" t="s">
        <v>123</v>
      </c>
      <c r="G1058" t="s">
        <v>125</v>
      </c>
      <c r="H1058" t="s">
        <v>124</v>
      </c>
      <c r="I1058" s="11">
        <v>46294</v>
      </c>
      <c r="J1058" s="12">
        <v>46266</v>
      </c>
      <c r="K1058" s="13">
        <f>INDEX(Assumptions!$B$4:$B$23,MATCH(F1058,Assumptions!$A$4:$A$23,0))</f>
        <v>0.10526315789473679</v>
      </c>
      <c r="L1058" s="14">
        <f t="shared" si="32"/>
        <v>3.8842105263157878</v>
      </c>
      <c r="M1058" t="str">
        <f t="shared" si="33"/>
        <v>Yes</v>
      </c>
    </row>
    <row r="1059" spans="1:13" x14ac:dyDescent="0.25">
      <c r="A1059">
        <v>338574</v>
      </c>
      <c r="B1059" t="s">
        <v>916</v>
      </c>
      <c r="C1059" t="s">
        <v>6221</v>
      </c>
      <c r="D1059" t="s">
        <v>6220</v>
      </c>
      <c r="E1059">
        <v>13.9</v>
      </c>
      <c r="F1059" t="s">
        <v>123</v>
      </c>
      <c r="G1059" t="s">
        <v>125</v>
      </c>
      <c r="H1059" t="s">
        <v>124</v>
      </c>
      <c r="I1059" s="11">
        <v>46294</v>
      </c>
      <c r="J1059" s="12">
        <v>46266</v>
      </c>
      <c r="K1059" s="13">
        <f>INDEX(Assumptions!$B$4:$B$23,MATCH(F1059,Assumptions!$A$4:$A$23,0))</f>
        <v>0.10526315789473679</v>
      </c>
      <c r="L1059" s="14">
        <f t="shared" si="32"/>
        <v>1.4631578947368415</v>
      </c>
      <c r="M1059" t="str">
        <f t="shared" si="33"/>
        <v>Yes</v>
      </c>
    </row>
    <row r="1060" spans="1:13" x14ac:dyDescent="0.25">
      <c r="A1060">
        <v>338573</v>
      </c>
      <c r="B1060" t="s">
        <v>3294</v>
      </c>
      <c r="C1060" t="s">
        <v>6221</v>
      </c>
      <c r="D1060" t="s">
        <v>6220</v>
      </c>
      <c r="E1060">
        <v>27.35</v>
      </c>
      <c r="F1060" t="s">
        <v>123</v>
      </c>
      <c r="G1060" t="s">
        <v>125</v>
      </c>
      <c r="H1060" t="s">
        <v>124</v>
      </c>
      <c r="I1060" s="11">
        <v>46294</v>
      </c>
      <c r="J1060" s="12">
        <v>46266</v>
      </c>
      <c r="K1060" s="13">
        <f>INDEX(Assumptions!$B$4:$B$23,MATCH(F1060,Assumptions!$A$4:$A$23,0))</f>
        <v>0.10526315789473679</v>
      </c>
      <c r="L1060" s="14">
        <f t="shared" si="32"/>
        <v>2.8789473684210516</v>
      </c>
      <c r="M1060" t="str">
        <f t="shared" si="33"/>
        <v>Yes</v>
      </c>
    </row>
    <row r="1061" spans="1:13" x14ac:dyDescent="0.25">
      <c r="A1061">
        <v>338572</v>
      </c>
      <c r="B1061" t="s">
        <v>3297</v>
      </c>
      <c r="C1061" t="s">
        <v>6221</v>
      </c>
      <c r="D1061" t="s">
        <v>6220</v>
      </c>
      <c r="E1061">
        <v>8.9</v>
      </c>
      <c r="F1061" t="s">
        <v>123</v>
      </c>
      <c r="G1061" t="s">
        <v>125</v>
      </c>
      <c r="H1061" t="s">
        <v>124</v>
      </c>
      <c r="I1061" s="11">
        <v>46294</v>
      </c>
      <c r="J1061" s="12">
        <v>46266</v>
      </c>
      <c r="K1061" s="13">
        <f>INDEX(Assumptions!$B$4:$B$23,MATCH(F1061,Assumptions!$A$4:$A$23,0))</f>
        <v>0.10526315789473679</v>
      </c>
      <c r="L1061" s="14">
        <f t="shared" si="32"/>
        <v>0.93684210526315748</v>
      </c>
      <c r="M1061" t="str">
        <f t="shared" si="33"/>
        <v>Yes</v>
      </c>
    </row>
    <row r="1062" spans="1:13" x14ac:dyDescent="0.25">
      <c r="A1062">
        <v>338571</v>
      </c>
      <c r="B1062" t="s">
        <v>3299</v>
      </c>
      <c r="C1062" t="s">
        <v>6221</v>
      </c>
      <c r="D1062" t="s">
        <v>6220</v>
      </c>
      <c r="E1062">
        <v>14.95</v>
      </c>
      <c r="F1062" t="s">
        <v>123</v>
      </c>
      <c r="G1062" t="s">
        <v>125</v>
      </c>
      <c r="H1062" t="s">
        <v>124</v>
      </c>
      <c r="I1062" s="11">
        <v>46294</v>
      </c>
      <c r="J1062" s="12">
        <v>46266</v>
      </c>
      <c r="K1062" s="13">
        <f>INDEX(Assumptions!$B$4:$B$23,MATCH(F1062,Assumptions!$A$4:$A$23,0))</f>
        <v>0.10526315789473679</v>
      </c>
      <c r="L1062" s="14">
        <f t="shared" si="32"/>
        <v>1.5736842105263149</v>
      </c>
      <c r="M1062" t="str">
        <f t="shared" si="33"/>
        <v>Yes</v>
      </c>
    </row>
    <row r="1063" spans="1:13" x14ac:dyDescent="0.25">
      <c r="A1063">
        <v>338570</v>
      </c>
      <c r="B1063" t="s">
        <v>3302</v>
      </c>
      <c r="C1063" t="s">
        <v>6221</v>
      </c>
      <c r="D1063" t="s">
        <v>6220</v>
      </c>
      <c r="E1063">
        <v>22.9</v>
      </c>
      <c r="F1063" t="s">
        <v>123</v>
      </c>
      <c r="G1063" t="s">
        <v>125</v>
      </c>
      <c r="H1063" t="s">
        <v>124</v>
      </c>
      <c r="I1063" s="11">
        <v>46294</v>
      </c>
      <c r="J1063" s="12">
        <v>46266</v>
      </c>
      <c r="K1063" s="13">
        <f>INDEX(Assumptions!$B$4:$B$23,MATCH(F1063,Assumptions!$A$4:$A$23,0))</f>
        <v>0.10526315789473679</v>
      </c>
      <c r="L1063" s="14">
        <f t="shared" si="32"/>
        <v>2.4105263157894723</v>
      </c>
      <c r="M1063" t="str">
        <f t="shared" si="33"/>
        <v>Yes</v>
      </c>
    </row>
    <row r="1064" spans="1:13" x14ac:dyDescent="0.25">
      <c r="A1064">
        <v>338569</v>
      </c>
      <c r="B1064" t="s">
        <v>3304</v>
      </c>
      <c r="C1064" t="s">
        <v>3305</v>
      </c>
      <c r="D1064" t="s">
        <v>6220</v>
      </c>
      <c r="E1064">
        <v>1.9</v>
      </c>
      <c r="F1064" t="s">
        <v>50</v>
      </c>
      <c r="G1064" t="s">
        <v>3307</v>
      </c>
      <c r="H1064" t="s">
        <v>136</v>
      </c>
      <c r="I1064" s="11">
        <v>46297</v>
      </c>
      <c r="J1064" s="12">
        <v>46296</v>
      </c>
      <c r="K1064" s="13">
        <f>INDEX(Assumptions!$B$4:$B$23,MATCH(F1064,Assumptions!$A$4:$A$23,0))</f>
        <v>1.0869565217391299</v>
      </c>
      <c r="L1064" s="14">
        <f t="shared" si="32"/>
        <v>2.0652173913043468</v>
      </c>
      <c r="M1064" t="str">
        <f t="shared" si="33"/>
        <v>No</v>
      </c>
    </row>
    <row r="1065" spans="1:13" x14ac:dyDescent="0.25">
      <c r="A1065">
        <v>338568</v>
      </c>
      <c r="B1065" t="s">
        <v>3309</v>
      </c>
      <c r="C1065" t="s">
        <v>3310</v>
      </c>
      <c r="D1065" t="s">
        <v>6220</v>
      </c>
      <c r="E1065">
        <v>3.55</v>
      </c>
      <c r="F1065" t="s">
        <v>50</v>
      </c>
      <c r="G1065" t="s">
        <v>3307</v>
      </c>
      <c r="H1065" t="s">
        <v>136</v>
      </c>
      <c r="I1065" s="11">
        <v>46297</v>
      </c>
      <c r="J1065" s="12">
        <v>46296</v>
      </c>
      <c r="K1065" s="13">
        <f>INDEX(Assumptions!$B$4:$B$23,MATCH(F1065,Assumptions!$A$4:$A$23,0))</f>
        <v>1.0869565217391299</v>
      </c>
      <c r="L1065" s="14">
        <f t="shared" si="32"/>
        <v>3.8586956521739109</v>
      </c>
      <c r="M1065" t="str">
        <f t="shared" si="33"/>
        <v>No</v>
      </c>
    </row>
    <row r="1066" spans="1:13" x14ac:dyDescent="0.25">
      <c r="A1066">
        <v>338567</v>
      </c>
      <c r="B1066" t="s">
        <v>3312</v>
      </c>
      <c r="C1066" t="s">
        <v>3313</v>
      </c>
      <c r="D1066" t="s">
        <v>6220</v>
      </c>
      <c r="E1066">
        <v>3.59</v>
      </c>
      <c r="F1066" t="s">
        <v>50</v>
      </c>
      <c r="G1066" t="s">
        <v>3307</v>
      </c>
      <c r="H1066" t="s">
        <v>136</v>
      </c>
      <c r="I1066" s="11">
        <v>46297</v>
      </c>
      <c r="J1066" s="12">
        <v>46296</v>
      </c>
      <c r="K1066" s="13">
        <f>INDEX(Assumptions!$B$4:$B$23,MATCH(F1066,Assumptions!$A$4:$A$23,0))</f>
        <v>1.0869565217391299</v>
      </c>
      <c r="L1066" s="14">
        <f t="shared" si="32"/>
        <v>3.9021739130434763</v>
      </c>
      <c r="M1066" t="str">
        <f t="shared" si="33"/>
        <v>No</v>
      </c>
    </row>
    <row r="1067" spans="1:13" x14ac:dyDescent="0.25">
      <c r="A1067">
        <v>338566</v>
      </c>
      <c r="B1067" t="s">
        <v>3315</v>
      </c>
      <c r="C1067" t="s">
        <v>3316</v>
      </c>
      <c r="D1067" t="s">
        <v>6220</v>
      </c>
      <c r="E1067">
        <v>3.2</v>
      </c>
      <c r="F1067" t="s">
        <v>50</v>
      </c>
      <c r="G1067" t="s">
        <v>3307</v>
      </c>
      <c r="H1067" t="s">
        <v>136</v>
      </c>
      <c r="I1067" s="11">
        <v>46297</v>
      </c>
      <c r="J1067" s="12">
        <v>46296</v>
      </c>
      <c r="K1067" s="13">
        <f>INDEX(Assumptions!$B$4:$B$23,MATCH(F1067,Assumptions!$A$4:$A$23,0))</f>
        <v>1.0869565217391299</v>
      </c>
      <c r="L1067" s="14">
        <f t="shared" si="32"/>
        <v>3.478260869565216</v>
      </c>
      <c r="M1067" t="str">
        <f t="shared" si="33"/>
        <v>No</v>
      </c>
    </row>
    <row r="1068" spans="1:13" x14ac:dyDescent="0.25">
      <c r="A1068">
        <v>338565</v>
      </c>
      <c r="B1068" t="s">
        <v>3318</v>
      </c>
      <c r="C1068" t="s">
        <v>3319</v>
      </c>
      <c r="D1068" t="s">
        <v>6220</v>
      </c>
      <c r="E1068">
        <v>3.39</v>
      </c>
      <c r="F1068" t="s">
        <v>50</v>
      </c>
      <c r="G1068" t="s">
        <v>3307</v>
      </c>
      <c r="H1068" t="s">
        <v>136</v>
      </c>
      <c r="I1068" s="11">
        <v>46297</v>
      </c>
      <c r="J1068" s="12">
        <v>46296</v>
      </c>
      <c r="K1068" s="13">
        <f>INDEX(Assumptions!$B$4:$B$23,MATCH(F1068,Assumptions!$A$4:$A$23,0))</f>
        <v>1.0869565217391299</v>
      </c>
      <c r="L1068" s="14">
        <f t="shared" si="32"/>
        <v>3.6847826086956506</v>
      </c>
      <c r="M1068" t="str">
        <f t="shared" si="33"/>
        <v>No</v>
      </c>
    </row>
    <row r="1069" spans="1:13" x14ac:dyDescent="0.25">
      <c r="A1069">
        <v>338564</v>
      </c>
      <c r="B1069" t="s">
        <v>3321</v>
      </c>
      <c r="C1069" t="s">
        <v>3322</v>
      </c>
      <c r="D1069" t="s">
        <v>6220</v>
      </c>
      <c r="E1069">
        <v>3.29</v>
      </c>
      <c r="F1069" t="s">
        <v>50</v>
      </c>
      <c r="G1069" t="s">
        <v>3307</v>
      </c>
      <c r="H1069" t="s">
        <v>136</v>
      </c>
      <c r="I1069" s="11">
        <v>46297</v>
      </c>
      <c r="J1069" s="12">
        <v>46296</v>
      </c>
      <c r="K1069" s="13">
        <f>INDEX(Assumptions!$B$4:$B$23,MATCH(F1069,Assumptions!$A$4:$A$23,0))</f>
        <v>1.0869565217391299</v>
      </c>
      <c r="L1069" s="14">
        <f t="shared" si="32"/>
        <v>3.5760869565217375</v>
      </c>
      <c r="M1069" t="str">
        <f t="shared" si="33"/>
        <v>No</v>
      </c>
    </row>
    <row r="1070" spans="1:13" x14ac:dyDescent="0.25">
      <c r="A1070">
        <v>338563</v>
      </c>
      <c r="B1070" t="s">
        <v>3324</v>
      </c>
      <c r="C1070" t="s">
        <v>3325</v>
      </c>
      <c r="D1070" t="s">
        <v>6220</v>
      </c>
      <c r="E1070">
        <v>2.4500000000000002</v>
      </c>
      <c r="F1070" t="s">
        <v>50</v>
      </c>
      <c r="G1070" t="s">
        <v>3307</v>
      </c>
      <c r="H1070" t="s">
        <v>136</v>
      </c>
      <c r="I1070" s="11">
        <v>46297</v>
      </c>
      <c r="J1070" s="12">
        <v>46296</v>
      </c>
      <c r="K1070" s="13">
        <f>INDEX(Assumptions!$B$4:$B$23,MATCH(F1070,Assumptions!$A$4:$A$23,0))</f>
        <v>1.0869565217391299</v>
      </c>
      <c r="L1070" s="14">
        <f t="shared" si="32"/>
        <v>2.6630434782608687</v>
      </c>
      <c r="M1070" t="str">
        <f t="shared" si="33"/>
        <v>No</v>
      </c>
    </row>
    <row r="1071" spans="1:13" x14ac:dyDescent="0.25">
      <c r="A1071">
        <v>338562</v>
      </c>
      <c r="B1071" t="s">
        <v>3327</v>
      </c>
      <c r="C1071" t="s">
        <v>3328</v>
      </c>
      <c r="D1071" t="s">
        <v>6220</v>
      </c>
      <c r="E1071">
        <v>3.59</v>
      </c>
      <c r="F1071" t="s">
        <v>50</v>
      </c>
      <c r="G1071" t="s">
        <v>3307</v>
      </c>
      <c r="H1071" t="s">
        <v>136</v>
      </c>
      <c r="I1071" s="11">
        <v>46297</v>
      </c>
      <c r="J1071" s="12">
        <v>46296</v>
      </c>
      <c r="K1071" s="13">
        <f>INDEX(Assumptions!$B$4:$B$23,MATCH(F1071,Assumptions!$A$4:$A$23,0))</f>
        <v>1.0869565217391299</v>
      </c>
      <c r="L1071" s="14">
        <f t="shared" si="32"/>
        <v>3.9021739130434763</v>
      </c>
      <c r="M1071" t="str">
        <f t="shared" si="33"/>
        <v>No</v>
      </c>
    </row>
    <row r="1072" spans="1:13" x14ac:dyDescent="0.25">
      <c r="A1072">
        <v>338561</v>
      </c>
      <c r="B1072" t="s">
        <v>3330</v>
      </c>
      <c r="C1072" t="s">
        <v>3331</v>
      </c>
      <c r="D1072" t="s">
        <v>6220</v>
      </c>
      <c r="E1072">
        <v>3.95</v>
      </c>
      <c r="F1072" t="s">
        <v>50</v>
      </c>
      <c r="G1072" t="s">
        <v>3307</v>
      </c>
      <c r="H1072" t="s">
        <v>136</v>
      </c>
      <c r="I1072" s="11">
        <v>46297</v>
      </c>
      <c r="J1072" s="12">
        <v>46296</v>
      </c>
      <c r="K1072" s="13">
        <f>INDEX(Assumptions!$B$4:$B$23,MATCH(F1072,Assumptions!$A$4:$A$23,0))</f>
        <v>1.0869565217391299</v>
      </c>
      <c r="L1072" s="14">
        <f t="shared" si="32"/>
        <v>4.2934782608695636</v>
      </c>
      <c r="M1072" t="str">
        <f t="shared" si="33"/>
        <v>No</v>
      </c>
    </row>
    <row r="1073" spans="1:13" x14ac:dyDescent="0.25">
      <c r="A1073">
        <v>338560</v>
      </c>
      <c r="B1073" t="s">
        <v>3333</v>
      </c>
      <c r="C1073" t="s">
        <v>3334</v>
      </c>
      <c r="D1073" t="s">
        <v>6220</v>
      </c>
      <c r="E1073">
        <v>1.55</v>
      </c>
      <c r="F1073" t="s">
        <v>50</v>
      </c>
      <c r="G1073" t="s">
        <v>3307</v>
      </c>
      <c r="H1073" t="s">
        <v>136</v>
      </c>
      <c r="I1073" s="11">
        <v>46297</v>
      </c>
      <c r="J1073" s="12">
        <v>46296</v>
      </c>
      <c r="K1073" s="13">
        <f>INDEX(Assumptions!$B$4:$B$23,MATCH(F1073,Assumptions!$A$4:$A$23,0))</f>
        <v>1.0869565217391299</v>
      </c>
      <c r="L1073" s="14">
        <f t="shared" si="32"/>
        <v>1.6847826086956514</v>
      </c>
      <c r="M1073" t="str">
        <f t="shared" si="33"/>
        <v>No</v>
      </c>
    </row>
    <row r="1074" spans="1:13" x14ac:dyDescent="0.25">
      <c r="A1074">
        <v>338559</v>
      </c>
      <c r="B1074" t="s">
        <v>3336</v>
      </c>
      <c r="C1074" t="s">
        <v>3337</v>
      </c>
      <c r="D1074" t="s">
        <v>6220</v>
      </c>
      <c r="E1074">
        <v>2.6</v>
      </c>
      <c r="F1074" t="s">
        <v>50</v>
      </c>
      <c r="G1074" t="s">
        <v>3307</v>
      </c>
      <c r="H1074" t="s">
        <v>136</v>
      </c>
      <c r="I1074" s="11">
        <v>46297</v>
      </c>
      <c r="J1074" s="12">
        <v>46296</v>
      </c>
      <c r="K1074" s="13">
        <f>INDEX(Assumptions!$B$4:$B$23,MATCH(F1074,Assumptions!$A$4:$A$23,0))</f>
        <v>1.0869565217391299</v>
      </c>
      <c r="L1074" s="14">
        <f t="shared" si="32"/>
        <v>2.8260869565217379</v>
      </c>
      <c r="M1074" t="str">
        <f t="shared" si="33"/>
        <v>No</v>
      </c>
    </row>
    <row r="1075" spans="1:13" x14ac:dyDescent="0.25">
      <c r="A1075">
        <v>338558</v>
      </c>
      <c r="B1075" t="s">
        <v>3340</v>
      </c>
      <c r="C1075" t="s">
        <v>3341</v>
      </c>
      <c r="D1075" t="s">
        <v>6220</v>
      </c>
      <c r="E1075">
        <v>2.6</v>
      </c>
      <c r="F1075" t="s">
        <v>50</v>
      </c>
      <c r="G1075" t="s">
        <v>3307</v>
      </c>
      <c r="H1075" t="s">
        <v>136</v>
      </c>
      <c r="I1075" s="11">
        <v>46297</v>
      </c>
      <c r="J1075" s="12">
        <v>46296</v>
      </c>
      <c r="K1075" s="13">
        <f>INDEX(Assumptions!$B$4:$B$23,MATCH(F1075,Assumptions!$A$4:$A$23,0))</f>
        <v>1.0869565217391299</v>
      </c>
      <c r="L1075" s="14">
        <f t="shared" si="32"/>
        <v>2.8260869565217379</v>
      </c>
      <c r="M1075" t="str">
        <f t="shared" si="33"/>
        <v>No</v>
      </c>
    </row>
    <row r="1076" spans="1:13" x14ac:dyDescent="0.25">
      <c r="A1076">
        <v>338557</v>
      </c>
      <c r="B1076" t="s">
        <v>3343</v>
      </c>
      <c r="C1076" t="s">
        <v>3344</v>
      </c>
      <c r="D1076" t="s">
        <v>6220</v>
      </c>
      <c r="E1076">
        <v>3</v>
      </c>
      <c r="F1076" t="s">
        <v>50</v>
      </c>
      <c r="G1076" t="s">
        <v>3307</v>
      </c>
      <c r="H1076" t="s">
        <v>136</v>
      </c>
      <c r="I1076" s="11">
        <v>46297</v>
      </c>
      <c r="J1076" s="12">
        <v>46296</v>
      </c>
      <c r="K1076" s="13">
        <f>INDEX(Assumptions!$B$4:$B$23,MATCH(F1076,Assumptions!$A$4:$A$23,0))</f>
        <v>1.0869565217391299</v>
      </c>
      <c r="L1076" s="14">
        <f t="shared" si="32"/>
        <v>3.2608695652173898</v>
      </c>
      <c r="M1076" t="str">
        <f t="shared" si="33"/>
        <v>No</v>
      </c>
    </row>
    <row r="1077" spans="1:13" x14ac:dyDescent="0.25">
      <c r="A1077">
        <v>338556</v>
      </c>
      <c r="B1077" t="s">
        <v>3346</v>
      </c>
      <c r="C1077" t="s">
        <v>3347</v>
      </c>
      <c r="D1077" t="s">
        <v>6220</v>
      </c>
      <c r="E1077">
        <v>3.3</v>
      </c>
      <c r="F1077" t="s">
        <v>50</v>
      </c>
      <c r="G1077" t="s">
        <v>3307</v>
      </c>
      <c r="H1077" t="s">
        <v>136</v>
      </c>
      <c r="I1077" s="11">
        <v>46297</v>
      </c>
      <c r="J1077" s="12">
        <v>46296</v>
      </c>
      <c r="K1077" s="13">
        <f>INDEX(Assumptions!$B$4:$B$23,MATCH(F1077,Assumptions!$A$4:$A$23,0))</f>
        <v>1.0869565217391299</v>
      </c>
      <c r="L1077" s="14">
        <f t="shared" si="32"/>
        <v>3.5869565217391286</v>
      </c>
      <c r="M1077" t="str">
        <f t="shared" si="33"/>
        <v>No</v>
      </c>
    </row>
    <row r="1078" spans="1:13" x14ac:dyDescent="0.25">
      <c r="A1078">
        <v>338555</v>
      </c>
      <c r="B1078" t="s">
        <v>3350</v>
      </c>
      <c r="C1078" t="s">
        <v>3351</v>
      </c>
      <c r="D1078" t="s">
        <v>6220</v>
      </c>
      <c r="E1078">
        <v>3.09</v>
      </c>
      <c r="F1078" t="s">
        <v>50</v>
      </c>
      <c r="G1078" t="s">
        <v>3307</v>
      </c>
      <c r="H1078" t="s">
        <v>136</v>
      </c>
      <c r="I1078" s="11">
        <v>46297</v>
      </c>
      <c r="J1078" s="12">
        <v>46296</v>
      </c>
      <c r="K1078" s="13">
        <f>INDEX(Assumptions!$B$4:$B$23,MATCH(F1078,Assumptions!$A$4:$A$23,0))</f>
        <v>1.0869565217391299</v>
      </c>
      <c r="L1078" s="14">
        <f t="shared" si="32"/>
        <v>3.3586956521739113</v>
      </c>
      <c r="M1078" t="str">
        <f t="shared" si="33"/>
        <v>No</v>
      </c>
    </row>
    <row r="1079" spans="1:13" x14ac:dyDescent="0.25">
      <c r="A1079">
        <v>338554</v>
      </c>
      <c r="B1079" t="s">
        <v>3353</v>
      </c>
      <c r="C1079" t="s">
        <v>3354</v>
      </c>
      <c r="D1079" t="s">
        <v>6220</v>
      </c>
      <c r="E1079">
        <v>1.45</v>
      </c>
      <c r="F1079" t="s">
        <v>50</v>
      </c>
      <c r="G1079" t="s">
        <v>3307</v>
      </c>
      <c r="H1079" t="s">
        <v>136</v>
      </c>
      <c r="I1079" s="11">
        <v>46297</v>
      </c>
      <c r="J1079" s="12">
        <v>46296</v>
      </c>
      <c r="K1079" s="13">
        <f>INDEX(Assumptions!$B$4:$B$23,MATCH(F1079,Assumptions!$A$4:$A$23,0))</f>
        <v>1.0869565217391299</v>
      </c>
      <c r="L1079" s="14">
        <f t="shared" si="32"/>
        <v>1.5760869565217384</v>
      </c>
      <c r="M1079" t="str">
        <f t="shared" si="33"/>
        <v>No</v>
      </c>
    </row>
    <row r="1080" spans="1:13" x14ac:dyDescent="0.25">
      <c r="A1080">
        <v>338553</v>
      </c>
      <c r="B1080" t="s">
        <v>3356</v>
      </c>
      <c r="C1080" t="s">
        <v>3357</v>
      </c>
      <c r="D1080" t="s">
        <v>6220</v>
      </c>
      <c r="E1080">
        <v>2.19</v>
      </c>
      <c r="F1080" t="s">
        <v>50</v>
      </c>
      <c r="G1080" t="s">
        <v>3307</v>
      </c>
      <c r="H1080" t="s">
        <v>136</v>
      </c>
      <c r="I1080" s="11">
        <v>46297</v>
      </c>
      <c r="J1080" s="12">
        <v>46296</v>
      </c>
      <c r="K1080" s="13">
        <f>INDEX(Assumptions!$B$4:$B$23,MATCH(F1080,Assumptions!$A$4:$A$23,0))</f>
        <v>1.0869565217391299</v>
      </c>
      <c r="L1080" s="14">
        <f t="shared" si="32"/>
        <v>2.3804347826086945</v>
      </c>
      <c r="M1080" t="str">
        <f t="shared" si="33"/>
        <v>No</v>
      </c>
    </row>
    <row r="1081" spans="1:13" x14ac:dyDescent="0.25">
      <c r="A1081">
        <v>338552</v>
      </c>
      <c r="B1081" t="s">
        <v>3359</v>
      </c>
      <c r="C1081" t="s">
        <v>3360</v>
      </c>
      <c r="D1081" t="s">
        <v>6220</v>
      </c>
      <c r="E1081">
        <v>2.5</v>
      </c>
      <c r="F1081" t="s">
        <v>50</v>
      </c>
      <c r="G1081" t="s">
        <v>3307</v>
      </c>
      <c r="H1081" t="s">
        <v>136</v>
      </c>
      <c r="I1081" s="11">
        <v>46297</v>
      </c>
      <c r="J1081" s="12">
        <v>46296</v>
      </c>
      <c r="K1081" s="13">
        <f>INDEX(Assumptions!$B$4:$B$23,MATCH(F1081,Assumptions!$A$4:$A$23,0))</f>
        <v>1.0869565217391299</v>
      </c>
      <c r="L1081" s="14">
        <f t="shared" si="32"/>
        <v>2.7173913043478248</v>
      </c>
      <c r="M1081" t="str">
        <f t="shared" si="33"/>
        <v>No</v>
      </c>
    </row>
    <row r="1082" spans="1:13" x14ac:dyDescent="0.25">
      <c r="A1082">
        <v>338551</v>
      </c>
      <c r="B1082" t="s">
        <v>3362</v>
      </c>
      <c r="C1082" t="s">
        <v>3363</v>
      </c>
      <c r="D1082" t="s">
        <v>6220</v>
      </c>
      <c r="E1082">
        <v>1.89</v>
      </c>
      <c r="F1082" t="s">
        <v>50</v>
      </c>
      <c r="G1082" t="s">
        <v>3307</v>
      </c>
      <c r="H1082" t="s">
        <v>136</v>
      </c>
      <c r="I1082" s="11">
        <v>46297</v>
      </c>
      <c r="J1082" s="12">
        <v>46296</v>
      </c>
      <c r="K1082" s="13">
        <f>INDEX(Assumptions!$B$4:$B$23,MATCH(F1082,Assumptions!$A$4:$A$23,0))</f>
        <v>1.0869565217391299</v>
      </c>
      <c r="L1082" s="14">
        <f t="shared" si="32"/>
        <v>2.0543478260869557</v>
      </c>
      <c r="M1082" t="str">
        <f t="shared" si="33"/>
        <v>No</v>
      </c>
    </row>
    <row r="1083" spans="1:13" x14ac:dyDescent="0.25">
      <c r="A1083">
        <v>338550</v>
      </c>
      <c r="B1083" t="s">
        <v>3365</v>
      </c>
      <c r="C1083" t="s">
        <v>3366</v>
      </c>
      <c r="D1083" t="s">
        <v>6220</v>
      </c>
      <c r="E1083">
        <v>3.05</v>
      </c>
      <c r="F1083" t="s">
        <v>50</v>
      </c>
      <c r="G1083" t="s">
        <v>3307</v>
      </c>
      <c r="H1083" t="s">
        <v>136</v>
      </c>
      <c r="I1083" s="11">
        <v>46297</v>
      </c>
      <c r="J1083" s="12">
        <v>46296</v>
      </c>
      <c r="K1083" s="13">
        <f>INDEX(Assumptions!$B$4:$B$23,MATCH(F1083,Assumptions!$A$4:$A$23,0))</f>
        <v>1.0869565217391299</v>
      </c>
      <c r="L1083" s="14">
        <f t="shared" si="32"/>
        <v>3.3152173913043459</v>
      </c>
      <c r="M1083" t="str">
        <f t="shared" si="33"/>
        <v>No</v>
      </c>
    </row>
    <row r="1084" spans="1:13" x14ac:dyDescent="0.25">
      <c r="A1084">
        <v>338549</v>
      </c>
      <c r="B1084" t="s">
        <v>3368</v>
      </c>
      <c r="C1084" t="s">
        <v>3369</v>
      </c>
      <c r="D1084" t="s">
        <v>6220</v>
      </c>
      <c r="E1084">
        <v>2.2999999999999998</v>
      </c>
      <c r="F1084" t="s">
        <v>50</v>
      </c>
      <c r="G1084" t="s">
        <v>3307</v>
      </c>
      <c r="H1084" t="s">
        <v>136</v>
      </c>
      <c r="I1084" s="11">
        <v>46297</v>
      </c>
      <c r="J1084" s="12">
        <v>46296</v>
      </c>
      <c r="K1084" s="13">
        <f>INDEX(Assumptions!$B$4:$B$23,MATCH(F1084,Assumptions!$A$4:$A$23,0))</f>
        <v>1.0869565217391299</v>
      </c>
      <c r="L1084" s="14">
        <f t="shared" si="32"/>
        <v>2.4999999999999987</v>
      </c>
      <c r="M1084" t="str">
        <f t="shared" si="33"/>
        <v>No</v>
      </c>
    </row>
    <row r="1085" spans="1:13" x14ac:dyDescent="0.25">
      <c r="A1085">
        <v>338548</v>
      </c>
      <c r="B1085" t="s">
        <v>3372</v>
      </c>
      <c r="C1085" t="s">
        <v>3373</v>
      </c>
      <c r="D1085" t="s">
        <v>6220</v>
      </c>
      <c r="E1085">
        <v>2.09</v>
      </c>
      <c r="F1085" t="s">
        <v>50</v>
      </c>
      <c r="G1085" t="s">
        <v>3307</v>
      </c>
      <c r="H1085" t="s">
        <v>136</v>
      </c>
      <c r="I1085" s="11">
        <v>46297</v>
      </c>
      <c r="J1085" s="12">
        <v>46296</v>
      </c>
      <c r="K1085" s="13">
        <f>INDEX(Assumptions!$B$4:$B$23,MATCH(F1085,Assumptions!$A$4:$A$23,0))</f>
        <v>1.0869565217391299</v>
      </c>
      <c r="L1085" s="14">
        <f t="shared" si="32"/>
        <v>2.2717391304347814</v>
      </c>
      <c r="M1085" t="str">
        <f t="shared" si="33"/>
        <v>No</v>
      </c>
    </row>
    <row r="1086" spans="1:13" x14ac:dyDescent="0.25">
      <c r="A1086">
        <v>338547</v>
      </c>
      <c r="B1086" t="s">
        <v>3375</v>
      </c>
      <c r="C1086" t="s">
        <v>3376</v>
      </c>
      <c r="D1086" t="s">
        <v>6220</v>
      </c>
      <c r="E1086">
        <v>2.09</v>
      </c>
      <c r="F1086" t="s">
        <v>50</v>
      </c>
      <c r="G1086" t="s">
        <v>3307</v>
      </c>
      <c r="H1086" t="s">
        <v>136</v>
      </c>
      <c r="I1086" s="11">
        <v>46297</v>
      </c>
      <c r="J1086" s="12">
        <v>46296</v>
      </c>
      <c r="K1086" s="13">
        <f>INDEX(Assumptions!$B$4:$B$23,MATCH(F1086,Assumptions!$A$4:$A$23,0))</f>
        <v>1.0869565217391299</v>
      </c>
      <c r="L1086" s="14">
        <f t="shared" si="32"/>
        <v>2.2717391304347814</v>
      </c>
      <c r="M1086" t="str">
        <f t="shared" si="33"/>
        <v>No</v>
      </c>
    </row>
    <row r="1087" spans="1:13" x14ac:dyDescent="0.25">
      <c r="A1087">
        <v>338546</v>
      </c>
      <c r="B1087" t="s">
        <v>3378</v>
      </c>
      <c r="C1087" t="s">
        <v>3379</v>
      </c>
      <c r="D1087" t="s">
        <v>6220</v>
      </c>
      <c r="E1087">
        <v>3.75</v>
      </c>
      <c r="F1087" t="s">
        <v>50</v>
      </c>
      <c r="G1087" t="s">
        <v>3307</v>
      </c>
      <c r="H1087" t="s">
        <v>136</v>
      </c>
      <c r="I1087" s="11">
        <v>46297</v>
      </c>
      <c r="J1087" s="12">
        <v>46296</v>
      </c>
      <c r="K1087" s="13">
        <f>INDEX(Assumptions!$B$4:$B$23,MATCH(F1087,Assumptions!$A$4:$A$23,0))</f>
        <v>1.0869565217391299</v>
      </c>
      <c r="L1087" s="14">
        <f t="shared" si="32"/>
        <v>4.0760869565217375</v>
      </c>
      <c r="M1087" t="str">
        <f t="shared" si="33"/>
        <v>No</v>
      </c>
    </row>
    <row r="1088" spans="1:13" x14ac:dyDescent="0.25">
      <c r="A1088">
        <v>338545</v>
      </c>
      <c r="B1088" t="s">
        <v>3381</v>
      </c>
      <c r="C1088" t="s">
        <v>3382</v>
      </c>
      <c r="D1088" t="s">
        <v>6220</v>
      </c>
      <c r="E1088">
        <v>3.35</v>
      </c>
      <c r="F1088" t="s">
        <v>50</v>
      </c>
      <c r="G1088" t="s">
        <v>3307</v>
      </c>
      <c r="H1088" t="s">
        <v>136</v>
      </c>
      <c r="I1088" s="11">
        <v>46297</v>
      </c>
      <c r="J1088" s="12">
        <v>46296</v>
      </c>
      <c r="K1088" s="13">
        <f>INDEX(Assumptions!$B$4:$B$23,MATCH(F1088,Assumptions!$A$4:$A$23,0))</f>
        <v>1.0869565217391299</v>
      </c>
      <c r="L1088" s="14">
        <f t="shared" si="32"/>
        <v>3.6413043478260856</v>
      </c>
      <c r="M1088" t="str">
        <f t="shared" si="33"/>
        <v>No</v>
      </c>
    </row>
    <row r="1089" spans="1:13" x14ac:dyDescent="0.25">
      <c r="A1089">
        <v>338544</v>
      </c>
      <c r="B1089" t="s">
        <v>3384</v>
      </c>
      <c r="C1089" t="s">
        <v>3385</v>
      </c>
      <c r="D1089" t="s">
        <v>6220</v>
      </c>
      <c r="E1089">
        <v>4.3499999999999996</v>
      </c>
      <c r="F1089" t="s">
        <v>50</v>
      </c>
      <c r="G1089" t="s">
        <v>3307</v>
      </c>
      <c r="H1089" t="s">
        <v>136</v>
      </c>
      <c r="I1089" s="11">
        <v>46297</v>
      </c>
      <c r="J1089" s="12">
        <v>46296</v>
      </c>
      <c r="K1089" s="13">
        <f>INDEX(Assumptions!$B$4:$B$23,MATCH(F1089,Assumptions!$A$4:$A$23,0))</f>
        <v>1.0869565217391299</v>
      </c>
      <c r="L1089" s="14">
        <f t="shared" si="32"/>
        <v>4.7282608695652151</v>
      </c>
      <c r="M1089" t="str">
        <f t="shared" si="33"/>
        <v>No</v>
      </c>
    </row>
    <row r="1090" spans="1:13" x14ac:dyDescent="0.25">
      <c r="A1090">
        <v>338543</v>
      </c>
      <c r="B1090" t="s">
        <v>2925</v>
      </c>
      <c r="C1090" t="s">
        <v>3388</v>
      </c>
      <c r="D1090" t="s">
        <v>6220</v>
      </c>
      <c r="E1090">
        <v>2.75</v>
      </c>
      <c r="F1090" t="s">
        <v>50</v>
      </c>
      <c r="G1090" t="s">
        <v>3307</v>
      </c>
      <c r="H1090" t="s">
        <v>136</v>
      </c>
      <c r="I1090" s="11">
        <v>46297</v>
      </c>
      <c r="J1090" s="12">
        <v>46296</v>
      </c>
      <c r="K1090" s="13">
        <f>INDEX(Assumptions!$B$4:$B$23,MATCH(F1090,Assumptions!$A$4:$A$23,0))</f>
        <v>1.0869565217391299</v>
      </c>
      <c r="L1090" s="14">
        <f t="shared" ref="L1090:L1153" si="34">E1090*K1090</f>
        <v>2.9891304347826075</v>
      </c>
      <c r="M1090" t="str">
        <f t="shared" ref="M1090:M1153" si="35">IF(C1090="Unnamed product","Yes","No")</f>
        <v>No</v>
      </c>
    </row>
    <row r="1091" spans="1:13" x14ac:dyDescent="0.25">
      <c r="A1091">
        <v>338542</v>
      </c>
      <c r="B1091" t="s">
        <v>3390</v>
      </c>
      <c r="C1091" t="s">
        <v>3391</v>
      </c>
      <c r="D1091" t="s">
        <v>6220</v>
      </c>
      <c r="E1091">
        <v>2.85</v>
      </c>
      <c r="F1091" t="s">
        <v>50</v>
      </c>
      <c r="G1091" t="s">
        <v>3307</v>
      </c>
      <c r="H1091" t="s">
        <v>136</v>
      </c>
      <c r="I1091" s="11">
        <v>46297</v>
      </c>
      <c r="J1091" s="12">
        <v>46296</v>
      </c>
      <c r="K1091" s="13">
        <f>INDEX(Assumptions!$B$4:$B$23,MATCH(F1091,Assumptions!$A$4:$A$23,0))</f>
        <v>1.0869565217391299</v>
      </c>
      <c r="L1091" s="14">
        <f t="shared" si="34"/>
        <v>3.0978260869565206</v>
      </c>
      <c r="M1091" t="str">
        <f t="shared" si="35"/>
        <v>No</v>
      </c>
    </row>
    <row r="1092" spans="1:13" x14ac:dyDescent="0.25">
      <c r="A1092">
        <v>338541</v>
      </c>
      <c r="B1092" t="s">
        <v>3393</v>
      </c>
      <c r="C1092" t="s">
        <v>3394</v>
      </c>
      <c r="D1092" t="s">
        <v>6220</v>
      </c>
      <c r="E1092">
        <v>3.05</v>
      </c>
      <c r="F1092" t="s">
        <v>50</v>
      </c>
      <c r="G1092" t="s">
        <v>3307</v>
      </c>
      <c r="H1092" t="s">
        <v>136</v>
      </c>
      <c r="I1092" s="11">
        <v>46297</v>
      </c>
      <c r="J1092" s="12">
        <v>46296</v>
      </c>
      <c r="K1092" s="13">
        <f>INDEX(Assumptions!$B$4:$B$23,MATCH(F1092,Assumptions!$A$4:$A$23,0))</f>
        <v>1.0869565217391299</v>
      </c>
      <c r="L1092" s="14">
        <f t="shared" si="34"/>
        <v>3.3152173913043459</v>
      </c>
      <c r="M1092" t="str">
        <f t="shared" si="35"/>
        <v>No</v>
      </c>
    </row>
    <row r="1093" spans="1:13" x14ac:dyDescent="0.25">
      <c r="A1093">
        <v>338540</v>
      </c>
      <c r="B1093" t="s">
        <v>3396</v>
      </c>
      <c r="C1093" t="s">
        <v>3397</v>
      </c>
      <c r="D1093" t="s">
        <v>6220</v>
      </c>
      <c r="E1093">
        <v>3.05</v>
      </c>
      <c r="F1093" t="s">
        <v>50</v>
      </c>
      <c r="G1093" t="s">
        <v>3307</v>
      </c>
      <c r="H1093" t="s">
        <v>136</v>
      </c>
      <c r="I1093" s="11">
        <v>46297</v>
      </c>
      <c r="J1093" s="12">
        <v>46296</v>
      </c>
      <c r="K1093" s="13">
        <f>INDEX(Assumptions!$B$4:$B$23,MATCH(F1093,Assumptions!$A$4:$A$23,0))</f>
        <v>1.0869565217391299</v>
      </c>
      <c r="L1093" s="14">
        <f t="shared" si="34"/>
        <v>3.3152173913043459</v>
      </c>
      <c r="M1093" t="str">
        <f t="shared" si="35"/>
        <v>No</v>
      </c>
    </row>
    <row r="1094" spans="1:13" x14ac:dyDescent="0.25">
      <c r="A1094">
        <v>338539</v>
      </c>
      <c r="B1094" t="s">
        <v>3399</v>
      </c>
      <c r="C1094" t="s">
        <v>3400</v>
      </c>
      <c r="D1094" t="s">
        <v>6220</v>
      </c>
      <c r="E1094">
        <v>2.2000000000000002</v>
      </c>
      <c r="F1094" t="s">
        <v>50</v>
      </c>
      <c r="G1094" t="s">
        <v>3307</v>
      </c>
      <c r="H1094" t="s">
        <v>136</v>
      </c>
      <c r="I1094" s="11">
        <v>46297</v>
      </c>
      <c r="J1094" s="12">
        <v>46296</v>
      </c>
      <c r="K1094" s="13">
        <f>INDEX(Assumptions!$B$4:$B$23,MATCH(F1094,Assumptions!$A$4:$A$23,0))</f>
        <v>1.0869565217391299</v>
      </c>
      <c r="L1094" s="14">
        <f t="shared" si="34"/>
        <v>2.391304347826086</v>
      </c>
      <c r="M1094" t="str">
        <f t="shared" si="35"/>
        <v>No</v>
      </c>
    </row>
    <row r="1095" spans="1:13" x14ac:dyDescent="0.25">
      <c r="A1095">
        <v>338538</v>
      </c>
      <c r="B1095" t="s">
        <v>3402</v>
      </c>
      <c r="C1095" t="s">
        <v>3403</v>
      </c>
      <c r="D1095" t="s">
        <v>6220</v>
      </c>
      <c r="E1095">
        <v>3.15</v>
      </c>
      <c r="F1095" t="s">
        <v>50</v>
      </c>
      <c r="G1095" t="s">
        <v>3307</v>
      </c>
      <c r="H1095" t="s">
        <v>136</v>
      </c>
      <c r="I1095" s="11">
        <v>46297</v>
      </c>
      <c r="J1095" s="12">
        <v>46296</v>
      </c>
      <c r="K1095" s="13">
        <f>INDEX(Assumptions!$B$4:$B$23,MATCH(F1095,Assumptions!$A$4:$A$23,0))</f>
        <v>1.0869565217391299</v>
      </c>
      <c r="L1095" s="14">
        <f t="shared" si="34"/>
        <v>3.423913043478259</v>
      </c>
      <c r="M1095" t="str">
        <f t="shared" si="35"/>
        <v>No</v>
      </c>
    </row>
    <row r="1096" spans="1:13" x14ac:dyDescent="0.25">
      <c r="A1096">
        <v>338537</v>
      </c>
      <c r="B1096" t="s">
        <v>3405</v>
      </c>
      <c r="C1096" t="s">
        <v>3406</v>
      </c>
      <c r="D1096" t="s">
        <v>6220</v>
      </c>
      <c r="E1096">
        <v>1.65</v>
      </c>
      <c r="F1096" t="s">
        <v>50</v>
      </c>
      <c r="G1096" t="s">
        <v>3307</v>
      </c>
      <c r="H1096" t="s">
        <v>136</v>
      </c>
      <c r="I1096" s="11">
        <v>46297</v>
      </c>
      <c r="J1096" s="12">
        <v>46296</v>
      </c>
      <c r="K1096" s="13">
        <f>INDEX(Assumptions!$B$4:$B$23,MATCH(F1096,Assumptions!$A$4:$A$23,0))</f>
        <v>1.0869565217391299</v>
      </c>
      <c r="L1096" s="14">
        <f t="shared" si="34"/>
        <v>1.7934782608695643</v>
      </c>
      <c r="M1096" t="str">
        <f t="shared" si="35"/>
        <v>No</v>
      </c>
    </row>
    <row r="1097" spans="1:13" x14ac:dyDescent="0.25">
      <c r="A1097">
        <v>338536</v>
      </c>
      <c r="B1097" t="s">
        <v>3408</v>
      </c>
      <c r="C1097" t="s">
        <v>3409</v>
      </c>
      <c r="D1097" t="s">
        <v>6220</v>
      </c>
      <c r="E1097">
        <v>2.09</v>
      </c>
      <c r="F1097" t="s">
        <v>50</v>
      </c>
      <c r="G1097" t="s">
        <v>3307</v>
      </c>
      <c r="H1097" t="s">
        <v>136</v>
      </c>
      <c r="I1097" s="11">
        <v>46297</v>
      </c>
      <c r="J1097" s="12">
        <v>46296</v>
      </c>
      <c r="K1097" s="13">
        <f>INDEX(Assumptions!$B$4:$B$23,MATCH(F1097,Assumptions!$A$4:$A$23,0))</f>
        <v>1.0869565217391299</v>
      </c>
      <c r="L1097" s="14">
        <f t="shared" si="34"/>
        <v>2.2717391304347814</v>
      </c>
      <c r="M1097" t="str">
        <f t="shared" si="35"/>
        <v>No</v>
      </c>
    </row>
    <row r="1098" spans="1:13" x14ac:dyDescent="0.25">
      <c r="A1098">
        <v>338535</v>
      </c>
      <c r="B1098" t="s">
        <v>3411</v>
      </c>
      <c r="C1098" t="s">
        <v>3412</v>
      </c>
      <c r="D1098" t="s">
        <v>6220</v>
      </c>
      <c r="E1098">
        <v>2.0499999999999998</v>
      </c>
      <c r="F1098" t="s">
        <v>50</v>
      </c>
      <c r="G1098" t="s">
        <v>3307</v>
      </c>
      <c r="H1098" t="s">
        <v>136</v>
      </c>
      <c r="I1098" s="11">
        <v>46297</v>
      </c>
      <c r="J1098" s="12">
        <v>46296</v>
      </c>
      <c r="K1098" s="13">
        <f>INDEX(Assumptions!$B$4:$B$23,MATCH(F1098,Assumptions!$A$4:$A$23,0))</f>
        <v>1.0869565217391299</v>
      </c>
      <c r="L1098" s="14">
        <f t="shared" si="34"/>
        <v>2.228260869565216</v>
      </c>
      <c r="M1098" t="str">
        <f t="shared" si="35"/>
        <v>No</v>
      </c>
    </row>
    <row r="1099" spans="1:13" x14ac:dyDescent="0.25">
      <c r="A1099">
        <v>338534</v>
      </c>
      <c r="B1099" t="s">
        <v>297</v>
      </c>
      <c r="C1099" t="s">
        <v>3414</v>
      </c>
      <c r="D1099" t="s">
        <v>6220</v>
      </c>
      <c r="E1099">
        <v>2.19</v>
      </c>
      <c r="F1099" t="s">
        <v>50</v>
      </c>
      <c r="G1099" t="s">
        <v>3307</v>
      </c>
      <c r="H1099" t="s">
        <v>136</v>
      </c>
      <c r="I1099" s="11">
        <v>46297</v>
      </c>
      <c r="J1099" s="12">
        <v>46296</v>
      </c>
      <c r="K1099" s="13">
        <f>INDEX(Assumptions!$B$4:$B$23,MATCH(F1099,Assumptions!$A$4:$A$23,0))</f>
        <v>1.0869565217391299</v>
      </c>
      <c r="L1099" s="14">
        <f t="shared" si="34"/>
        <v>2.3804347826086945</v>
      </c>
      <c r="M1099" t="str">
        <f t="shared" si="35"/>
        <v>No</v>
      </c>
    </row>
    <row r="1100" spans="1:13" x14ac:dyDescent="0.25">
      <c r="A1100">
        <v>338533</v>
      </c>
      <c r="B1100" t="s">
        <v>3416</v>
      </c>
      <c r="C1100" t="s">
        <v>3417</v>
      </c>
      <c r="D1100" t="s">
        <v>6220</v>
      </c>
      <c r="E1100">
        <v>2.25</v>
      </c>
      <c r="F1100" t="s">
        <v>50</v>
      </c>
      <c r="G1100" t="s">
        <v>3307</v>
      </c>
      <c r="H1100" t="s">
        <v>136</v>
      </c>
      <c r="I1100" s="11">
        <v>46297</v>
      </c>
      <c r="J1100" s="12">
        <v>46296</v>
      </c>
      <c r="K1100" s="13">
        <f>INDEX(Assumptions!$B$4:$B$23,MATCH(F1100,Assumptions!$A$4:$A$23,0))</f>
        <v>1.0869565217391299</v>
      </c>
      <c r="L1100" s="14">
        <f t="shared" si="34"/>
        <v>2.4456521739130421</v>
      </c>
      <c r="M1100" t="str">
        <f t="shared" si="35"/>
        <v>No</v>
      </c>
    </row>
    <row r="1101" spans="1:13" x14ac:dyDescent="0.25">
      <c r="A1101">
        <v>338532</v>
      </c>
      <c r="B1101" t="s">
        <v>3419</v>
      </c>
      <c r="C1101" t="s">
        <v>3420</v>
      </c>
      <c r="D1101" t="s">
        <v>6220</v>
      </c>
      <c r="E1101">
        <v>2.25</v>
      </c>
      <c r="F1101" t="s">
        <v>50</v>
      </c>
      <c r="G1101" t="s">
        <v>3307</v>
      </c>
      <c r="H1101" t="s">
        <v>136</v>
      </c>
      <c r="I1101" s="11">
        <v>46297</v>
      </c>
      <c r="J1101" s="12">
        <v>46296</v>
      </c>
      <c r="K1101" s="13">
        <f>INDEX(Assumptions!$B$4:$B$23,MATCH(F1101,Assumptions!$A$4:$A$23,0))</f>
        <v>1.0869565217391299</v>
      </c>
      <c r="L1101" s="14">
        <f t="shared" si="34"/>
        <v>2.4456521739130421</v>
      </c>
      <c r="M1101" t="str">
        <f t="shared" si="35"/>
        <v>No</v>
      </c>
    </row>
    <row r="1102" spans="1:13" x14ac:dyDescent="0.25">
      <c r="A1102">
        <v>338531</v>
      </c>
      <c r="B1102" t="s">
        <v>3422</v>
      </c>
      <c r="C1102" t="s">
        <v>3423</v>
      </c>
      <c r="D1102" t="s">
        <v>6220</v>
      </c>
      <c r="E1102">
        <v>2.09</v>
      </c>
      <c r="F1102" t="s">
        <v>50</v>
      </c>
      <c r="G1102" t="s">
        <v>3307</v>
      </c>
      <c r="H1102" t="s">
        <v>136</v>
      </c>
      <c r="I1102" s="11">
        <v>46297</v>
      </c>
      <c r="J1102" s="12">
        <v>46296</v>
      </c>
      <c r="K1102" s="13">
        <f>INDEX(Assumptions!$B$4:$B$23,MATCH(F1102,Assumptions!$A$4:$A$23,0))</f>
        <v>1.0869565217391299</v>
      </c>
      <c r="L1102" s="14">
        <f t="shared" si="34"/>
        <v>2.2717391304347814</v>
      </c>
      <c r="M1102" t="str">
        <f t="shared" si="35"/>
        <v>No</v>
      </c>
    </row>
    <row r="1103" spans="1:13" x14ac:dyDescent="0.25">
      <c r="A1103">
        <v>338530</v>
      </c>
      <c r="B1103" t="s">
        <v>3362</v>
      </c>
      <c r="C1103" t="s">
        <v>3425</v>
      </c>
      <c r="D1103" t="s">
        <v>6220</v>
      </c>
      <c r="E1103">
        <v>1.89</v>
      </c>
      <c r="F1103" t="s">
        <v>50</v>
      </c>
      <c r="G1103" t="s">
        <v>3307</v>
      </c>
      <c r="H1103" t="s">
        <v>136</v>
      </c>
      <c r="I1103" s="11">
        <v>46297</v>
      </c>
      <c r="J1103" s="12">
        <v>46296</v>
      </c>
      <c r="K1103" s="13">
        <f>INDEX(Assumptions!$B$4:$B$23,MATCH(F1103,Assumptions!$A$4:$A$23,0))</f>
        <v>1.0869565217391299</v>
      </c>
      <c r="L1103" s="14">
        <f t="shared" si="34"/>
        <v>2.0543478260869557</v>
      </c>
      <c r="M1103" t="str">
        <f t="shared" si="35"/>
        <v>No</v>
      </c>
    </row>
    <row r="1104" spans="1:13" x14ac:dyDescent="0.25">
      <c r="A1104">
        <v>338529</v>
      </c>
      <c r="B1104" t="s">
        <v>3427</v>
      </c>
      <c r="C1104" t="s">
        <v>3428</v>
      </c>
      <c r="D1104" t="s">
        <v>6220</v>
      </c>
      <c r="E1104">
        <v>2.59</v>
      </c>
      <c r="F1104" t="s">
        <v>50</v>
      </c>
      <c r="G1104" t="s">
        <v>3307</v>
      </c>
      <c r="H1104" t="s">
        <v>136</v>
      </c>
      <c r="I1104" s="11">
        <v>46297</v>
      </c>
      <c r="J1104" s="12">
        <v>46296</v>
      </c>
      <c r="K1104" s="13">
        <f>INDEX(Assumptions!$B$4:$B$23,MATCH(F1104,Assumptions!$A$4:$A$23,0))</f>
        <v>1.0869565217391299</v>
      </c>
      <c r="L1104" s="14">
        <f t="shared" si="34"/>
        <v>2.8152173913043463</v>
      </c>
      <c r="M1104" t="str">
        <f t="shared" si="35"/>
        <v>No</v>
      </c>
    </row>
    <row r="1105" spans="1:13" x14ac:dyDescent="0.25">
      <c r="A1105">
        <v>338528</v>
      </c>
      <c r="B1105" t="s">
        <v>3430</v>
      </c>
      <c r="C1105" t="s">
        <v>3431</v>
      </c>
      <c r="D1105" t="s">
        <v>6220</v>
      </c>
      <c r="E1105">
        <v>1.35</v>
      </c>
      <c r="F1105" t="s">
        <v>50</v>
      </c>
      <c r="G1105" t="s">
        <v>3307</v>
      </c>
      <c r="H1105" t="s">
        <v>136</v>
      </c>
      <c r="I1105" s="11">
        <v>46297</v>
      </c>
      <c r="J1105" s="12">
        <v>46296</v>
      </c>
      <c r="K1105" s="13">
        <f>INDEX(Assumptions!$B$4:$B$23,MATCH(F1105,Assumptions!$A$4:$A$23,0))</f>
        <v>1.0869565217391299</v>
      </c>
      <c r="L1105" s="14">
        <f t="shared" si="34"/>
        <v>1.4673913043478255</v>
      </c>
      <c r="M1105" t="str">
        <f t="shared" si="35"/>
        <v>No</v>
      </c>
    </row>
    <row r="1106" spans="1:13" x14ac:dyDescent="0.25">
      <c r="A1106">
        <v>338527</v>
      </c>
      <c r="B1106" t="s">
        <v>3433</v>
      </c>
      <c r="C1106" t="s">
        <v>3434</v>
      </c>
      <c r="D1106" t="s">
        <v>6220</v>
      </c>
      <c r="E1106">
        <v>1.55</v>
      </c>
      <c r="F1106" t="s">
        <v>50</v>
      </c>
      <c r="G1106" t="s">
        <v>3307</v>
      </c>
      <c r="H1106" t="s">
        <v>136</v>
      </c>
      <c r="I1106" s="11">
        <v>46297</v>
      </c>
      <c r="J1106" s="12">
        <v>46296</v>
      </c>
      <c r="K1106" s="13">
        <f>INDEX(Assumptions!$B$4:$B$23,MATCH(F1106,Assumptions!$A$4:$A$23,0))</f>
        <v>1.0869565217391299</v>
      </c>
      <c r="L1106" s="14">
        <f t="shared" si="34"/>
        <v>1.6847826086956514</v>
      </c>
      <c r="M1106" t="str">
        <f t="shared" si="35"/>
        <v>No</v>
      </c>
    </row>
    <row r="1107" spans="1:13" x14ac:dyDescent="0.25">
      <c r="A1107">
        <v>338526</v>
      </c>
      <c r="B1107" t="s">
        <v>3436</v>
      </c>
      <c r="C1107" t="s">
        <v>3437</v>
      </c>
      <c r="D1107" t="s">
        <v>6220</v>
      </c>
      <c r="E1107">
        <v>2.19</v>
      </c>
      <c r="F1107" t="s">
        <v>50</v>
      </c>
      <c r="G1107" t="s">
        <v>3307</v>
      </c>
      <c r="H1107" t="s">
        <v>136</v>
      </c>
      <c r="I1107" s="11">
        <v>46297</v>
      </c>
      <c r="J1107" s="12">
        <v>46296</v>
      </c>
      <c r="K1107" s="13">
        <f>INDEX(Assumptions!$B$4:$B$23,MATCH(F1107,Assumptions!$A$4:$A$23,0))</f>
        <v>1.0869565217391299</v>
      </c>
      <c r="L1107" s="14">
        <f t="shared" si="34"/>
        <v>2.3804347826086945</v>
      </c>
      <c r="M1107" t="str">
        <f t="shared" si="35"/>
        <v>No</v>
      </c>
    </row>
    <row r="1108" spans="1:13" x14ac:dyDescent="0.25">
      <c r="A1108">
        <v>338525</v>
      </c>
      <c r="B1108" t="s">
        <v>3439</v>
      </c>
      <c r="C1108" t="s">
        <v>3440</v>
      </c>
      <c r="D1108" t="s">
        <v>6220</v>
      </c>
      <c r="E1108">
        <v>2.09</v>
      </c>
      <c r="F1108" t="s">
        <v>50</v>
      </c>
      <c r="G1108" t="s">
        <v>3307</v>
      </c>
      <c r="H1108" t="s">
        <v>136</v>
      </c>
      <c r="I1108" s="11">
        <v>46297</v>
      </c>
      <c r="J1108" s="12">
        <v>46296</v>
      </c>
      <c r="K1108" s="13">
        <f>INDEX(Assumptions!$B$4:$B$23,MATCH(F1108,Assumptions!$A$4:$A$23,0))</f>
        <v>1.0869565217391299</v>
      </c>
      <c r="L1108" s="14">
        <f t="shared" si="34"/>
        <v>2.2717391304347814</v>
      </c>
      <c r="M1108" t="str">
        <f t="shared" si="35"/>
        <v>No</v>
      </c>
    </row>
    <row r="1109" spans="1:13" x14ac:dyDescent="0.25">
      <c r="A1109">
        <v>338524</v>
      </c>
      <c r="B1109" t="s">
        <v>3442</v>
      </c>
      <c r="C1109" t="s">
        <v>3443</v>
      </c>
      <c r="D1109" t="s">
        <v>6220</v>
      </c>
      <c r="E1109">
        <v>1.79</v>
      </c>
      <c r="F1109" t="s">
        <v>50</v>
      </c>
      <c r="G1109" t="s">
        <v>3307</v>
      </c>
      <c r="H1109" t="s">
        <v>136</v>
      </c>
      <c r="I1109" s="11">
        <v>46297</v>
      </c>
      <c r="J1109" s="12">
        <v>46296</v>
      </c>
      <c r="K1109" s="13">
        <f>INDEX(Assumptions!$B$4:$B$23,MATCH(F1109,Assumptions!$A$4:$A$23,0))</f>
        <v>1.0869565217391299</v>
      </c>
      <c r="L1109" s="14">
        <f t="shared" si="34"/>
        <v>1.9456521739130426</v>
      </c>
      <c r="M1109" t="str">
        <f t="shared" si="35"/>
        <v>No</v>
      </c>
    </row>
    <row r="1110" spans="1:13" x14ac:dyDescent="0.25">
      <c r="A1110">
        <v>338523</v>
      </c>
      <c r="B1110" t="s">
        <v>3445</v>
      </c>
      <c r="C1110" t="s">
        <v>3446</v>
      </c>
      <c r="D1110" t="s">
        <v>6220</v>
      </c>
      <c r="E1110">
        <v>1.9</v>
      </c>
      <c r="F1110" t="s">
        <v>50</v>
      </c>
      <c r="G1110" t="s">
        <v>3307</v>
      </c>
      <c r="H1110" t="s">
        <v>136</v>
      </c>
      <c r="I1110" s="11">
        <v>46297</v>
      </c>
      <c r="J1110" s="12">
        <v>46296</v>
      </c>
      <c r="K1110" s="13">
        <f>INDEX(Assumptions!$B$4:$B$23,MATCH(F1110,Assumptions!$A$4:$A$23,0))</f>
        <v>1.0869565217391299</v>
      </c>
      <c r="L1110" s="14">
        <f t="shared" si="34"/>
        <v>2.0652173913043468</v>
      </c>
      <c r="M1110" t="str">
        <f t="shared" si="35"/>
        <v>No</v>
      </c>
    </row>
    <row r="1111" spans="1:13" x14ac:dyDescent="0.25">
      <c r="A1111">
        <v>338522</v>
      </c>
      <c r="B1111" t="s">
        <v>3448</v>
      </c>
      <c r="C1111" t="s">
        <v>3449</v>
      </c>
      <c r="D1111" t="s">
        <v>6220</v>
      </c>
      <c r="E1111">
        <v>2.09</v>
      </c>
      <c r="F1111" t="s">
        <v>50</v>
      </c>
      <c r="G1111" t="s">
        <v>3307</v>
      </c>
      <c r="H1111" t="s">
        <v>136</v>
      </c>
      <c r="I1111" s="11">
        <v>46297</v>
      </c>
      <c r="J1111" s="12">
        <v>46296</v>
      </c>
      <c r="K1111" s="13">
        <f>INDEX(Assumptions!$B$4:$B$23,MATCH(F1111,Assumptions!$A$4:$A$23,0))</f>
        <v>1.0869565217391299</v>
      </c>
      <c r="L1111" s="14">
        <f t="shared" si="34"/>
        <v>2.2717391304347814</v>
      </c>
      <c r="M1111" t="str">
        <f t="shared" si="35"/>
        <v>No</v>
      </c>
    </row>
    <row r="1112" spans="1:13" x14ac:dyDescent="0.25">
      <c r="A1112">
        <v>338521</v>
      </c>
      <c r="B1112" t="s">
        <v>3451</v>
      </c>
      <c r="C1112" t="s">
        <v>3452</v>
      </c>
      <c r="D1112" t="s">
        <v>6220</v>
      </c>
      <c r="E1112">
        <v>1.45</v>
      </c>
      <c r="F1112" t="s">
        <v>50</v>
      </c>
      <c r="G1112" t="s">
        <v>3307</v>
      </c>
      <c r="H1112" t="s">
        <v>136</v>
      </c>
      <c r="I1112" s="11">
        <v>46297</v>
      </c>
      <c r="J1112" s="12">
        <v>46296</v>
      </c>
      <c r="K1112" s="13">
        <f>INDEX(Assumptions!$B$4:$B$23,MATCH(F1112,Assumptions!$A$4:$A$23,0))</f>
        <v>1.0869565217391299</v>
      </c>
      <c r="L1112" s="14">
        <f t="shared" si="34"/>
        <v>1.5760869565217384</v>
      </c>
      <c r="M1112" t="str">
        <f t="shared" si="35"/>
        <v>No</v>
      </c>
    </row>
    <row r="1113" spans="1:13" x14ac:dyDescent="0.25">
      <c r="A1113">
        <v>338520</v>
      </c>
      <c r="B1113" t="s">
        <v>3454</v>
      </c>
      <c r="C1113" t="s">
        <v>3455</v>
      </c>
      <c r="D1113" t="s">
        <v>6220</v>
      </c>
      <c r="E1113">
        <v>1.65</v>
      </c>
      <c r="F1113" t="s">
        <v>50</v>
      </c>
      <c r="G1113" t="s">
        <v>3307</v>
      </c>
      <c r="H1113" t="s">
        <v>136</v>
      </c>
      <c r="I1113" s="11">
        <v>46297</v>
      </c>
      <c r="J1113" s="12">
        <v>46296</v>
      </c>
      <c r="K1113" s="13">
        <f>INDEX(Assumptions!$B$4:$B$23,MATCH(F1113,Assumptions!$A$4:$A$23,0))</f>
        <v>1.0869565217391299</v>
      </c>
      <c r="L1113" s="14">
        <f t="shared" si="34"/>
        <v>1.7934782608695643</v>
      </c>
      <c r="M1113" t="str">
        <f t="shared" si="35"/>
        <v>No</v>
      </c>
    </row>
    <row r="1114" spans="1:13" x14ac:dyDescent="0.25">
      <c r="A1114">
        <v>338519</v>
      </c>
      <c r="B1114" t="s">
        <v>3457</v>
      </c>
      <c r="C1114" t="s">
        <v>6221</v>
      </c>
      <c r="D1114" t="s">
        <v>6220</v>
      </c>
      <c r="E1114">
        <v>3.99</v>
      </c>
      <c r="F1114" t="s">
        <v>50</v>
      </c>
      <c r="G1114" t="s">
        <v>3459</v>
      </c>
      <c r="H1114" t="s">
        <v>3458</v>
      </c>
      <c r="I1114" s="11">
        <v>46286</v>
      </c>
      <c r="J1114" s="12">
        <v>46266</v>
      </c>
      <c r="K1114" s="13">
        <f>INDEX(Assumptions!$B$4:$B$23,MATCH(F1114,Assumptions!$A$4:$A$23,0))</f>
        <v>1.0869565217391299</v>
      </c>
      <c r="L1114" s="14">
        <f t="shared" si="34"/>
        <v>4.336956521739129</v>
      </c>
      <c r="M1114" t="str">
        <f t="shared" si="35"/>
        <v>Yes</v>
      </c>
    </row>
    <row r="1115" spans="1:13" x14ac:dyDescent="0.25">
      <c r="A1115">
        <v>338518</v>
      </c>
      <c r="B1115" t="s">
        <v>3462</v>
      </c>
      <c r="C1115" t="s">
        <v>6221</v>
      </c>
      <c r="D1115" t="s">
        <v>6220</v>
      </c>
      <c r="E1115">
        <v>1.1499999999999999</v>
      </c>
      <c r="F1115" t="s">
        <v>50</v>
      </c>
      <c r="G1115" t="s">
        <v>945</v>
      </c>
      <c r="H1115" t="s">
        <v>3463</v>
      </c>
      <c r="I1115" s="11">
        <v>46296</v>
      </c>
      <c r="J1115" s="12">
        <v>46296</v>
      </c>
      <c r="K1115" s="13">
        <f>INDEX(Assumptions!$B$4:$B$23,MATCH(F1115,Assumptions!$A$4:$A$23,0))</f>
        <v>1.0869565217391299</v>
      </c>
      <c r="L1115" s="14">
        <f t="shared" si="34"/>
        <v>1.2499999999999993</v>
      </c>
      <c r="M1115" t="str">
        <f t="shared" si="35"/>
        <v>Yes</v>
      </c>
    </row>
    <row r="1116" spans="1:13" x14ac:dyDescent="0.25">
      <c r="A1116">
        <v>338517</v>
      </c>
      <c r="B1116" t="s">
        <v>3465</v>
      </c>
      <c r="C1116" t="s">
        <v>3466</v>
      </c>
      <c r="D1116" t="s">
        <v>6220</v>
      </c>
      <c r="E1116">
        <v>2.4900000000000002</v>
      </c>
      <c r="F1116" t="s">
        <v>50</v>
      </c>
      <c r="G1116" t="s">
        <v>3468</v>
      </c>
      <c r="H1116" t="s">
        <v>3467</v>
      </c>
      <c r="I1116" s="11">
        <v>46297</v>
      </c>
      <c r="J1116" s="12">
        <v>46296</v>
      </c>
      <c r="K1116" s="13">
        <f>INDEX(Assumptions!$B$4:$B$23,MATCH(F1116,Assumptions!$A$4:$A$23,0))</f>
        <v>1.0869565217391299</v>
      </c>
      <c r="L1116" s="14">
        <f t="shared" si="34"/>
        <v>2.7065217391304337</v>
      </c>
      <c r="M1116" t="str">
        <f t="shared" si="35"/>
        <v>No</v>
      </c>
    </row>
    <row r="1117" spans="1:13" x14ac:dyDescent="0.25">
      <c r="A1117">
        <v>338516</v>
      </c>
      <c r="C1117" t="s">
        <v>3470</v>
      </c>
      <c r="D1117" t="s">
        <v>3471</v>
      </c>
      <c r="E1117">
        <v>0.49</v>
      </c>
      <c r="F1117" t="s">
        <v>50</v>
      </c>
      <c r="G1117" t="s">
        <v>3468</v>
      </c>
      <c r="H1117" t="s">
        <v>3467</v>
      </c>
      <c r="I1117" s="11">
        <v>46297</v>
      </c>
      <c r="J1117" s="12">
        <v>46296</v>
      </c>
      <c r="K1117" s="13">
        <f>INDEX(Assumptions!$B$4:$B$23,MATCH(F1117,Assumptions!$A$4:$A$23,0))</f>
        <v>1.0869565217391299</v>
      </c>
      <c r="L1117" s="14">
        <f t="shared" si="34"/>
        <v>0.53260869565217361</v>
      </c>
      <c r="M1117" t="str">
        <f t="shared" si="35"/>
        <v>No</v>
      </c>
    </row>
    <row r="1118" spans="1:13" x14ac:dyDescent="0.25">
      <c r="A1118">
        <v>338515</v>
      </c>
      <c r="B1118" t="s">
        <v>3473</v>
      </c>
      <c r="C1118" t="s">
        <v>3474</v>
      </c>
      <c r="D1118" t="s">
        <v>6220</v>
      </c>
      <c r="E1118">
        <v>1.99</v>
      </c>
      <c r="F1118" t="s">
        <v>50</v>
      </c>
      <c r="G1118" t="s">
        <v>3468</v>
      </c>
      <c r="H1118" t="s">
        <v>3467</v>
      </c>
      <c r="I1118" s="11">
        <v>46297</v>
      </c>
      <c r="J1118" s="12">
        <v>46296</v>
      </c>
      <c r="K1118" s="13">
        <f>INDEX(Assumptions!$B$4:$B$23,MATCH(F1118,Assumptions!$A$4:$A$23,0))</f>
        <v>1.0869565217391299</v>
      </c>
      <c r="L1118" s="14">
        <f t="shared" si="34"/>
        <v>2.1630434782608687</v>
      </c>
      <c r="M1118" t="str">
        <f t="shared" si="35"/>
        <v>No</v>
      </c>
    </row>
    <row r="1119" spans="1:13" x14ac:dyDescent="0.25">
      <c r="A1119">
        <v>338514</v>
      </c>
      <c r="B1119" t="s">
        <v>3476</v>
      </c>
      <c r="C1119" t="s">
        <v>3477</v>
      </c>
      <c r="D1119" t="s">
        <v>6220</v>
      </c>
      <c r="E1119">
        <v>0.75</v>
      </c>
      <c r="F1119" t="s">
        <v>50</v>
      </c>
      <c r="G1119" t="s">
        <v>3468</v>
      </c>
      <c r="H1119" t="s">
        <v>3467</v>
      </c>
      <c r="I1119" s="11">
        <v>46297</v>
      </c>
      <c r="J1119" s="12">
        <v>46296</v>
      </c>
      <c r="K1119" s="13">
        <f>INDEX(Assumptions!$B$4:$B$23,MATCH(F1119,Assumptions!$A$4:$A$23,0))</f>
        <v>1.0869565217391299</v>
      </c>
      <c r="L1119" s="14">
        <f t="shared" si="34"/>
        <v>0.81521739130434745</v>
      </c>
      <c r="M1119" t="str">
        <f t="shared" si="35"/>
        <v>No</v>
      </c>
    </row>
    <row r="1120" spans="1:13" x14ac:dyDescent="0.25">
      <c r="A1120">
        <v>338513</v>
      </c>
      <c r="B1120" t="s">
        <v>3480</v>
      </c>
      <c r="C1120" t="s">
        <v>3481</v>
      </c>
      <c r="D1120" t="s">
        <v>6220</v>
      </c>
      <c r="E1120">
        <v>2.4900000000000002</v>
      </c>
      <c r="F1120" t="s">
        <v>50</v>
      </c>
      <c r="G1120" t="s">
        <v>3468</v>
      </c>
      <c r="H1120" t="s">
        <v>3467</v>
      </c>
      <c r="I1120" s="11">
        <v>46297</v>
      </c>
      <c r="J1120" s="12">
        <v>46296</v>
      </c>
      <c r="K1120" s="13">
        <f>INDEX(Assumptions!$B$4:$B$23,MATCH(F1120,Assumptions!$A$4:$A$23,0))</f>
        <v>1.0869565217391299</v>
      </c>
      <c r="L1120" s="14">
        <f t="shared" si="34"/>
        <v>2.7065217391304337</v>
      </c>
      <c r="M1120" t="str">
        <f t="shared" si="35"/>
        <v>No</v>
      </c>
    </row>
    <row r="1121" spans="1:13" x14ac:dyDescent="0.25">
      <c r="A1121">
        <v>338512</v>
      </c>
      <c r="B1121" t="s">
        <v>3483</v>
      </c>
      <c r="C1121" t="s">
        <v>3484</v>
      </c>
      <c r="D1121" t="s">
        <v>6220</v>
      </c>
      <c r="E1121">
        <v>1.99</v>
      </c>
      <c r="F1121" t="s">
        <v>50</v>
      </c>
      <c r="G1121" t="s">
        <v>3468</v>
      </c>
      <c r="H1121" t="s">
        <v>3467</v>
      </c>
      <c r="I1121" s="11">
        <v>46297</v>
      </c>
      <c r="J1121" s="12">
        <v>46296</v>
      </c>
      <c r="K1121" s="13">
        <f>INDEX(Assumptions!$B$4:$B$23,MATCH(F1121,Assumptions!$A$4:$A$23,0))</f>
        <v>1.0869565217391299</v>
      </c>
      <c r="L1121" s="14">
        <f t="shared" si="34"/>
        <v>2.1630434782608687</v>
      </c>
      <c r="M1121" t="str">
        <f t="shared" si="35"/>
        <v>No</v>
      </c>
    </row>
    <row r="1122" spans="1:13" x14ac:dyDescent="0.25">
      <c r="A1122">
        <v>338511</v>
      </c>
      <c r="B1122" t="s">
        <v>3486</v>
      </c>
      <c r="C1122" t="s">
        <v>3487</v>
      </c>
      <c r="D1122" t="s">
        <v>6220</v>
      </c>
      <c r="E1122">
        <v>1.99</v>
      </c>
      <c r="F1122" t="s">
        <v>50</v>
      </c>
      <c r="G1122" t="s">
        <v>3468</v>
      </c>
      <c r="H1122" t="s">
        <v>3467</v>
      </c>
      <c r="I1122" s="11">
        <v>46297</v>
      </c>
      <c r="J1122" s="12">
        <v>46296</v>
      </c>
      <c r="K1122" s="13">
        <f>INDEX(Assumptions!$B$4:$B$23,MATCH(F1122,Assumptions!$A$4:$A$23,0))</f>
        <v>1.0869565217391299</v>
      </c>
      <c r="L1122" s="14">
        <f t="shared" si="34"/>
        <v>2.1630434782608687</v>
      </c>
      <c r="M1122" t="str">
        <f t="shared" si="35"/>
        <v>No</v>
      </c>
    </row>
    <row r="1123" spans="1:13" x14ac:dyDescent="0.25">
      <c r="A1123">
        <v>338510</v>
      </c>
      <c r="B1123" t="s">
        <v>3489</v>
      </c>
      <c r="C1123" t="s">
        <v>3490</v>
      </c>
      <c r="D1123" t="s">
        <v>6220</v>
      </c>
      <c r="E1123">
        <v>1.69</v>
      </c>
      <c r="F1123" t="s">
        <v>50</v>
      </c>
      <c r="G1123" t="s">
        <v>3468</v>
      </c>
      <c r="H1123" t="s">
        <v>3467</v>
      </c>
      <c r="I1123" s="11">
        <v>46297</v>
      </c>
      <c r="J1123" s="12">
        <v>46296</v>
      </c>
      <c r="K1123" s="13">
        <f>INDEX(Assumptions!$B$4:$B$23,MATCH(F1123,Assumptions!$A$4:$A$23,0))</f>
        <v>1.0869565217391299</v>
      </c>
      <c r="L1123" s="14">
        <f t="shared" si="34"/>
        <v>1.8369565217391295</v>
      </c>
      <c r="M1123" t="str">
        <f t="shared" si="35"/>
        <v>No</v>
      </c>
    </row>
    <row r="1124" spans="1:13" x14ac:dyDescent="0.25">
      <c r="A1124">
        <v>338509</v>
      </c>
      <c r="B1124" t="s">
        <v>3492</v>
      </c>
      <c r="C1124" t="s">
        <v>6221</v>
      </c>
      <c r="D1124" t="s">
        <v>6220</v>
      </c>
      <c r="E1124">
        <v>5.95</v>
      </c>
      <c r="F1124" t="s">
        <v>50</v>
      </c>
      <c r="G1124" t="s">
        <v>3494</v>
      </c>
      <c r="H1124" t="s">
        <v>3493</v>
      </c>
      <c r="I1124" s="11">
        <v>46297</v>
      </c>
      <c r="J1124" s="12">
        <v>46296</v>
      </c>
      <c r="K1124" s="13">
        <f>INDEX(Assumptions!$B$4:$B$23,MATCH(F1124,Assumptions!$A$4:$A$23,0))</f>
        <v>1.0869565217391299</v>
      </c>
      <c r="L1124" s="14">
        <f t="shared" si="34"/>
        <v>6.4673913043478235</v>
      </c>
      <c r="M1124" t="str">
        <f t="shared" si="35"/>
        <v>Yes</v>
      </c>
    </row>
    <row r="1125" spans="1:13" x14ac:dyDescent="0.25">
      <c r="A1125">
        <v>338508</v>
      </c>
      <c r="B1125" t="s">
        <v>3496</v>
      </c>
      <c r="C1125" t="s">
        <v>6221</v>
      </c>
      <c r="D1125" t="s">
        <v>6220</v>
      </c>
      <c r="E1125">
        <v>2</v>
      </c>
      <c r="F1125" t="s">
        <v>2419</v>
      </c>
      <c r="G1125" t="s">
        <v>2421</v>
      </c>
      <c r="H1125" t="s">
        <v>2420</v>
      </c>
      <c r="I1125" s="11">
        <v>46297</v>
      </c>
      <c r="J1125" s="12">
        <v>46296</v>
      </c>
      <c r="K1125" s="13">
        <f>INDEX(Assumptions!$B$4:$B$23,MATCH(F1125,Assumptions!$A$4:$A$23,0))</f>
        <v>0.1020408163265306</v>
      </c>
      <c r="L1125" s="14">
        <f t="shared" si="34"/>
        <v>0.2040816326530612</v>
      </c>
      <c r="M1125" t="str">
        <f t="shared" si="35"/>
        <v>Yes</v>
      </c>
    </row>
    <row r="1126" spans="1:13" x14ac:dyDescent="0.25">
      <c r="A1126">
        <v>338507</v>
      </c>
      <c r="B1126" t="s">
        <v>3498</v>
      </c>
      <c r="C1126" t="s">
        <v>6221</v>
      </c>
      <c r="D1126" t="s">
        <v>6220</v>
      </c>
      <c r="E1126">
        <v>23</v>
      </c>
      <c r="F1126" t="s">
        <v>2419</v>
      </c>
      <c r="G1126" t="s">
        <v>2421</v>
      </c>
      <c r="H1126" t="s">
        <v>2420</v>
      </c>
      <c r="I1126" s="11">
        <v>46297</v>
      </c>
      <c r="J1126" s="12">
        <v>46296</v>
      </c>
      <c r="K1126" s="13">
        <f>INDEX(Assumptions!$B$4:$B$23,MATCH(F1126,Assumptions!$A$4:$A$23,0))</f>
        <v>0.1020408163265306</v>
      </c>
      <c r="L1126" s="14">
        <f t="shared" si="34"/>
        <v>2.3469387755102038</v>
      </c>
      <c r="M1126" t="str">
        <f t="shared" si="35"/>
        <v>Yes</v>
      </c>
    </row>
    <row r="1127" spans="1:13" x14ac:dyDescent="0.25">
      <c r="A1127">
        <v>338506</v>
      </c>
      <c r="B1127" t="s">
        <v>3501</v>
      </c>
      <c r="C1127" t="s">
        <v>6221</v>
      </c>
      <c r="D1127" t="s">
        <v>6220</v>
      </c>
      <c r="E1127">
        <v>15.99</v>
      </c>
      <c r="F1127" t="s">
        <v>50</v>
      </c>
      <c r="G1127" t="s">
        <v>3503</v>
      </c>
      <c r="H1127" t="s">
        <v>3502</v>
      </c>
      <c r="I1127" s="11">
        <v>46297</v>
      </c>
      <c r="J1127" s="12">
        <v>46296</v>
      </c>
      <c r="K1127" s="13">
        <f>INDEX(Assumptions!$B$4:$B$23,MATCH(F1127,Assumptions!$A$4:$A$23,0))</f>
        <v>1.0869565217391299</v>
      </c>
      <c r="L1127" s="14">
        <f t="shared" si="34"/>
        <v>17.380434782608688</v>
      </c>
      <c r="M1127" t="str">
        <f t="shared" si="35"/>
        <v>Yes</v>
      </c>
    </row>
    <row r="1128" spans="1:13" x14ac:dyDescent="0.25">
      <c r="A1128">
        <v>338505</v>
      </c>
      <c r="B1128" t="s">
        <v>3505</v>
      </c>
      <c r="C1128" t="s">
        <v>6221</v>
      </c>
      <c r="D1128" t="s">
        <v>6220</v>
      </c>
      <c r="E1128">
        <v>1.39</v>
      </c>
      <c r="F1128" t="s">
        <v>50</v>
      </c>
      <c r="G1128" t="s">
        <v>945</v>
      </c>
      <c r="H1128" t="s">
        <v>3506</v>
      </c>
      <c r="I1128" s="11">
        <v>46297</v>
      </c>
      <c r="J1128" s="12">
        <v>46296</v>
      </c>
      <c r="K1128" s="13">
        <f>INDEX(Assumptions!$B$4:$B$23,MATCH(F1128,Assumptions!$A$4:$A$23,0))</f>
        <v>1.0869565217391299</v>
      </c>
      <c r="L1128" s="14">
        <f t="shared" si="34"/>
        <v>1.5108695652173905</v>
      </c>
      <c r="M1128" t="str">
        <f t="shared" si="35"/>
        <v>Yes</v>
      </c>
    </row>
    <row r="1129" spans="1:13" x14ac:dyDescent="0.25">
      <c r="A1129">
        <v>338504</v>
      </c>
      <c r="B1129" t="s">
        <v>3508</v>
      </c>
      <c r="C1129" t="s">
        <v>6221</v>
      </c>
      <c r="D1129" t="s">
        <v>6220</v>
      </c>
      <c r="E1129">
        <v>1.39</v>
      </c>
      <c r="F1129" t="s">
        <v>50</v>
      </c>
      <c r="G1129" t="s">
        <v>945</v>
      </c>
      <c r="H1129" t="s">
        <v>3506</v>
      </c>
      <c r="I1129" s="11">
        <v>46297</v>
      </c>
      <c r="J1129" s="12">
        <v>46296</v>
      </c>
      <c r="K1129" s="13">
        <f>INDEX(Assumptions!$B$4:$B$23,MATCH(F1129,Assumptions!$A$4:$A$23,0))</f>
        <v>1.0869565217391299</v>
      </c>
      <c r="L1129" s="14">
        <f t="shared" si="34"/>
        <v>1.5108695652173905</v>
      </c>
      <c r="M1129" t="str">
        <f t="shared" si="35"/>
        <v>Yes</v>
      </c>
    </row>
    <row r="1130" spans="1:13" x14ac:dyDescent="0.25">
      <c r="A1130">
        <v>338503</v>
      </c>
      <c r="B1130" t="s">
        <v>3510</v>
      </c>
      <c r="C1130" t="s">
        <v>6221</v>
      </c>
      <c r="D1130" t="s">
        <v>6220</v>
      </c>
      <c r="E1130">
        <v>3.49</v>
      </c>
      <c r="F1130" t="s">
        <v>50</v>
      </c>
      <c r="G1130" t="s">
        <v>945</v>
      </c>
      <c r="H1130" t="s">
        <v>3506</v>
      </c>
      <c r="I1130" s="11">
        <v>46297</v>
      </c>
      <c r="J1130" s="12">
        <v>46296</v>
      </c>
      <c r="K1130" s="13">
        <f>INDEX(Assumptions!$B$4:$B$23,MATCH(F1130,Assumptions!$A$4:$A$23,0))</f>
        <v>1.0869565217391299</v>
      </c>
      <c r="L1130" s="14">
        <f t="shared" si="34"/>
        <v>3.7934782608695636</v>
      </c>
      <c r="M1130" t="str">
        <f t="shared" si="35"/>
        <v>Yes</v>
      </c>
    </row>
    <row r="1131" spans="1:13" x14ac:dyDescent="0.25">
      <c r="A1131">
        <v>338502</v>
      </c>
      <c r="B1131" t="s">
        <v>3512</v>
      </c>
      <c r="C1131" t="s">
        <v>6221</v>
      </c>
      <c r="D1131" t="s">
        <v>6220</v>
      </c>
      <c r="E1131">
        <v>1.99</v>
      </c>
      <c r="F1131" t="s">
        <v>50</v>
      </c>
      <c r="G1131" t="s">
        <v>945</v>
      </c>
      <c r="H1131" t="s">
        <v>3506</v>
      </c>
      <c r="I1131" s="11">
        <v>46297</v>
      </c>
      <c r="J1131" s="12">
        <v>46296</v>
      </c>
      <c r="K1131" s="13">
        <f>INDEX(Assumptions!$B$4:$B$23,MATCH(F1131,Assumptions!$A$4:$A$23,0))</f>
        <v>1.0869565217391299</v>
      </c>
      <c r="L1131" s="14">
        <f t="shared" si="34"/>
        <v>2.1630434782608687</v>
      </c>
      <c r="M1131" t="str">
        <f t="shared" si="35"/>
        <v>Yes</v>
      </c>
    </row>
    <row r="1132" spans="1:13" x14ac:dyDescent="0.25">
      <c r="A1132">
        <v>338501</v>
      </c>
      <c r="B1132" t="s">
        <v>3514</v>
      </c>
      <c r="C1132" t="s">
        <v>3515</v>
      </c>
      <c r="D1132" t="s">
        <v>6220</v>
      </c>
      <c r="E1132">
        <v>25.5</v>
      </c>
      <c r="F1132" t="s">
        <v>1681</v>
      </c>
      <c r="G1132" t="s">
        <v>1683</v>
      </c>
      <c r="H1132" t="s">
        <v>1682</v>
      </c>
      <c r="I1132" s="11">
        <v>46295</v>
      </c>
      <c r="J1132" s="12">
        <v>46266</v>
      </c>
      <c r="K1132" s="13">
        <f>INDEX(Assumptions!$B$4:$B$23,MATCH(F1132,Assumptions!$A$4:$A$23,0))</f>
        <v>0.10101010101010099</v>
      </c>
      <c r="L1132" s="14">
        <f t="shared" si="34"/>
        <v>2.5757575757575752</v>
      </c>
      <c r="M1132" t="str">
        <f t="shared" si="35"/>
        <v>No</v>
      </c>
    </row>
    <row r="1133" spans="1:13" x14ac:dyDescent="0.25">
      <c r="A1133">
        <v>338500</v>
      </c>
      <c r="B1133" t="s">
        <v>3517</v>
      </c>
      <c r="C1133" t="s">
        <v>3518</v>
      </c>
      <c r="D1133" t="s">
        <v>6220</v>
      </c>
      <c r="E1133">
        <v>41.9</v>
      </c>
      <c r="F1133" t="s">
        <v>1681</v>
      </c>
      <c r="G1133" t="s">
        <v>1683</v>
      </c>
      <c r="H1133" t="s">
        <v>1682</v>
      </c>
      <c r="I1133" s="11">
        <v>46295</v>
      </c>
      <c r="J1133" s="12">
        <v>46266</v>
      </c>
      <c r="K1133" s="13">
        <f>INDEX(Assumptions!$B$4:$B$23,MATCH(F1133,Assumptions!$A$4:$A$23,0))</f>
        <v>0.10101010101010099</v>
      </c>
      <c r="L1133" s="14">
        <f t="shared" si="34"/>
        <v>4.2323232323232318</v>
      </c>
      <c r="M1133" t="str">
        <f t="shared" si="35"/>
        <v>No</v>
      </c>
    </row>
    <row r="1134" spans="1:13" x14ac:dyDescent="0.25">
      <c r="A1134">
        <v>338499</v>
      </c>
      <c r="B1134" t="s">
        <v>3521</v>
      </c>
      <c r="C1134" t="s">
        <v>3522</v>
      </c>
      <c r="D1134" t="s">
        <v>6220</v>
      </c>
      <c r="E1134">
        <v>26.5</v>
      </c>
      <c r="F1134" t="s">
        <v>1681</v>
      </c>
      <c r="G1134" t="s">
        <v>1683</v>
      </c>
      <c r="H1134" t="s">
        <v>1682</v>
      </c>
      <c r="I1134" s="11">
        <v>46295</v>
      </c>
      <c r="J1134" s="12">
        <v>46266</v>
      </c>
      <c r="K1134" s="13">
        <f>INDEX(Assumptions!$B$4:$B$23,MATCH(F1134,Assumptions!$A$4:$A$23,0))</f>
        <v>0.10101010101010099</v>
      </c>
      <c r="L1134" s="14">
        <f t="shared" si="34"/>
        <v>2.6767676767676765</v>
      </c>
      <c r="M1134" t="str">
        <f t="shared" si="35"/>
        <v>No</v>
      </c>
    </row>
    <row r="1135" spans="1:13" x14ac:dyDescent="0.25">
      <c r="A1135">
        <v>338498</v>
      </c>
      <c r="B1135" t="s">
        <v>3524</v>
      </c>
      <c r="C1135" t="s">
        <v>3525</v>
      </c>
      <c r="D1135" t="s">
        <v>6220</v>
      </c>
      <c r="E1135">
        <v>41.9</v>
      </c>
      <c r="F1135" t="s">
        <v>1681</v>
      </c>
      <c r="G1135" t="s">
        <v>1683</v>
      </c>
      <c r="H1135" t="s">
        <v>1682</v>
      </c>
      <c r="I1135" s="11">
        <v>46295</v>
      </c>
      <c r="J1135" s="12">
        <v>46266</v>
      </c>
      <c r="K1135" s="13">
        <f>INDEX(Assumptions!$B$4:$B$23,MATCH(F1135,Assumptions!$A$4:$A$23,0))</f>
        <v>0.10101010101010099</v>
      </c>
      <c r="L1135" s="14">
        <f t="shared" si="34"/>
        <v>4.2323232323232318</v>
      </c>
      <c r="M1135" t="str">
        <f t="shared" si="35"/>
        <v>No</v>
      </c>
    </row>
    <row r="1136" spans="1:13" x14ac:dyDescent="0.25">
      <c r="A1136">
        <v>338497</v>
      </c>
      <c r="B1136" t="s">
        <v>3527</v>
      </c>
      <c r="C1136" t="s">
        <v>3528</v>
      </c>
      <c r="D1136" t="s">
        <v>6220</v>
      </c>
      <c r="E1136">
        <v>15.4</v>
      </c>
      <c r="F1136" t="s">
        <v>1681</v>
      </c>
      <c r="G1136" t="s">
        <v>3530</v>
      </c>
      <c r="H1136" t="s">
        <v>1682</v>
      </c>
      <c r="I1136" s="11">
        <v>46296</v>
      </c>
      <c r="J1136" s="12">
        <v>46296</v>
      </c>
      <c r="K1136" s="13">
        <f>INDEX(Assumptions!$B$4:$B$23,MATCH(F1136,Assumptions!$A$4:$A$23,0))</f>
        <v>0.10101010101010099</v>
      </c>
      <c r="L1136" s="14">
        <f t="shared" si="34"/>
        <v>1.5555555555555554</v>
      </c>
      <c r="M1136" t="str">
        <f t="shared" si="35"/>
        <v>No</v>
      </c>
    </row>
    <row r="1137" spans="1:13" x14ac:dyDescent="0.25">
      <c r="A1137">
        <v>338494</v>
      </c>
      <c r="B1137" t="s">
        <v>3532</v>
      </c>
      <c r="C1137" t="s">
        <v>6221</v>
      </c>
      <c r="D1137" t="s">
        <v>6220</v>
      </c>
      <c r="E1137">
        <v>36.9</v>
      </c>
      <c r="F1137" t="s">
        <v>1681</v>
      </c>
      <c r="G1137" t="s">
        <v>3530</v>
      </c>
      <c r="H1137" t="s">
        <v>1682</v>
      </c>
      <c r="I1137" s="11">
        <v>46296</v>
      </c>
      <c r="J1137" s="12">
        <v>46296</v>
      </c>
      <c r="K1137" s="13">
        <f>INDEX(Assumptions!$B$4:$B$23,MATCH(F1137,Assumptions!$A$4:$A$23,0))</f>
        <v>0.10101010101010099</v>
      </c>
      <c r="L1137" s="14">
        <f t="shared" si="34"/>
        <v>3.7272727272727266</v>
      </c>
      <c r="M1137" t="str">
        <f t="shared" si="35"/>
        <v>Yes</v>
      </c>
    </row>
    <row r="1138" spans="1:13" x14ac:dyDescent="0.25">
      <c r="A1138">
        <v>338495</v>
      </c>
      <c r="B1138" t="s">
        <v>3534</v>
      </c>
      <c r="C1138" t="s">
        <v>3535</v>
      </c>
      <c r="D1138" t="s">
        <v>6220</v>
      </c>
      <c r="E1138">
        <v>12.9</v>
      </c>
      <c r="F1138" t="s">
        <v>1681</v>
      </c>
      <c r="G1138" t="s">
        <v>3530</v>
      </c>
      <c r="H1138" t="s">
        <v>1682</v>
      </c>
      <c r="I1138" s="11">
        <v>46296</v>
      </c>
      <c r="J1138" s="12">
        <v>46296</v>
      </c>
      <c r="K1138" s="13">
        <f>INDEX(Assumptions!$B$4:$B$23,MATCH(F1138,Assumptions!$A$4:$A$23,0))</f>
        <v>0.10101010101010099</v>
      </c>
      <c r="L1138" s="14">
        <f t="shared" si="34"/>
        <v>1.3030303030303028</v>
      </c>
      <c r="M1138" t="str">
        <f t="shared" si="35"/>
        <v>No</v>
      </c>
    </row>
    <row r="1139" spans="1:13" x14ac:dyDescent="0.25">
      <c r="A1139">
        <v>338496</v>
      </c>
      <c r="B1139" t="s">
        <v>3527</v>
      </c>
      <c r="C1139" t="s">
        <v>3538</v>
      </c>
      <c r="D1139" t="s">
        <v>6220</v>
      </c>
      <c r="E1139">
        <v>15.4</v>
      </c>
      <c r="F1139" t="s">
        <v>1681</v>
      </c>
      <c r="G1139" t="s">
        <v>3530</v>
      </c>
      <c r="H1139" t="s">
        <v>1682</v>
      </c>
      <c r="I1139" s="11">
        <v>46296</v>
      </c>
      <c r="J1139" s="12">
        <v>46296</v>
      </c>
      <c r="K1139" s="13">
        <f>INDEX(Assumptions!$B$4:$B$23,MATCH(F1139,Assumptions!$A$4:$A$23,0))</f>
        <v>0.10101010101010099</v>
      </c>
      <c r="L1139" s="14">
        <f t="shared" si="34"/>
        <v>1.5555555555555554</v>
      </c>
      <c r="M1139" t="str">
        <f t="shared" si="35"/>
        <v>No</v>
      </c>
    </row>
    <row r="1140" spans="1:13" x14ac:dyDescent="0.25">
      <c r="A1140">
        <v>338493</v>
      </c>
      <c r="B1140" t="s">
        <v>3540</v>
      </c>
      <c r="C1140" t="s">
        <v>3541</v>
      </c>
      <c r="D1140" t="s">
        <v>6220</v>
      </c>
      <c r="E1140">
        <v>30.9</v>
      </c>
      <c r="F1140" t="s">
        <v>1681</v>
      </c>
      <c r="G1140" t="s">
        <v>1683</v>
      </c>
      <c r="H1140" t="s">
        <v>1682</v>
      </c>
      <c r="I1140" s="11">
        <v>46296</v>
      </c>
      <c r="J1140" s="12">
        <v>46296</v>
      </c>
      <c r="K1140" s="13">
        <f>INDEX(Assumptions!$B$4:$B$23,MATCH(F1140,Assumptions!$A$4:$A$23,0))</f>
        <v>0.10101010101010099</v>
      </c>
      <c r="L1140" s="14">
        <f t="shared" si="34"/>
        <v>3.1212121212121207</v>
      </c>
      <c r="M1140" t="str">
        <f t="shared" si="35"/>
        <v>No</v>
      </c>
    </row>
    <row r="1141" spans="1:13" x14ac:dyDescent="0.25">
      <c r="A1141">
        <v>338492</v>
      </c>
      <c r="B1141" t="s">
        <v>3544</v>
      </c>
      <c r="C1141" t="s">
        <v>3545</v>
      </c>
      <c r="D1141" t="s">
        <v>6220</v>
      </c>
      <c r="E1141">
        <v>27.9</v>
      </c>
      <c r="F1141" t="s">
        <v>1681</v>
      </c>
      <c r="G1141" t="s">
        <v>1683</v>
      </c>
      <c r="H1141" t="s">
        <v>1682</v>
      </c>
      <c r="I1141" s="11">
        <v>46296</v>
      </c>
      <c r="J1141" s="12">
        <v>46296</v>
      </c>
      <c r="K1141" s="13">
        <f>INDEX(Assumptions!$B$4:$B$23,MATCH(F1141,Assumptions!$A$4:$A$23,0))</f>
        <v>0.10101010101010099</v>
      </c>
      <c r="L1141" s="14">
        <f t="shared" si="34"/>
        <v>2.8181818181818175</v>
      </c>
      <c r="M1141" t="str">
        <f t="shared" si="35"/>
        <v>No</v>
      </c>
    </row>
    <row r="1142" spans="1:13" x14ac:dyDescent="0.25">
      <c r="A1142">
        <v>338491</v>
      </c>
      <c r="B1142" t="s">
        <v>3547</v>
      </c>
      <c r="C1142" t="s">
        <v>3548</v>
      </c>
      <c r="D1142" t="s">
        <v>6220</v>
      </c>
      <c r="E1142">
        <v>26.9</v>
      </c>
      <c r="F1142" t="s">
        <v>1681</v>
      </c>
      <c r="G1142" t="s">
        <v>1683</v>
      </c>
      <c r="H1142" t="s">
        <v>1682</v>
      </c>
      <c r="I1142" s="11">
        <v>46296</v>
      </c>
      <c r="J1142" s="12">
        <v>46296</v>
      </c>
      <c r="K1142" s="13">
        <f>INDEX(Assumptions!$B$4:$B$23,MATCH(F1142,Assumptions!$A$4:$A$23,0))</f>
        <v>0.10101010101010099</v>
      </c>
      <c r="L1142" s="14">
        <f t="shared" si="34"/>
        <v>2.7171717171717167</v>
      </c>
      <c r="M1142" t="str">
        <f t="shared" si="35"/>
        <v>No</v>
      </c>
    </row>
    <row r="1143" spans="1:13" x14ac:dyDescent="0.25">
      <c r="A1143">
        <v>338490</v>
      </c>
      <c r="B1143" t="s">
        <v>3551</v>
      </c>
      <c r="C1143" t="s">
        <v>6221</v>
      </c>
      <c r="D1143" t="s">
        <v>6220</v>
      </c>
      <c r="E1143">
        <v>31.9</v>
      </c>
      <c r="F1143" t="s">
        <v>1681</v>
      </c>
      <c r="G1143" t="s">
        <v>1683</v>
      </c>
      <c r="H1143" t="s">
        <v>1682</v>
      </c>
      <c r="I1143" s="11">
        <v>46296</v>
      </c>
      <c r="J1143" s="12">
        <v>46296</v>
      </c>
      <c r="K1143" s="13">
        <f>INDEX(Assumptions!$B$4:$B$23,MATCH(F1143,Assumptions!$A$4:$A$23,0))</f>
        <v>0.10101010101010099</v>
      </c>
      <c r="L1143" s="14">
        <f t="shared" si="34"/>
        <v>3.2222222222222214</v>
      </c>
      <c r="M1143" t="str">
        <f t="shared" si="35"/>
        <v>Yes</v>
      </c>
    </row>
    <row r="1144" spans="1:13" x14ac:dyDescent="0.25">
      <c r="A1144">
        <v>338489</v>
      </c>
      <c r="B1144" t="s">
        <v>3553</v>
      </c>
      <c r="C1144" t="s">
        <v>3554</v>
      </c>
      <c r="D1144" t="s">
        <v>6220</v>
      </c>
      <c r="E1144">
        <v>32.5</v>
      </c>
      <c r="F1144" t="s">
        <v>1681</v>
      </c>
      <c r="G1144" t="s">
        <v>1683</v>
      </c>
      <c r="H1144" t="s">
        <v>1682</v>
      </c>
      <c r="I1144" s="11">
        <v>46296</v>
      </c>
      <c r="J1144" s="12">
        <v>46296</v>
      </c>
      <c r="K1144" s="13">
        <f>INDEX(Assumptions!$B$4:$B$23,MATCH(F1144,Assumptions!$A$4:$A$23,0))</f>
        <v>0.10101010101010099</v>
      </c>
      <c r="L1144" s="14">
        <f t="shared" si="34"/>
        <v>3.2828282828282824</v>
      </c>
      <c r="M1144" t="str">
        <f t="shared" si="35"/>
        <v>No</v>
      </c>
    </row>
    <row r="1145" spans="1:13" x14ac:dyDescent="0.25">
      <c r="A1145">
        <v>338488</v>
      </c>
      <c r="B1145" t="s">
        <v>3557</v>
      </c>
      <c r="C1145" t="s">
        <v>3558</v>
      </c>
      <c r="D1145" t="s">
        <v>6220</v>
      </c>
      <c r="E1145">
        <v>24.9</v>
      </c>
      <c r="F1145" t="s">
        <v>1681</v>
      </c>
      <c r="G1145" t="s">
        <v>1683</v>
      </c>
      <c r="H1145" t="s">
        <v>1682</v>
      </c>
      <c r="I1145" s="11">
        <v>46296</v>
      </c>
      <c r="J1145" s="12">
        <v>46296</v>
      </c>
      <c r="K1145" s="13">
        <f>INDEX(Assumptions!$B$4:$B$23,MATCH(F1145,Assumptions!$A$4:$A$23,0))</f>
        <v>0.10101010101010099</v>
      </c>
      <c r="L1145" s="14">
        <f t="shared" si="34"/>
        <v>2.5151515151515147</v>
      </c>
      <c r="M1145" t="str">
        <f t="shared" si="35"/>
        <v>No</v>
      </c>
    </row>
    <row r="1146" spans="1:13" x14ac:dyDescent="0.25">
      <c r="A1146">
        <v>338487</v>
      </c>
      <c r="B1146" t="s">
        <v>3560</v>
      </c>
      <c r="C1146" t="s">
        <v>3561</v>
      </c>
      <c r="D1146" t="s">
        <v>6220</v>
      </c>
      <c r="E1146">
        <v>27.5</v>
      </c>
      <c r="F1146" t="s">
        <v>1681</v>
      </c>
      <c r="G1146" t="s">
        <v>1683</v>
      </c>
      <c r="H1146" t="s">
        <v>1682</v>
      </c>
      <c r="I1146" s="11">
        <v>46296</v>
      </c>
      <c r="J1146" s="12">
        <v>46296</v>
      </c>
      <c r="K1146" s="13">
        <f>INDEX(Assumptions!$B$4:$B$23,MATCH(F1146,Assumptions!$A$4:$A$23,0))</f>
        <v>0.10101010101010099</v>
      </c>
      <c r="L1146" s="14">
        <f t="shared" si="34"/>
        <v>2.7777777777777772</v>
      </c>
      <c r="M1146" t="str">
        <f t="shared" si="35"/>
        <v>No</v>
      </c>
    </row>
    <row r="1147" spans="1:13" x14ac:dyDescent="0.25">
      <c r="A1147">
        <v>338486</v>
      </c>
      <c r="B1147" t="s">
        <v>3564</v>
      </c>
      <c r="C1147" t="s">
        <v>3565</v>
      </c>
      <c r="D1147" t="s">
        <v>6220</v>
      </c>
      <c r="E1147">
        <v>26.9</v>
      </c>
      <c r="F1147" t="s">
        <v>1681</v>
      </c>
      <c r="G1147" t="s">
        <v>1683</v>
      </c>
      <c r="H1147" t="s">
        <v>1682</v>
      </c>
      <c r="I1147" s="11">
        <v>46296</v>
      </c>
      <c r="J1147" s="12">
        <v>46296</v>
      </c>
      <c r="K1147" s="13">
        <f>INDEX(Assumptions!$B$4:$B$23,MATCH(F1147,Assumptions!$A$4:$A$23,0))</f>
        <v>0.10101010101010099</v>
      </c>
      <c r="L1147" s="14">
        <f t="shared" si="34"/>
        <v>2.7171717171717167</v>
      </c>
      <c r="M1147" t="str">
        <f t="shared" si="35"/>
        <v>No</v>
      </c>
    </row>
    <row r="1148" spans="1:13" x14ac:dyDescent="0.25">
      <c r="A1148">
        <v>338485</v>
      </c>
      <c r="B1148" t="s">
        <v>3567</v>
      </c>
      <c r="C1148" t="s">
        <v>3568</v>
      </c>
      <c r="D1148" t="s">
        <v>6220</v>
      </c>
      <c r="E1148">
        <v>17.600000000000001</v>
      </c>
      <c r="F1148" t="s">
        <v>1681</v>
      </c>
      <c r="G1148" t="s">
        <v>1683</v>
      </c>
      <c r="H1148" t="s">
        <v>1682</v>
      </c>
      <c r="I1148" s="11">
        <v>46296</v>
      </c>
      <c r="J1148" s="12">
        <v>46296</v>
      </c>
      <c r="K1148" s="13">
        <f>INDEX(Assumptions!$B$4:$B$23,MATCH(F1148,Assumptions!$A$4:$A$23,0))</f>
        <v>0.10101010101010099</v>
      </c>
      <c r="L1148" s="14">
        <f t="shared" si="34"/>
        <v>1.7777777777777777</v>
      </c>
      <c r="M1148" t="str">
        <f t="shared" si="35"/>
        <v>No</v>
      </c>
    </row>
    <row r="1149" spans="1:13" x14ac:dyDescent="0.25">
      <c r="A1149">
        <v>338484</v>
      </c>
      <c r="B1149" t="s">
        <v>3571</v>
      </c>
      <c r="C1149" t="s">
        <v>3572</v>
      </c>
      <c r="D1149" t="s">
        <v>6220</v>
      </c>
      <c r="E1149">
        <v>32.5</v>
      </c>
      <c r="F1149" t="s">
        <v>1681</v>
      </c>
      <c r="G1149" t="s">
        <v>1683</v>
      </c>
      <c r="H1149" t="s">
        <v>1682</v>
      </c>
      <c r="I1149" s="11">
        <v>46296</v>
      </c>
      <c r="J1149" s="12">
        <v>46296</v>
      </c>
      <c r="K1149" s="13">
        <f>INDEX(Assumptions!$B$4:$B$23,MATCH(F1149,Assumptions!$A$4:$A$23,0))</f>
        <v>0.10101010101010099</v>
      </c>
      <c r="L1149" s="14">
        <f t="shared" si="34"/>
        <v>3.2828282828282824</v>
      </c>
      <c r="M1149" t="str">
        <f t="shared" si="35"/>
        <v>No</v>
      </c>
    </row>
    <row r="1150" spans="1:13" x14ac:dyDescent="0.25">
      <c r="A1150">
        <v>338483</v>
      </c>
      <c r="B1150" t="s">
        <v>3547</v>
      </c>
      <c r="C1150" t="s">
        <v>3574</v>
      </c>
      <c r="D1150" t="s">
        <v>6220</v>
      </c>
      <c r="E1150">
        <v>26.9</v>
      </c>
      <c r="F1150" t="s">
        <v>1681</v>
      </c>
      <c r="G1150" t="s">
        <v>1683</v>
      </c>
      <c r="H1150" t="s">
        <v>1682</v>
      </c>
      <c r="I1150" s="11">
        <v>46296</v>
      </c>
      <c r="J1150" s="12">
        <v>46296</v>
      </c>
      <c r="K1150" s="13">
        <f>INDEX(Assumptions!$B$4:$B$23,MATCH(F1150,Assumptions!$A$4:$A$23,0))</f>
        <v>0.10101010101010099</v>
      </c>
      <c r="L1150" s="14">
        <f t="shared" si="34"/>
        <v>2.7171717171717167</v>
      </c>
      <c r="M1150" t="str">
        <f t="shared" si="35"/>
        <v>No</v>
      </c>
    </row>
    <row r="1151" spans="1:13" x14ac:dyDescent="0.25">
      <c r="A1151">
        <v>338482</v>
      </c>
      <c r="B1151" t="s">
        <v>3576</v>
      </c>
      <c r="C1151" t="s">
        <v>3577</v>
      </c>
      <c r="D1151" t="s">
        <v>6220</v>
      </c>
      <c r="E1151">
        <v>24.9</v>
      </c>
      <c r="F1151" t="s">
        <v>1681</v>
      </c>
      <c r="G1151" t="s">
        <v>1683</v>
      </c>
      <c r="H1151" t="s">
        <v>1682</v>
      </c>
      <c r="I1151" s="11">
        <v>46296</v>
      </c>
      <c r="J1151" s="12">
        <v>46296</v>
      </c>
      <c r="K1151" s="13">
        <f>INDEX(Assumptions!$B$4:$B$23,MATCH(F1151,Assumptions!$A$4:$A$23,0))</f>
        <v>0.10101010101010099</v>
      </c>
      <c r="L1151" s="14">
        <f t="shared" si="34"/>
        <v>2.5151515151515147</v>
      </c>
      <c r="M1151" t="str">
        <f t="shared" si="35"/>
        <v>No</v>
      </c>
    </row>
    <row r="1152" spans="1:13" x14ac:dyDescent="0.25">
      <c r="A1152">
        <v>338481</v>
      </c>
      <c r="B1152" t="s">
        <v>3579</v>
      </c>
      <c r="C1152" t="s">
        <v>3580</v>
      </c>
      <c r="D1152" t="s">
        <v>6220</v>
      </c>
      <c r="E1152">
        <v>41.5</v>
      </c>
      <c r="F1152" t="s">
        <v>1681</v>
      </c>
      <c r="G1152" t="s">
        <v>1683</v>
      </c>
      <c r="H1152" t="s">
        <v>1682</v>
      </c>
      <c r="I1152" s="11">
        <v>46296</v>
      </c>
      <c r="J1152" s="12">
        <v>46296</v>
      </c>
      <c r="K1152" s="13">
        <f>INDEX(Assumptions!$B$4:$B$23,MATCH(F1152,Assumptions!$A$4:$A$23,0))</f>
        <v>0.10101010101010099</v>
      </c>
      <c r="L1152" s="14">
        <f t="shared" si="34"/>
        <v>4.1919191919191912</v>
      </c>
      <c r="M1152" t="str">
        <f t="shared" si="35"/>
        <v>No</v>
      </c>
    </row>
    <row r="1153" spans="1:13" x14ac:dyDescent="0.25">
      <c r="A1153">
        <v>338480</v>
      </c>
      <c r="B1153" t="s">
        <v>3583</v>
      </c>
      <c r="C1153" t="s">
        <v>6221</v>
      </c>
      <c r="D1153" t="s">
        <v>6220</v>
      </c>
      <c r="E1153">
        <v>79.900000000000006</v>
      </c>
      <c r="F1153" t="s">
        <v>1681</v>
      </c>
      <c r="G1153" t="s">
        <v>3585</v>
      </c>
      <c r="H1153" t="s">
        <v>1682</v>
      </c>
      <c r="I1153" s="11">
        <v>46294</v>
      </c>
      <c r="J1153" s="12">
        <v>46266</v>
      </c>
      <c r="K1153" s="13">
        <f>INDEX(Assumptions!$B$4:$B$23,MATCH(F1153,Assumptions!$A$4:$A$23,0))</f>
        <v>0.10101010101010099</v>
      </c>
      <c r="L1153" s="14">
        <f t="shared" si="34"/>
        <v>8.0707070707070692</v>
      </c>
      <c r="M1153" t="str">
        <f t="shared" si="35"/>
        <v>Yes</v>
      </c>
    </row>
    <row r="1154" spans="1:13" x14ac:dyDescent="0.25">
      <c r="A1154">
        <v>338479</v>
      </c>
      <c r="B1154" t="s">
        <v>3587</v>
      </c>
      <c r="C1154" t="s">
        <v>3588</v>
      </c>
      <c r="D1154" t="s">
        <v>6220</v>
      </c>
      <c r="E1154">
        <v>39.9</v>
      </c>
      <c r="F1154" t="s">
        <v>1681</v>
      </c>
      <c r="G1154" t="s">
        <v>3585</v>
      </c>
      <c r="H1154" t="s">
        <v>1682</v>
      </c>
      <c r="I1154" s="11">
        <v>46294</v>
      </c>
      <c r="J1154" s="12">
        <v>46266</v>
      </c>
      <c r="K1154" s="13">
        <f>INDEX(Assumptions!$B$4:$B$23,MATCH(F1154,Assumptions!$A$4:$A$23,0))</f>
        <v>0.10101010101010099</v>
      </c>
      <c r="L1154" s="14">
        <f t="shared" ref="L1154:L1217" si="36">E1154*K1154</f>
        <v>4.0303030303030294</v>
      </c>
      <c r="M1154" t="str">
        <f t="shared" ref="M1154:M1217" si="37">IF(C1154="Unnamed product","Yes","No")</f>
        <v>No</v>
      </c>
    </row>
    <row r="1155" spans="1:13" x14ac:dyDescent="0.25">
      <c r="A1155">
        <v>338478</v>
      </c>
      <c r="B1155" t="s">
        <v>3590</v>
      </c>
      <c r="C1155" t="s">
        <v>3591</v>
      </c>
      <c r="D1155" t="s">
        <v>6220</v>
      </c>
      <c r="E1155">
        <v>79.900000000000006</v>
      </c>
      <c r="F1155" t="s">
        <v>1681</v>
      </c>
      <c r="G1155" t="s">
        <v>3585</v>
      </c>
      <c r="H1155" t="s">
        <v>1682</v>
      </c>
      <c r="I1155" s="11">
        <v>46294</v>
      </c>
      <c r="J1155" s="12">
        <v>46266</v>
      </c>
      <c r="K1155" s="13">
        <f>INDEX(Assumptions!$B$4:$B$23,MATCH(F1155,Assumptions!$A$4:$A$23,0))</f>
        <v>0.10101010101010099</v>
      </c>
      <c r="L1155" s="14">
        <f t="shared" si="36"/>
        <v>8.0707070707070692</v>
      </c>
      <c r="M1155" t="str">
        <f t="shared" si="37"/>
        <v>No</v>
      </c>
    </row>
    <row r="1156" spans="1:13" x14ac:dyDescent="0.25">
      <c r="A1156">
        <v>338476</v>
      </c>
      <c r="B1156" t="s">
        <v>3593</v>
      </c>
      <c r="C1156" t="s">
        <v>3594</v>
      </c>
      <c r="D1156" t="s">
        <v>6220</v>
      </c>
      <c r="E1156">
        <v>29.9</v>
      </c>
      <c r="F1156" t="s">
        <v>1681</v>
      </c>
      <c r="G1156" t="s">
        <v>3585</v>
      </c>
      <c r="H1156" t="s">
        <v>1682</v>
      </c>
      <c r="I1156" s="11">
        <v>46294</v>
      </c>
      <c r="J1156" s="12">
        <v>46266</v>
      </c>
      <c r="K1156" s="13">
        <f>INDEX(Assumptions!$B$4:$B$23,MATCH(F1156,Assumptions!$A$4:$A$23,0))</f>
        <v>0.10101010101010099</v>
      </c>
      <c r="L1156" s="14">
        <f t="shared" si="36"/>
        <v>3.0202020202020194</v>
      </c>
      <c r="M1156" t="str">
        <f t="shared" si="37"/>
        <v>No</v>
      </c>
    </row>
    <row r="1157" spans="1:13" x14ac:dyDescent="0.25">
      <c r="A1157">
        <v>338477</v>
      </c>
      <c r="B1157" t="s">
        <v>3587</v>
      </c>
      <c r="C1157" t="s">
        <v>3596</v>
      </c>
      <c r="D1157" t="s">
        <v>6220</v>
      </c>
      <c r="E1157">
        <v>39.9</v>
      </c>
      <c r="F1157" t="s">
        <v>1681</v>
      </c>
      <c r="G1157" t="s">
        <v>3585</v>
      </c>
      <c r="H1157" t="s">
        <v>1682</v>
      </c>
      <c r="I1157" s="11">
        <v>46294</v>
      </c>
      <c r="J1157" s="12">
        <v>46266</v>
      </c>
      <c r="K1157" s="13">
        <f>INDEX(Assumptions!$B$4:$B$23,MATCH(F1157,Assumptions!$A$4:$A$23,0))</f>
        <v>0.10101010101010099</v>
      </c>
      <c r="L1157" s="14">
        <f t="shared" si="36"/>
        <v>4.0303030303030294</v>
      </c>
      <c r="M1157" t="str">
        <f t="shared" si="37"/>
        <v>No</v>
      </c>
    </row>
    <row r="1158" spans="1:13" x14ac:dyDescent="0.25">
      <c r="A1158">
        <v>338475</v>
      </c>
      <c r="B1158" t="s">
        <v>3583</v>
      </c>
      <c r="C1158" t="s">
        <v>3598</v>
      </c>
      <c r="D1158" t="s">
        <v>6220</v>
      </c>
      <c r="E1158">
        <v>79.900000000000006</v>
      </c>
      <c r="F1158" t="s">
        <v>1681</v>
      </c>
      <c r="G1158" t="s">
        <v>3585</v>
      </c>
      <c r="H1158" t="s">
        <v>1682</v>
      </c>
      <c r="I1158" s="11">
        <v>46294</v>
      </c>
      <c r="J1158" s="12">
        <v>46266</v>
      </c>
      <c r="K1158" s="13">
        <f>INDEX(Assumptions!$B$4:$B$23,MATCH(F1158,Assumptions!$A$4:$A$23,0))</f>
        <v>0.10101010101010099</v>
      </c>
      <c r="L1158" s="14">
        <f t="shared" si="36"/>
        <v>8.0707070707070692</v>
      </c>
      <c r="M1158" t="str">
        <f t="shared" si="37"/>
        <v>No</v>
      </c>
    </row>
    <row r="1159" spans="1:13" x14ac:dyDescent="0.25">
      <c r="A1159">
        <v>338474</v>
      </c>
      <c r="B1159" t="s">
        <v>3600</v>
      </c>
      <c r="C1159" t="s">
        <v>3601</v>
      </c>
      <c r="D1159" t="s">
        <v>6220</v>
      </c>
      <c r="E1159">
        <v>45.43</v>
      </c>
      <c r="F1159" t="s">
        <v>1681</v>
      </c>
      <c r="G1159" t="s">
        <v>1683</v>
      </c>
      <c r="H1159" t="s">
        <v>1682</v>
      </c>
      <c r="I1159" s="11">
        <v>46294</v>
      </c>
      <c r="J1159" s="12">
        <v>46266</v>
      </c>
      <c r="K1159" s="13">
        <f>INDEX(Assumptions!$B$4:$B$23,MATCH(F1159,Assumptions!$A$4:$A$23,0))</f>
        <v>0.10101010101010099</v>
      </c>
      <c r="L1159" s="14">
        <f t="shared" si="36"/>
        <v>4.5888888888888886</v>
      </c>
      <c r="M1159" t="str">
        <f t="shared" si="37"/>
        <v>No</v>
      </c>
    </row>
    <row r="1160" spans="1:13" x14ac:dyDescent="0.25">
      <c r="A1160">
        <v>338473</v>
      </c>
      <c r="B1160" t="s">
        <v>3604</v>
      </c>
      <c r="C1160" t="s">
        <v>3605</v>
      </c>
      <c r="D1160" t="s">
        <v>6220</v>
      </c>
      <c r="E1160">
        <v>42.63</v>
      </c>
      <c r="F1160" t="s">
        <v>1681</v>
      </c>
      <c r="G1160" t="s">
        <v>1683</v>
      </c>
      <c r="H1160" t="s">
        <v>1682</v>
      </c>
      <c r="I1160" s="11">
        <v>46294</v>
      </c>
      <c r="J1160" s="12">
        <v>46266</v>
      </c>
      <c r="K1160" s="13">
        <f>INDEX(Assumptions!$B$4:$B$23,MATCH(F1160,Assumptions!$A$4:$A$23,0))</f>
        <v>0.10101010101010099</v>
      </c>
      <c r="L1160" s="14">
        <f t="shared" si="36"/>
        <v>4.3060606060606057</v>
      </c>
      <c r="M1160" t="str">
        <f t="shared" si="37"/>
        <v>No</v>
      </c>
    </row>
    <row r="1161" spans="1:13" x14ac:dyDescent="0.25">
      <c r="A1161">
        <v>338472</v>
      </c>
      <c r="B1161" t="s">
        <v>3608</v>
      </c>
      <c r="C1161" t="s">
        <v>3609</v>
      </c>
      <c r="D1161" t="s">
        <v>6220</v>
      </c>
      <c r="E1161">
        <v>45.43</v>
      </c>
      <c r="F1161" t="s">
        <v>1681</v>
      </c>
      <c r="G1161" t="s">
        <v>1683</v>
      </c>
      <c r="H1161" t="s">
        <v>1682</v>
      </c>
      <c r="I1161" s="11">
        <v>46294</v>
      </c>
      <c r="J1161" s="12">
        <v>46266</v>
      </c>
      <c r="K1161" s="13">
        <f>INDEX(Assumptions!$B$4:$B$23,MATCH(F1161,Assumptions!$A$4:$A$23,0))</f>
        <v>0.10101010101010099</v>
      </c>
      <c r="L1161" s="14">
        <f t="shared" si="36"/>
        <v>4.5888888888888886</v>
      </c>
      <c r="M1161" t="str">
        <f t="shared" si="37"/>
        <v>No</v>
      </c>
    </row>
    <row r="1162" spans="1:13" x14ac:dyDescent="0.25">
      <c r="A1162">
        <v>338471</v>
      </c>
      <c r="B1162" t="s">
        <v>3611</v>
      </c>
      <c r="C1162" t="s">
        <v>3612</v>
      </c>
      <c r="D1162" t="s">
        <v>6220</v>
      </c>
      <c r="E1162">
        <v>20.5</v>
      </c>
      <c r="F1162" t="s">
        <v>1681</v>
      </c>
      <c r="G1162" t="s">
        <v>1683</v>
      </c>
      <c r="H1162" t="s">
        <v>1682</v>
      </c>
      <c r="I1162" s="11">
        <v>46296</v>
      </c>
      <c r="J1162" s="12">
        <v>46296</v>
      </c>
      <c r="K1162" s="13">
        <f>INDEX(Assumptions!$B$4:$B$23,MATCH(F1162,Assumptions!$A$4:$A$23,0))</f>
        <v>0.10101010101010099</v>
      </c>
      <c r="L1162" s="14">
        <f t="shared" si="36"/>
        <v>2.0707070707070705</v>
      </c>
      <c r="M1162" t="str">
        <f t="shared" si="37"/>
        <v>No</v>
      </c>
    </row>
    <row r="1163" spans="1:13" x14ac:dyDescent="0.25">
      <c r="A1163">
        <v>338470</v>
      </c>
      <c r="B1163" t="s">
        <v>3615</v>
      </c>
      <c r="C1163" t="s">
        <v>3616</v>
      </c>
      <c r="D1163" t="s">
        <v>6220</v>
      </c>
      <c r="E1163">
        <v>39.9</v>
      </c>
      <c r="F1163" t="s">
        <v>1681</v>
      </c>
      <c r="G1163" t="s">
        <v>1683</v>
      </c>
      <c r="H1163" t="s">
        <v>1682</v>
      </c>
      <c r="I1163" s="11">
        <v>46296</v>
      </c>
      <c r="J1163" s="12">
        <v>46296</v>
      </c>
      <c r="K1163" s="13">
        <f>INDEX(Assumptions!$B$4:$B$23,MATCH(F1163,Assumptions!$A$4:$A$23,0))</f>
        <v>0.10101010101010099</v>
      </c>
      <c r="L1163" s="14">
        <f t="shared" si="36"/>
        <v>4.0303030303030294</v>
      </c>
      <c r="M1163" t="str">
        <f t="shared" si="37"/>
        <v>No</v>
      </c>
    </row>
    <row r="1164" spans="1:13" x14ac:dyDescent="0.25">
      <c r="A1164">
        <v>338469</v>
      </c>
      <c r="B1164" t="s">
        <v>3618</v>
      </c>
      <c r="C1164" t="s">
        <v>3619</v>
      </c>
      <c r="D1164" t="s">
        <v>6220</v>
      </c>
      <c r="E1164">
        <v>35.9</v>
      </c>
      <c r="F1164" t="s">
        <v>1681</v>
      </c>
      <c r="G1164" t="s">
        <v>1683</v>
      </c>
      <c r="H1164" t="s">
        <v>1682</v>
      </c>
      <c r="I1164" s="11">
        <v>46296</v>
      </c>
      <c r="J1164" s="12">
        <v>46296</v>
      </c>
      <c r="K1164" s="13">
        <f>INDEX(Assumptions!$B$4:$B$23,MATCH(F1164,Assumptions!$A$4:$A$23,0))</f>
        <v>0.10101010101010099</v>
      </c>
      <c r="L1164" s="14">
        <f t="shared" si="36"/>
        <v>3.6262626262626254</v>
      </c>
      <c r="M1164" t="str">
        <f t="shared" si="37"/>
        <v>No</v>
      </c>
    </row>
    <row r="1165" spans="1:13" x14ac:dyDescent="0.25">
      <c r="A1165">
        <v>338468</v>
      </c>
      <c r="B1165" t="s">
        <v>3621</v>
      </c>
      <c r="C1165" t="s">
        <v>3622</v>
      </c>
      <c r="D1165" t="s">
        <v>6220</v>
      </c>
      <c r="E1165">
        <v>41.5</v>
      </c>
      <c r="F1165" t="s">
        <v>1681</v>
      </c>
      <c r="G1165" t="s">
        <v>1683</v>
      </c>
      <c r="H1165" t="s">
        <v>1682</v>
      </c>
      <c r="I1165" s="11">
        <v>46296</v>
      </c>
      <c r="J1165" s="12">
        <v>46296</v>
      </c>
      <c r="K1165" s="13">
        <f>INDEX(Assumptions!$B$4:$B$23,MATCH(F1165,Assumptions!$A$4:$A$23,0))</f>
        <v>0.10101010101010099</v>
      </c>
      <c r="L1165" s="14">
        <f t="shared" si="36"/>
        <v>4.1919191919191912</v>
      </c>
      <c r="M1165" t="str">
        <f t="shared" si="37"/>
        <v>No</v>
      </c>
    </row>
    <row r="1166" spans="1:13" x14ac:dyDescent="0.25">
      <c r="A1166">
        <v>338467</v>
      </c>
      <c r="B1166" t="s">
        <v>3624</v>
      </c>
      <c r="C1166" t="s">
        <v>3625</v>
      </c>
      <c r="D1166" t="s">
        <v>6220</v>
      </c>
      <c r="E1166">
        <v>40.5</v>
      </c>
      <c r="F1166" t="s">
        <v>1681</v>
      </c>
      <c r="G1166" t="s">
        <v>1683</v>
      </c>
      <c r="H1166" t="s">
        <v>1682</v>
      </c>
      <c r="I1166" s="11">
        <v>46296</v>
      </c>
      <c r="J1166" s="12">
        <v>46296</v>
      </c>
      <c r="K1166" s="13">
        <f>INDEX(Assumptions!$B$4:$B$23,MATCH(F1166,Assumptions!$A$4:$A$23,0))</f>
        <v>0.10101010101010099</v>
      </c>
      <c r="L1166" s="14">
        <f t="shared" si="36"/>
        <v>4.0909090909090899</v>
      </c>
      <c r="M1166" t="str">
        <f t="shared" si="37"/>
        <v>No</v>
      </c>
    </row>
    <row r="1167" spans="1:13" x14ac:dyDescent="0.25">
      <c r="A1167">
        <v>338466</v>
      </c>
      <c r="B1167" t="s">
        <v>3628</v>
      </c>
      <c r="C1167" t="s">
        <v>3629</v>
      </c>
      <c r="D1167" t="s">
        <v>6220</v>
      </c>
      <c r="E1167">
        <v>40.9</v>
      </c>
      <c r="F1167" t="s">
        <v>1681</v>
      </c>
      <c r="G1167" t="s">
        <v>1683</v>
      </c>
      <c r="H1167" t="s">
        <v>1682</v>
      </c>
      <c r="I1167" s="11">
        <v>46296</v>
      </c>
      <c r="J1167" s="12">
        <v>46296</v>
      </c>
      <c r="K1167" s="13">
        <f>INDEX(Assumptions!$B$4:$B$23,MATCH(F1167,Assumptions!$A$4:$A$23,0))</f>
        <v>0.10101010101010099</v>
      </c>
      <c r="L1167" s="14">
        <f t="shared" si="36"/>
        <v>4.1313131313131306</v>
      </c>
      <c r="M1167" t="str">
        <f t="shared" si="37"/>
        <v>No</v>
      </c>
    </row>
    <row r="1168" spans="1:13" x14ac:dyDescent="0.25">
      <c r="A1168">
        <v>338465</v>
      </c>
      <c r="B1168" t="s">
        <v>3632</v>
      </c>
      <c r="C1168" t="s">
        <v>6221</v>
      </c>
      <c r="D1168" t="s">
        <v>6220</v>
      </c>
      <c r="E1168">
        <v>0.89</v>
      </c>
      <c r="F1168" t="s">
        <v>50</v>
      </c>
      <c r="G1168" t="s">
        <v>3634</v>
      </c>
      <c r="H1168" t="s">
        <v>3633</v>
      </c>
      <c r="I1168" s="11">
        <v>46296</v>
      </c>
      <c r="J1168" s="12">
        <v>46296</v>
      </c>
      <c r="K1168" s="13">
        <f>INDEX(Assumptions!$B$4:$B$23,MATCH(F1168,Assumptions!$A$4:$A$23,0))</f>
        <v>1.0869565217391299</v>
      </c>
      <c r="L1168" s="14">
        <f t="shared" si="36"/>
        <v>0.96739130434782561</v>
      </c>
      <c r="M1168" t="str">
        <f t="shared" si="37"/>
        <v>Yes</v>
      </c>
    </row>
    <row r="1169" spans="1:13" x14ac:dyDescent="0.25">
      <c r="A1169">
        <v>338464</v>
      </c>
      <c r="B1169" t="s">
        <v>3636</v>
      </c>
      <c r="C1169" t="s">
        <v>3637</v>
      </c>
      <c r="D1169" t="s">
        <v>6220</v>
      </c>
      <c r="E1169">
        <v>24.9</v>
      </c>
      <c r="F1169" t="s">
        <v>1681</v>
      </c>
      <c r="G1169" t="s">
        <v>1683</v>
      </c>
      <c r="H1169" t="s">
        <v>1682</v>
      </c>
      <c r="I1169" s="11">
        <v>46296</v>
      </c>
      <c r="J1169" s="12">
        <v>46296</v>
      </c>
      <c r="K1169" s="13">
        <f>INDEX(Assumptions!$B$4:$B$23,MATCH(F1169,Assumptions!$A$4:$A$23,0))</f>
        <v>0.10101010101010099</v>
      </c>
      <c r="L1169" s="14">
        <f t="shared" si="36"/>
        <v>2.5151515151515147</v>
      </c>
      <c r="M1169" t="str">
        <f t="shared" si="37"/>
        <v>No</v>
      </c>
    </row>
    <row r="1170" spans="1:13" x14ac:dyDescent="0.25">
      <c r="A1170">
        <v>338462</v>
      </c>
      <c r="B1170" t="s">
        <v>3576</v>
      </c>
      <c r="C1170" t="s">
        <v>3639</v>
      </c>
      <c r="D1170" t="s">
        <v>6220</v>
      </c>
      <c r="E1170">
        <v>24.9</v>
      </c>
      <c r="F1170" t="s">
        <v>1681</v>
      </c>
      <c r="G1170" t="s">
        <v>1683</v>
      </c>
      <c r="H1170" t="s">
        <v>1682</v>
      </c>
      <c r="I1170" s="11">
        <v>46296</v>
      </c>
      <c r="J1170" s="12">
        <v>46296</v>
      </c>
      <c r="K1170" s="13">
        <f>INDEX(Assumptions!$B$4:$B$23,MATCH(F1170,Assumptions!$A$4:$A$23,0))</f>
        <v>0.10101010101010099</v>
      </c>
      <c r="L1170" s="14">
        <f t="shared" si="36"/>
        <v>2.5151515151515147</v>
      </c>
      <c r="M1170" t="str">
        <f t="shared" si="37"/>
        <v>No</v>
      </c>
    </row>
    <row r="1171" spans="1:13" x14ac:dyDescent="0.25">
      <c r="A1171">
        <v>338461</v>
      </c>
      <c r="B1171" t="s">
        <v>3547</v>
      </c>
      <c r="C1171" t="s">
        <v>3641</v>
      </c>
      <c r="D1171" t="s">
        <v>6220</v>
      </c>
      <c r="E1171">
        <v>26.9</v>
      </c>
      <c r="F1171" t="s">
        <v>1681</v>
      </c>
      <c r="G1171" t="s">
        <v>1683</v>
      </c>
      <c r="H1171" t="s">
        <v>1682</v>
      </c>
      <c r="I1171" s="11">
        <v>46296</v>
      </c>
      <c r="J1171" s="12">
        <v>46296</v>
      </c>
      <c r="K1171" s="13">
        <f>INDEX(Assumptions!$B$4:$B$23,MATCH(F1171,Assumptions!$A$4:$A$23,0))</f>
        <v>0.10101010101010099</v>
      </c>
      <c r="L1171" s="14">
        <f t="shared" si="36"/>
        <v>2.7171717171717167</v>
      </c>
      <c r="M1171" t="str">
        <f t="shared" si="37"/>
        <v>No</v>
      </c>
    </row>
    <row r="1172" spans="1:13" x14ac:dyDescent="0.25">
      <c r="A1172">
        <v>338463</v>
      </c>
      <c r="B1172" t="s">
        <v>3643</v>
      </c>
      <c r="C1172" t="s">
        <v>3644</v>
      </c>
      <c r="D1172" t="s">
        <v>6220</v>
      </c>
      <c r="E1172">
        <v>26.5</v>
      </c>
      <c r="F1172" t="s">
        <v>1681</v>
      </c>
      <c r="G1172" t="s">
        <v>1683</v>
      </c>
      <c r="H1172" t="s">
        <v>1682</v>
      </c>
      <c r="I1172" s="11">
        <v>46296</v>
      </c>
      <c r="J1172" s="12">
        <v>46296</v>
      </c>
      <c r="K1172" s="13">
        <f>INDEX(Assumptions!$B$4:$B$23,MATCH(F1172,Assumptions!$A$4:$A$23,0))</f>
        <v>0.10101010101010099</v>
      </c>
      <c r="L1172" s="14">
        <f t="shared" si="36"/>
        <v>2.6767676767676765</v>
      </c>
      <c r="M1172" t="str">
        <f t="shared" si="37"/>
        <v>No</v>
      </c>
    </row>
    <row r="1173" spans="1:13" x14ac:dyDescent="0.25">
      <c r="A1173">
        <v>338460</v>
      </c>
      <c r="B1173" t="s">
        <v>3646</v>
      </c>
      <c r="C1173" t="s">
        <v>3647</v>
      </c>
      <c r="D1173" t="s">
        <v>6220</v>
      </c>
      <c r="E1173">
        <v>28.9</v>
      </c>
      <c r="F1173" t="s">
        <v>1681</v>
      </c>
      <c r="G1173" t="s">
        <v>1683</v>
      </c>
      <c r="H1173" t="s">
        <v>1682</v>
      </c>
      <c r="I1173" s="11">
        <v>46296</v>
      </c>
      <c r="J1173" s="12">
        <v>46296</v>
      </c>
      <c r="K1173" s="13">
        <f>INDEX(Assumptions!$B$4:$B$23,MATCH(F1173,Assumptions!$A$4:$A$23,0))</f>
        <v>0.10101010101010099</v>
      </c>
      <c r="L1173" s="14">
        <f t="shared" si="36"/>
        <v>2.9191919191919187</v>
      </c>
      <c r="M1173" t="str">
        <f t="shared" si="37"/>
        <v>No</v>
      </c>
    </row>
    <row r="1174" spans="1:13" x14ac:dyDescent="0.25">
      <c r="A1174">
        <v>338459</v>
      </c>
      <c r="B1174" t="s">
        <v>3650</v>
      </c>
      <c r="C1174" t="s">
        <v>3651</v>
      </c>
      <c r="D1174" t="s">
        <v>6220</v>
      </c>
      <c r="E1174">
        <v>22.9</v>
      </c>
      <c r="F1174" t="s">
        <v>1681</v>
      </c>
      <c r="G1174" t="s">
        <v>1683</v>
      </c>
      <c r="H1174" t="s">
        <v>1682</v>
      </c>
      <c r="I1174" s="11">
        <v>46296</v>
      </c>
      <c r="J1174" s="12">
        <v>46296</v>
      </c>
      <c r="K1174" s="13">
        <f>INDEX(Assumptions!$B$4:$B$23,MATCH(F1174,Assumptions!$A$4:$A$23,0))</f>
        <v>0.10101010101010099</v>
      </c>
      <c r="L1174" s="14">
        <f t="shared" si="36"/>
        <v>2.3131313131313127</v>
      </c>
      <c r="M1174" t="str">
        <f t="shared" si="37"/>
        <v>No</v>
      </c>
    </row>
    <row r="1175" spans="1:13" x14ac:dyDescent="0.25">
      <c r="A1175">
        <v>338458</v>
      </c>
      <c r="B1175" t="s">
        <v>3593</v>
      </c>
      <c r="C1175" t="s">
        <v>3653</v>
      </c>
      <c r="D1175" t="s">
        <v>6220</v>
      </c>
      <c r="E1175">
        <v>34.5</v>
      </c>
      <c r="F1175" t="s">
        <v>1681</v>
      </c>
      <c r="G1175" t="s">
        <v>1683</v>
      </c>
      <c r="H1175" t="s">
        <v>1682</v>
      </c>
      <c r="I1175" s="11">
        <v>46296</v>
      </c>
      <c r="J1175" s="12">
        <v>46296</v>
      </c>
      <c r="K1175" s="13">
        <f>INDEX(Assumptions!$B$4:$B$23,MATCH(F1175,Assumptions!$A$4:$A$23,0))</f>
        <v>0.10101010101010099</v>
      </c>
      <c r="L1175" s="14">
        <f t="shared" si="36"/>
        <v>3.4848484848484844</v>
      </c>
      <c r="M1175" t="str">
        <f t="shared" si="37"/>
        <v>No</v>
      </c>
    </row>
    <row r="1176" spans="1:13" x14ac:dyDescent="0.25">
      <c r="A1176">
        <v>338457</v>
      </c>
      <c r="B1176" t="s">
        <v>3656</v>
      </c>
      <c r="C1176" t="s">
        <v>3657</v>
      </c>
      <c r="D1176" t="s">
        <v>6220</v>
      </c>
      <c r="E1176">
        <v>28.5</v>
      </c>
      <c r="F1176" t="s">
        <v>1681</v>
      </c>
      <c r="G1176" t="s">
        <v>1683</v>
      </c>
      <c r="H1176" t="s">
        <v>1682</v>
      </c>
      <c r="I1176" s="11">
        <v>46296</v>
      </c>
      <c r="J1176" s="12">
        <v>46296</v>
      </c>
      <c r="K1176" s="13">
        <f>INDEX(Assumptions!$B$4:$B$23,MATCH(F1176,Assumptions!$A$4:$A$23,0))</f>
        <v>0.10101010101010099</v>
      </c>
      <c r="L1176" s="14">
        <f t="shared" si="36"/>
        <v>2.8787878787878785</v>
      </c>
      <c r="M1176" t="str">
        <f t="shared" si="37"/>
        <v>No</v>
      </c>
    </row>
    <row r="1177" spans="1:13" x14ac:dyDescent="0.25">
      <c r="A1177">
        <v>338456</v>
      </c>
      <c r="B1177" t="s">
        <v>3659</v>
      </c>
      <c r="C1177" t="s">
        <v>3660</v>
      </c>
      <c r="D1177" t="s">
        <v>6220</v>
      </c>
      <c r="E1177">
        <v>22.9</v>
      </c>
      <c r="F1177" t="s">
        <v>1681</v>
      </c>
      <c r="G1177" t="s">
        <v>1683</v>
      </c>
      <c r="H1177" t="s">
        <v>1682</v>
      </c>
      <c r="I1177" s="11">
        <v>46296</v>
      </c>
      <c r="J1177" s="12">
        <v>46296</v>
      </c>
      <c r="K1177" s="13">
        <f>INDEX(Assumptions!$B$4:$B$23,MATCH(F1177,Assumptions!$A$4:$A$23,0))</f>
        <v>0.10101010101010099</v>
      </c>
      <c r="L1177" s="14">
        <f t="shared" si="36"/>
        <v>2.3131313131313127</v>
      </c>
      <c r="M1177" t="str">
        <f t="shared" si="37"/>
        <v>No</v>
      </c>
    </row>
    <row r="1178" spans="1:13" x14ac:dyDescent="0.25">
      <c r="A1178">
        <v>338455</v>
      </c>
      <c r="B1178" t="s">
        <v>3662</v>
      </c>
      <c r="C1178" t="s">
        <v>3663</v>
      </c>
      <c r="D1178" t="s">
        <v>6220</v>
      </c>
      <c r="E1178">
        <v>24.9</v>
      </c>
      <c r="F1178" t="s">
        <v>1681</v>
      </c>
      <c r="G1178" t="s">
        <v>1683</v>
      </c>
      <c r="H1178" t="s">
        <v>1682</v>
      </c>
      <c r="I1178" s="11">
        <v>46296</v>
      </c>
      <c r="J1178" s="12">
        <v>46296</v>
      </c>
      <c r="K1178" s="13">
        <f>INDEX(Assumptions!$B$4:$B$23,MATCH(F1178,Assumptions!$A$4:$A$23,0))</f>
        <v>0.10101010101010099</v>
      </c>
      <c r="L1178" s="14">
        <f t="shared" si="36"/>
        <v>2.5151515151515147</v>
      </c>
      <c r="M1178" t="str">
        <f t="shared" si="37"/>
        <v>No</v>
      </c>
    </row>
    <row r="1179" spans="1:13" x14ac:dyDescent="0.25">
      <c r="A1179">
        <v>338454</v>
      </c>
      <c r="B1179" t="s">
        <v>3665</v>
      </c>
      <c r="C1179" t="s">
        <v>3666</v>
      </c>
      <c r="D1179" t="s">
        <v>6220</v>
      </c>
      <c r="E1179">
        <v>30.9</v>
      </c>
      <c r="F1179" t="s">
        <v>1681</v>
      </c>
      <c r="G1179" t="s">
        <v>1683</v>
      </c>
      <c r="H1179" t="s">
        <v>1682</v>
      </c>
      <c r="I1179" s="11">
        <v>46296</v>
      </c>
      <c r="J1179" s="12">
        <v>46296</v>
      </c>
      <c r="K1179" s="13">
        <f>INDEX(Assumptions!$B$4:$B$23,MATCH(F1179,Assumptions!$A$4:$A$23,0))</f>
        <v>0.10101010101010099</v>
      </c>
      <c r="L1179" s="14">
        <f t="shared" si="36"/>
        <v>3.1212121212121207</v>
      </c>
      <c r="M1179" t="str">
        <f t="shared" si="37"/>
        <v>No</v>
      </c>
    </row>
    <row r="1180" spans="1:13" x14ac:dyDescent="0.25">
      <c r="A1180">
        <v>338452</v>
      </c>
      <c r="B1180" t="s">
        <v>3668</v>
      </c>
      <c r="C1180" t="s">
        <v>3669</v>
      </c>
      <c r="D1180" t="s">
        <v>6220</v>
      </c>
      <c r="E1180">
        <v>24.9</v>
      </c>
      <c r="F1180" t="s">
        <v>1681</v>
      </c>
      <c r="G1180" t="s">
        <v>1683</v>
      </c>
      <c r="H1180" t="s">
        <v>1682</v>
      </c>
      <c r="I1180" s="11">
        <v>46296</v>
      </c>
      <c r="J1180" s="12">
        <v>46296</v>
      </c>
      <c r="K1180" s="13">
        <f>INDEX(Assumptions!$B$4:$B$23,MATCH(F1180,Assumptions!$A$4:$A$23,0))</f>
        <v>0.10101010101010099</v>
      </c>
      <c r="L1180" s="14">
        <f t="shared" si="36"/>
        <v>2.5151515151515147</v>
      </c>
      <c r="M1180" t="str">
        <f t="shared" si="37"/>
        <v>No</v>
      </c>
    </row>
    <row r="1181" spans="1:13" x14ac:dyDescent="0.25">
      <c r="A1181">
        <v>338453</v>
      </c>
      <c r="B1181" t="s">
        <v>3656</v>
      </c>
      <c r="C1181" t="s">
        <v>3657</v>
      </c>
      <c r="D1181" t="s">
        <v>6220</v>
      </c>
      <c r="E1181">
        <v>28.5</v>
      </c>
      <c r="F1181" t="s">
        <v>1681</v>
      </c>
      <c r="G1181" t="s">
        <v>1683</v>
      </c>
      <c r="H1181" t="s">
        <v>1682</v>
      </c>
      <c r="I1181" s="11">
        <v>46296</v>
      </c>
      <c r="J1181" s="12">
        <v>46296</v>
      </c>
      <c r="K1181" s="13">
        <f>INDEX(Assumptions!$B$4:$B$23,MATCH(F1181,Assumptions!$A$4:$A$23,0))</f>
        <v>0.10101010101010099</v>
      </c>
      <c r="L1181" s="14">
        <f t="shared" si="36"/>
        <v>2.8787878787878785</v>
      </c>
      <c r="M1181" t="str">
        <f t="shared" si="37"/>
        <v>No</v>
      </c>
    </row>
    <row r="1182" spans="1:13" x14ac:dyDescent="0.25">
      <c r="A1182">
        <v>338451</v>
      </c>
      <c r="B1182" t="s">
        <v>3662</v>
      </c>
      <c r="C1182" t="s">
        <v>3672</v>
      </c>
      <c r="D1182" t="s">
        <v>6220</v>
      </c>
      <c r="E1182">
        <v>24.9</v>
      </c>
      <c r="F1182" t="s">
        <v>1681</v>
      </c>
      <c r="G1182" t="s">
        <v>1683</v>
      </c>
      <c r="H1182" t="s">
        <v>1682</v>
      </c>
      <c r="I1182" s="11">
        <v>46296</v>
      </c>
      <c r="J1182" s="12">
        <v>46296</v>
      </c>
      <c r="K1182" s="13">
        <f>INDEX(Assumptions!$B$4:$B$23,MATCH(F1182,Assumptions!$A$4:$A$23,0))</f>
        <v>0.10101010101010099</v>
      </c>
      <c r="L1182" s="14">
        <f t="shared" si="36"/>
        <v>2.5151515151515147</v>
      </c>
      <c r="M1182" t="str">
        <f t="shared" si="37"/>
        <v>No</v>
      </c>
    </row>
    <row r="1183" spans="1:13" x14ac:dyDescent="0.25">
      <c r="A1183">
        <v>338450</v>
      </c>
      <c r="B1183" t="s">
        <v>3668</v>
      </c>
      <c r="C1183" t="s">
        <v>3669</v>
      </c>
      <c r="D1183" t="s">
        <v>6220</v>
      </c>
      <c r="E1183">
        <v>24.9</v>
      </c>
      <c r="F1183" t="s">
        <v>1681</v>
      </c>
      <c r="G1183" t="s">
        <v>1683</v>
      </c>
      <c r="H1183" t="s">
        <v>1682</v>
      </c>
      <c r="I1183" s="11">
        <v>46296</v>
      </c>
      <c r="J1183" s="12">
        <v>46296</v>
      </c>
      <c r="K1183" s="13">
        <f>INDEX(Assumptions!$B$4:$B$23,MATCH(F1183,Assumptions!$A$4:$A$23,0))</f>
        <v>0.10101010101010099</v>
      </c>
      <c r="L1183" s="14">
        <f t="shared" si="36"/>
        <v>2.5151515151515147</v>
      </c>
      <c r="M1183" t="str">
        <f t="shared" si="37"/>
        <v>No</v>
      </c>
    </row>
    <row r="1184" spans="1:13" x14ac:dyDescent="0.25">
      <c r="A1184">
        <v>338449</v>
      </c>
      <c r="B1184" t="s">
        <v>3675</v>
      </c>
      <c r="C1184" t="s">
        <v>3676</v>
      </c>
      <c r="D1184" t="s">
        <v>6220</v>
      </c>
      <c r="E1184">
        <v>4.49</v>
      </c>
      <c r="F1184" t="s">
        <v>1722</v>
      </c>
      <c r="G1184" t="s">
        <v>2289</v>
      </c>
      <c r="H1184" t="s">
        <v>1723</v>
      </c>
      <c r="I1184" s="11">
        <v>46277</v>
      </c>
      <c r="J1184" s="12">
        <v>46266</v>
      </c>
      <c r="K1184" s="13">
        <f>INDEX(Assumptions!$B$4:$B$23,MATCH(F1184,Assumptions!$A$4:$A$23,0))</f>
        <v>1</v>
      </c>
      <c r="L1184" s="14">
        <f t="shared" si="36"/>
        <v>4.49</v>
      </c>
      <c r="M1184" t="str">
        <f t="shared" si="37"/>
        <v>No</v>
      </c>
    </row>
    <row r="1185" spans="1:13" x14ac:dyDescent="0.25">
      <c r="A1185">
        <v>338448</v>
      </c>
      <c r="B1185" t="s">
        <v>3678</v>
      </c>
      <c r="C1185" t="s">
        <v>3679</v>
      </c>
      <c r="D1185" t="s">
        <v>6220</v>
      </c>
      <c r="E1185">
        <v>4.49</v>
      </c>
      <c r="F1185" t="s">
        <v>1722</v>
      </c>
      <c r="G1185" t="s">
        <v>2289</v>
      </c>
      <c r="H1185" t="s">
        <v>1723</v>
      </c>
      <c r="I1185" s="11">
        <v>46277</v>
      </c>
      <c r="J1185" s="12">
        <v>46266</v>
      </c>
      <c r="K1185" s="13">
        <f>INDEX(Assumptions!$B$4:$B$23,MATCH(F1185,Assumptions!$A$4:$A$23,0))</f>
        <v>1</v>
      </c>
      <c r="L1185" s="14">
        <f t="shared" si="36"/>
        <v>4.49</v>
      </c>
      <c r="M1185" t="str">
        <f t="shared" si="37"/>
        <v>No</v>
      </c>
    </row>
    <row r="1186" spans="1:13" x14ac:dyDescent="0.25">
      <c r="A1186">
        <v>338447</v>
      </c>
      <c r="B1186" t="s">
        <v>3681</v>
      </c>
      <c r="C1186" t="s">
        <v>3682</v>
      </c>
      <c r="D1186" t="s">
        <v>6220</v>
      </c>
      <c r="E1186">
        <v>5.49</v>
      </c>
      <c r="F1186" t="s">
        <v>1722</v>
      </c>
      <c r="G1186" t="s">
        <v>2289</v>
      </c>
      <c r="H1186" t="s">
        <v>1723</v>
      </c>
      <c r="I1186" s="11">
        <v>46277</v>
      </c>
      <c r="J1186" s="12">
        <v>46266</v>
      </c>
      <c r="K1186" s="13">
        <f>INDEX(Assumptions!$B$4:$B$23,MATCH(F1186,Assumptions!$A$4:$A$23,0))</f>
        <v>1</v>
      </c>
      <c r="L1186" s="14">
        <f t="shared" si="36"/>
        <v>5.49</v>
      </c>
      <c r="M1186" t="str">
        <f t="shared" si="37"/>
        <v>No</v>
      </c>
    </row>
    <row r="1187" spans="1:13" x14ac:dyDescent="0.25">
      <c r="A1187">
        <v>338446</v>
      </c>
      <c r="B1187" t="s">
        <v>3684</v>
      </c>
      <c r="C1187" t="s">
        <v>3685</v>
      </c>
      <c r="D1187" t="s">
        <v>6220</v>
      </c>
      <c r="E1187">
        <v>5.49</v>
      </c>
      <c r="F1187" t="s">
        <v>1722</v>
      </c>
      <c r="G1187" t="s">
        <v>2289</v>
      </c>
      <c r="H1187" t="s">
        <v>1723</v>
      </c>
      <c r="I1187" s="11">
        <v>46277</v>
      </c>
      <c r="J1187" s="12">
        <v>46266</v>
      </c>
      <c r="K1187" s="13">
        <f>INDEX(Assumptions!$B$4:$B$23,MATCH(F1187,Assumptions!$A$4:$A$23,0))</f>
        <v>1</v>
      </c>
      <c r="L1187" s="14">
        <f t="shared" si="36"/>
        <v>5.49</v>
      </c>
      <c r="M1187" t="str">
        <f t="shared" si="37"/>
        <v>No</v>
      </c>
    </row>
    <row r="1188" spans="1:13" x14ac:dyDescent="0.25">
      <c r="A1188">
        <v>338445</v>
      </c>
      <c r="B1188" t="s">
        <v>3687</v>
      </c>
      <c r="C1188" t="s">
        <v>3688</v>
      </c>
      <c r="D1188" t="s">
        <v>6220</v>
      </c>
      <c r="E1188">
        <v>14.99</v>
      </c>
      <c r="F1188" t="s">
        <v>1722</v>
      </c>
      <c r="G1188" t="s">
        <v>2289</v>
      </c>
      <c r="H1188" t="s">
        <v>1723</v>
      </c>
      <c r="I1188" s="11">
        <v>46277</v>
      </c>
      <c r="J1188" s="12">
        <v>46266</v>
      </c>
      <c r="K1188" s="13">
        <f>INDEX(Assumptions!$B$4:$B$23,MATCH(F1188,Assumptions!$A$4:$A$23,0))</f>
        <v>1</v>
      </c>
      <c r="L1188" s="14">
        <f t="shared" si="36"/>
        <v>14.99</v>
      </c>
      <c r="M1188" t="str">
        <f t="shared" si="37"/>
        <v>No</v>
      </c>
    </row>
    <row r="1189" spans="1:13" x14ac:dyDescent="0.25">
      <c r="A1189">
        <v>338444</v>
      </c>
      <c r="B1189" t="s">
        <v>3690</v>
      </c>
      <c r="C1189" t="s">
        <v>3691</v>
      </c>
      <c r="D1189" t="s">
        <v>6220</v>
      </c>
      <c r="E1189">
        <v>5.49</v>
      </c>
      <c r="F1189" t="s">
        <v>1722</v>
      </c>
      <c r="G1189" t="s">
        <v>2289</v>
      </c>
      <c r="H1189" t="s">
        <v>1723</v>
      </c>
      <c r="I1189" s="11">
        <v>46277</v>
      </c>
      <c r="J1189" s="12">
        <v>46266</v>
      </c>
      <c r="K1189" s="13">
        <f>INDEX(Assumptions!$B$4:$B$23,MATCH(F1189,Assumptions!$A$4:$A$23,0))</f>
        <v>1</v>
      </c>
      <c r="L1189" s="14">
        <f t="shared" si="36"/>
        <v>5.49</v>
      </c>
      <c r="M1189" t="str">
        <f t="shared" si="37"/>
        <v>No</v>
      </c>
    </row>
    <row r="1190" spans="1:13" x14ac:dyDescent="0.25">
      <c r="A1190">
        <v>338443</v>
      </c>
      <c r="B1190" t="s">
        <v>3693</v>
      </c>
      <c r="C1190" t="s">
        <v>3694</v>
      </c>
      <c r="D1190" t="s">
        <v>6220</v>
      </c>
      <c r="E1190">
        <v>5.49</v>
      </c>
      <c r="F1190" t="s">
        <v>1722</v>
      </c>
      <c r="G1190" t="s">
        <v>2289</v>
      </c>
      <c r="H1190" t="s">
        <v>1723</v>
      </c>
      <c r="I1190" s="11">
        <v>46277</v>
      </c>
      <c r="J1190" s="12">
        <v>46266</v>
      </c>
      <c r="K1190" s="13">
        <f>INDEX(Assumptions!$B$4:$B$23,MATCH(F1190,Assumptions!$A$4:$A$23,0))</f>
        <v>1</v>
      </c>
      <c r="L1190" s="14">
        <f t="shared" si="36"/>
        <v>5.49</v>
      </c>
      <c r="M1190" t="str">
        <f t="shared" si="37"/>
        <v>No</v>
      </c>
    </row>
    <row r="1191" spans="1:13" x14ac:dyDescent="0.25">
      <c r="A1191">
        <v>338442</v>
      </c>
      <c r="B1191" t="s">
        <v>3696</v>
      </c>
      <c r="C1191" t="s">
        <v>3697</v>
      </c>
      <c r="D1191" t="s">
        <v>6220</v>
      </c>
      <c r="E1191">
        <v>4.49</v>
      </c>
      <c r="F1191" t="s">
        <v>1722</v>
      </c>
      <c r="G1191" t="s">
        <v>2289</v>
      </c>
      <c r="H1191" t="s">
        <v>1723</v>
      </c>
      <c r="I1191" s="11">
        <v>46277</v>
      </c>
      <c r="J1191" s="12">
        <v>46266</v>
      </c>
      <c r="K1191" s="13">
        <f>INDEX(Assumptions!$B$4:$B$23,MATCH(F1191,Assumptions!$A$4:$A$23,0))</f>
        <v>1</v>
      </c>
      <c r="L1191" s="14">
        <f t="shared" si="36"/>
        <v>4.49</v>
      </c>
      <c r="M1191" t="str">
        <f t="shared" si="37"/>
        <v>No</v>
      </c>
    </row>
    <row r="1192" spans="1:13" x14ac:dyDescent="0.25">
      <c r="A1192">
        <v>338441</v>
      </c>
      <c r="B1192" t="s">
        <v>3699</v>
      </c>
      <c r="C1192" t="s">
        <v>3700</v>
      </c>
      <c r="D1192" t="s">
        <v>6220</v>
      </c>
      <c r="E1192">
        <v>5.49</v>
      </c>
      <c r="F1192" t="s">
        <v>1722</v>
      </c>
      <c r="G1192" t="s">
        <v>2289</v>
      </c>
      <c r="H1192" t="s">
        <v>1723</v>
      </c>
      <c r="I1192" s="11">
        <v>46277</v>
      </c>
      <c r="J1192" s="12">
        <v>46266</v>
      </c>
      <c r="K1192" s="13">
        <f>INDEX(Assumptions!$B$4:$B$23,MATCH(F1192,Assumptions!$A$4:$A$23,0))</f>
        <v>1</v>
      </c>
      <c r="L1192" s="14">
        <f t="shared" si="36"/>
        <v>5.49</v>
      </c>
      <c r="M1192" t="str">
        <f t="shared" si="37"/>
        <v>No</v>
      </c>
    </row>
    <row r="1193" spans="1:13" x14ac:dyDescent="0.25">
      <c r="A1193">
        <v>338440</v>
      </c>
      <c r="B1193" t="s">
        <v>3702</v>
      </c>
      <c r="C1193" t="s">
        <v>6221</v>
      </c>
      <c r="D1193" t="s">
        <v>6220</v>
      </c>
      <c r="E1193">
        <v>1.75</v>
      </c>
      <c r="F1193" t="s">
        <v>50</v>
      </c>
      <c r="G1193" t="s">
        <v>1401</v>
      </c>
      <c r="H1193" t="s">
        <v>1400</v>
      </c>
      <c r="I1193" s="11">
        <v>46297</v>
      </c>
      <c r="J1193" s="12">
        <v>46296</v>
      </c>
      <c r="K1193" s="13">
        <f>INDEX(Assumptions!$B$4:$B$23,MATCH(F1193,Assumptions!$A$4:$A$23,0))</f>
        <v>1.0869565217391299</v>
      </c>
      <c r="L1193" s="14">
        <f t="shared" si="36"/>
        <v>1.9021739130434774</v>
      </c>
      <c r="M1193" t="str">
        <f t="shared" si="37"/>
        <v>Yes</v>
      </c>
    </row>
    <row r="1194" spans="1:13" x14ac:dyDescent="0.25">
      <c r="A1194">
        <v>338438</v>
      </c>
      <c r="B1194" t="s">
        <v>3704</v>
      </c>
      <c r="C1194" t="s">
        <v>3705</v>
      </c>
      <c r="D1194" t="s">
        <v>6220</v>
      </c>
      <c r="E1194">
        <v>24.9</v>
      </c>
      <c r="F1194" t="s">
        <v>1681</v>
      </c>
      <c r="G1194" t="s">
        <v>1683</v>
      </c>
      <c r="H1194" t="s">
        <v>1682</v>
      </c>
      <c r="I1194" s="11">
        <v>46296</v>
      </c>
      <c r="J1194" s="12">
        <v>46296</v>
      </c>
      <c r="K1194" s="13">
        <f>INDEX(Assumptions!$B$4:$B$23,MATCH(F1194,Assumptions!$A$4:$A$23,0))</f>
        <v>0.10101010101010099</v>
      </c>
      <c r="L1194" s="14">
        <f t="shared" si="36"/>
        <v>2.5151515151515147</v>
      </c>
      <c r="M1194" t="str">
        <f t="shared" si="37"/>
        <v>No</v>
      </c>
    </row>
    <row r="1195" spans="1:13" x14ac:dyDescent="0.25">
      <c r="A1195">
        <v>338439</v>
      </c>
      <c r="B1195" t="s">
        <v>3707</v>
      </c>
      <c r="C1195" t="s">
        <v>3708</v>
      </c>
      <c r="D1195" t="s">
        <v>6220</v>
      </c>
      <c r="E1195">
        <v>22.14</v>
      </c>
      <c r="F1195" t="s">
        <v>1681</v>
      </c>
      <c r="G1195" t="s">
        <v>1683</v>
      </c>
      <c r="H1195" t="s">
        <v>1682</v>
      </c>
      <c r="I1195" s="11">
        <v>46296</v>
      </c>
      <c r="J1195" s="12">
        <v>46296</v>
      </c>
      <c r="K1195" s="13">
        <f>INDEX(Assumptions!$B$4:$B$23,MATCH(F1195,Assumptions!$A$4:$A$23,0))</f>
        <v>0.10101010101010099</v>
      </c>
      <c r="L1195" s="14">
        <f t="shared" si="36"/>
        <v>2.2363636363636359</v>
      </c>
      <c r="M1195" t="str">
        <f t="shared" si="37"/>
        <v>No</v>
      </c>
    </row>
    <row r="1196" spans="1:13" x14ac:dyDescent="0.25">
      <c r="A1196">
        <v>338437</v>
      </c>
      <c r="B1196" t="s">
        <v>3711</v>
      </c>
      <c r="C1196" t="s">
        <v>3712</v>
      </c>
      <c r="D1196" t="s">
        <v>6220</v>
      </c>
      <c r="E1196">
        <v>34.9</v>
      </c>
      <c r="F1196" t="s">
        <v>1681</v>
      </c>
      <c r="G1196" t="s">
        <v>1683</v>
      </c>
      <c r="H1196" t="s">
        <v>1682</v>
      </c>
      <c r="I1196" s="11">
        <v>46296</v>
      </c>
      <c r="J1196" s="12">
        <v>46296</v>
      </c>
      <c r="K1196" s="13">
        <f>INDEX(Assumptions!$B$4:$B$23,MATCH(F1196,Assumptions!$A$4:$A$23,0))</f>
        <v>0.10101010101010099</v>
      </c>
      <c r="L1196" s="14">
        <f t="shared" si="36"/>
        <v>3.5252525252525246</v>
      </c>
      <c r="M1196" t="str">
        <f t="shared" si="37"/>
        <v>No</v>
      </c>
    </row>
    <row r="1197" spans="1:13" x14ac:dyDescent="0.25">
      <c r="A1197">
        <v>338435</v>
      </c>
      <c r="B1197" t="s">
        <v>3714</v>
      </c>
      <c r="C1197" t="s">
        <v>3715</v>
      </c>
      <c r="D1197" t="s">
        <v>6220</v>
      </c>
      <c r="E1197">
        <v>30.9</v>
      </c>
      <c r="F1197" t="s">
        <v>1681</v>
      </c>
      <c r="G1197" t="s">
        <v>1683</v>
      </c>
      <c r="H1197" t="s">
        <v>1682</v>
      </c>
      <c r="I1197" s="11">
        <v>46296</v>
      </c>
      <c r="J1197" s="12">
        <v>46296</v>
      </c>
      <c r="K1197" s="13">
        <f>INDEX(Assumptions!$B$4:$B$23,MATCH(F1197,Assumptions!$A$4:$A$23,0))</f>
        <v>0.10101010101010099</v>
      </c>
      <c r="L1197" s="14">
        <f t="shared" si="36"/>
        <v>3.1212121212121207</v>
      </c>
      <c r="M1197" t="str">
        <f t="shared" si="37"/>
        <v>No</v>
      </c>
    </row>
    <row r="1198" spans="1:13" x14ac:dyDescent="0.25">
      <c r="A1198">
        <v>338436</v>
      </c>
      <c r="B1198" t="s">
        <v>3717</v>
      </c>
      <c r="C1198" t="s">
        <v>3718</v>
      </c>
      <c r="D1198" t="s">
        <v>6220</v>
      </c>
      <c r="E1198">
        <v>37.9</v>
      </c>
      <c r="F1198" t="s">
        <v>1681</v>
      </c>
      <c r="G1198" t="s">
        <v>1683</v>
      </c>
      <c r="H1198" t="s">
        <v>1682</v>
      </c>
      <c r="I1198" s="11">
        <v>46296</v>
      </c>
      <c r="J1198" s="12">
        <v>46296</v>
      </c>
      <c r="K1198" s="13">
        <f>INDEX(Assumptions!$B$4:$B$23,MATCH(F1198,Assumptions!$A$4:$A$23,0))</f>
        <v>0.10101010101010099</v>
      </c>
      <c r="L1198" s="14">
        <f t="shared" si="36"/>
        <v>3.8282828282828274</v>
      </c>
      <c r="M1198" t="str">
        <f t="shared" si="37"/>
        <v>No</v>
      </c>
    </row>
    <row r="1199" spans="1:13" x14ac:dyDescent="0.25">
      <c r="A1199">
        <v>338434</v>
      </c>
      <c r="B1199" t="s">
        <v>3721</v>
      </c>
      <c r="C1199" t="s">
        <v>3722</v>
      </c>
      <c r="D1199" t="s">
        <v>6220</v>
      </c>
      <c r="E1199">
        <v>27.9</v>
      </c>
      <c r="F1199" t="s">
        <v>1681</v>
      </c>
      <c r="G1199" t="s">
        <v>3585</v>
      </c>
      <c r="H1199" t="s">
        <v>1682</v>
      </c>
      <c r="I1199" s="11">
        <v>46296</v>
      </c>
      <c r="J1199" s="12">
        <v>46296</v>
      </c>
      <c r="K1199" s="13">
        <f>INDEX(Assumptions!$B$4:$B$23,MATCH(F1199,Assumptions!$A$4:$A$23,0))</f>
        <v>0.10101010101010099</v>
      </c>
      <c r="L1199" s="14">
        <f t="shared" si="36"/>
        <v>2.8181818181818175</v>
      </c>
      <c r="M1199" t="str">
        <f t="shared" si="37"/>
        <v>No</v>
      </c>
    </row>
    <row r="1200" spans="1:13" x14ac:dyDescent="0.25">
      <c r="A1200">
        <v>338433</v>
      </c>
      <c r="B1200" t="s">
        <v>3724</v>
      </c>
      <c r="C1200" t="s">
        <v>3725</v>
      </c>
      <c r="D1200" t="s">
        <v>6220</v>
      </c>
      <c r="E1200">
        <v>26.9</v>
      </c>
      <c r="F1200" t="s">
        <v>1681</v>
      </c>
      <c r="G1200" t="s">
        <v>3585</v>
      </c>
      <c r="H1200" t="s">
        <v>1682</v>
      </c>
      <c r="I1200" s="11">
        <v>46296</v>
      </c>
      <c r="J1200" s="12">
        <v>46296</v>
      </c>
      <c r="K1200" s="13">
        <f>INDEX(Assumptions!$B$4:$B$23,MATCH(F1200,Assumptions!$A$4:$A$23,0))</f>
        <v>0.10101010101010099</v>
      </c>
      <c r="L1200" s="14">
        <f t="shared" si="36"/>
        <v>2.7171717171717167</v>
      </c>
      <c r="M1200" t="str">
        <f t="shared" si="37"/>
        <v>No</v>
      </c>
    </row>
    <row r="1201" spans="1:13" x14ac:dyDescent="0.25">
      <c r="A1201">
        <v>338432</v>
      </c>
      <c r="B1201" t="s">
        <v>3727</v>
      </c>
      <c r="C1201" t="s">
        <v>3728</v>
      </c>
      <c r="D1201" t="s">
        <v>6220</v>
      </c>
      <c r="E1201">
        <v>49.9</v>
      </c>
      <c r="F1201" t="s">
        <v>1681</v>
      </c>
      <c r="G1201" t="s">
        <v>3585</v>
      </c>
      <c r="H1201" t="s">
        <v>1682</v>
      </c>
      <c r="I1201" s="11">
        <v>46294</v>
      </c>
      <c r="J1201" s="12">
        <v>46266</v>
      </c>
      <c r="K1201" s="13">
        <f>INDEX(Assumptions!$B$4:$B$23,MATCH(F1201,Assumptions!$A$4:$A$23,0))</f>
        <v>0.10101010101010099</v>
      </c>
      <c r="L1201" s="14">
        <f t="shared" si="36"/>
        <v>5.0404040404040398</v>
      </c>
      <c r="M1201" t="str">
        <f t="shared" si="37"/>
        <v>No</v>
      </c>
    </row>
    <row r="1202" spans="1:13" x14ac:dyDescent="0.25">
      <c r="A1202">
        <v>338431</v>
      </c>
      <c r="B1202" t="s">
        <v>3730</v>
      </c>
      <c r="C1202" t="s">
        <v>3731</v>
      </c>
      <c r="D1202" t="s">
        <v>6220</v>
      </c>
      <c r="E1202">
        <v>35.9</v>
      </c>
      <c r="F1202" t="s">
        <v>1681</v>
      </c>
      <c r="G1202" t="s">
        <v>3585</v>
      </c>
      <c r="H1202" t="s">
        <v>1682</v>
      </c>
      <c r="I1202" s="11">
        <v>46294</v>
      </c>
      <c r="J1202" s="12">
        <v>46266</v>
      </c>
      <c r="K1202" s="13">
        <f>INDEX(Assumptions!$B$4:$B$23,MATCH(F1202,Assumptions!$A$4:$A$23,0))</f>
        <v>0.10101010101010099</v>
      </c>
      <c r="L1202" s="14">
        <f t="shared" si="36"/>
        <v>3.6262626262626254</v>
      </c>
      <c r="M1202" t="str">
        <f t="shared" si="37"/>
        <v>No</v>
      </c>
    </row>
    <row r="1203" spans="1:13" x14ac:dyDescent="0.25">
      <c r="A1203">
        <v>338430</v>
      </c>
      <c r="B1203" t="s">
        <v>3733</v>
      </c>
      <c r="C1203" t="s">
        <v>3734</v>
      </c>
      <c r="D1203" t="s">
        <v>6220</v>
      </c>
      <c r="E1203">
        <v>21.9</v>
      </c>
      <c r="F1203" t="s">
        <v>1681</v>
      </c>
      <c r="G1203" t="s">
        <v>3585</v>
      </c>
      <c r="H1203" t="s">
        <v>1682</v>
      </c>
      <c r="I1203" s="11">
        <v>46294</v>
      </c>
      <c r="J1203" s="12">
        <v>46266</v>
      </c>
      <c r="K1203" s="13">
        <f>INDEX(Assumptions!$B$4:$B$23,MATCH(F1203,Assumptions!$A$4:$A$23,0))</f>
        <v>0.10101010101010099</v>
      </c>
      <c r="L1203" s="14">
        <f t="shared" si="36"/>
        <v>2.2121212121212115</v>
      </c>
      <c r="M1203" t="str">
        <f t="shared" si="37"/>
        <v>No</v>
      </c>
    </row>
    <row r="1204" spans="1:13" x14ac:dyDescent="0.25">
      <c r="A1204">
        <v>338429</v>
      </c>
      <c r="B1204" t="s">
        <v>3736</v>
      </c>
      <c r="C1204" t="s">
        <v>3737</v>
      </c>
      <c r="D1204" t="s">
        <v>6220</v>
      </c>
      <c r="E1204">
        <v>29.9</v>
      </c>
      <c r="F1204" t="s">
        <v>1681</v>
      </c>
      <c r="G1204" t="s">
        <v>3585</v>
      </c>
      <c r="H1204" t="s">
        <v>1682</v>
      </c>
      <c r="I1204" s="11">
        <v>46294</v>
      </c>
      <c r="J1204" s="12">
        <v>46266</v>
      </c>
      <c r="K1204" s="13">
        <f>INDEX(Assumptions!$B$4:$B$23,MATCH(F1204,Assumptions!$A$4:$A$23,0))</f>
        <v>0.10101010101010099</v>
      </c>
      <c r="L1204" s="14">
        <f t="shared" si="36"/>
        <v>3.0202020202020194</v>
      </c>
      <c r="M1204" t="str">
        <f t="shared" si="37"/>
        <v>No</v>
      </c>
    </row>
    <row r="1205" spans="1:13" x14ac:dyDescent="0.25">
      <c r="A1205">
        <v>338427</v>
      </c>
      <c r="B1205" t="s">
        <v>3739</v>
      </c>
      <c r="C1205" t="s">
        <v>3740</v>
      </c>
      <c r="D1205" t="s">
        <v>6220</v>
      </c>
      <c r="E1205">
        <v>41.9</v>
      </c>
      <c r="F1205" t="s">
        <v>1681</v>
      </c>
      <c r="G1205" t="s">
        <v>3585</v>
      </c>
      <c r="H1205" t="s">
        <v>1682</v>
      </c>
      <c r="I1205" s="11">
        <v>46294</v>
      </c>
      <c r="J1205" s="12">
        <v>46266</v>
      </c>
      <c r="K1205" s="13">
        <f>INDEX(Assumptions!$B$4:$B$23,MATCH(F1205,Assumptions!$A$4:$A$23,0))</f>
        <v>0.10101010101010099</v>
      </c>
      <c r="L1205" s="14">
        <f t="shared" si="36"/>
        <v>4.2323232323232318</v>
      </c>
      <c r="M1205" t="str">
        <f t="shared" si="37"/>
        <v>No</v>
      </c>
    </row>
    <row r="1206" spans="1:13" x14ac:dyDescent="0.25">
      <c r="A1206">
        <v>338428</v>
      </c>
      <c r="B1206" t="s">
        <v>3742</v>
      </c>
      <c r="C1206" t="s">
        <v>3743</v>
      </c>
      <c r="D1206" t="s">
        <v>6220</v>
      </c>
      <c r="E1206">
        <v>39.4</v>
      </c>
      <c r="F1206" t="s">
        <v>1681</v>
      </c>
      <c r="G1206" t="s">
        <v>3585</v>
      </c>
      <c r="H1206" t="s">
        <v>1682</v>
      </c>
      <c r="I1206" s="11">
        <v>46294</v>
      </c>
      <c r="J1206" s="12">
        <v>46266</v>
      </c>
      <c r="K1206" s="13">
        <f>INDEX(Assumptions!$B$4:$B$23,MATCH(F1206,Assumptions!$A$4:$A$23,0))</f>
        <v>0.10101010101010099</v>
      </c>
      <c r="L1206" s="14">
        <f t="shared" si="36"/>
        <v>3.9797979797979792</v>
      </c>
      <c r="M1206" t="str">
        <f t="shared" si="37"/>
        <v>No</v>
      </c>
    </row>
    <row r="1207" spans="1:13" x14ac:dyDescent="0.25">
      <c r="A1207">
        <v>338426</v>
      </c>
      <c r="B1207" t="s">
        <v>3746</v>
      </c>
      <c r="C1207" t="s">
        <v>3747</v>
      </c>
      <c r="D1207" t="s">
        <v>6220</v>
      </c>
      <c r="E1207">
        <v>38.4</v>
      </c>
      <c r="F1207" t="s">
        <v>1681</v>
      </c>
      <c r="G1207" t="s">
        <v>3585</v>
      </c>
      <c r="H1207" t="s">
        <v>1682</v>
      </c>
      <c r="I1207" s="11">
        <v>46294</v>
      </c>
      <c r="J1207" s="12">
        <v>46266</v>
      </c>
      <c r="K1207" s="13">
        <f>INDEX(Assumptions!$B$4:$B$23,MATCH(F1207,Assumptions!$A$4:$A$23,0))</f>
        <v>0.10101010101010099</v>
      </c>
      <c r="L1207" s="14">
        <f t="shared" si="36"/>
        <v>3.878787878787878</v>
      </c>
      <c r="M1207" t="str">
        <f t="shared" si="37"/>
        <v>No</v>
      </c>
    </row>
    <row r="1208" spans="1:13" x14ac:dyDescent="0.25">
      <c r="A1208">
        <v>338425</v>
      </c>
      <c r="B1208" t="s">
        <v>3749</v>
      </c>
      <c r="C1208" t="s">
        <v>3750</v>
      </c>
      <c r="D1208" t="s">
        <v>6220</v>
      </c>
      <c r="E1208">
        <v>25.9</v>
      </c>
      <c r="F1208" t="s">
        <v>1681</v>
      </c>
      <c r="G1208" t="s">
        <v>3530</v>
      </c>
      <c r="H1208" t="s">
        <v>1682</v>
      </c>
      <c r="I1208" s="11">
        <v>46296</v>
      </c>
      <c r="J1208" s="12">
        <v>46296</v>
      </c>
      <c r="K1208" s="13">
        <f>INDEX(Assumptions!$B$4:$B$23,MATCH(F1208,Assumptions!$A$4:$A$23,0))</f>
        <v>0.10101010101010099</v>
      </c>
      <c r="L1208" s="14">
        <f t="shared" si="36"/>
        <v>2.6161616161616155</v>
      </c>
      <c r="M1208" t="str">
        <f t="shared" si="37"/>
        <v>No</v>
      </c>
    </row>
    <row r="1209" spans="1:13" x14ac:dyDescent="0.25">
      <c r="A1209">
        <v>338423</v>
      </c>
      <c r="B1209" t="s">
        <v>3752</v>
      </c>
      <c r="C1209" t="s">
        <v>3753</v>
      </c>
      <c r="D1209" t="s">
        <v>6220</v>
      </c>
      <c r="E1209">
        <v>18.899999999999999</v>
      </c>
      <c r="F1209" t="s">
        <v>1681</v>
      </c>
      <c r="G1209" t="s">
        <v>3530</v>
      </c>
      <c r="H1209" t="s">
        <v>1682</v>
      </c>
      <c r="I1209" s="11">
        <v>46296</v>
      </c>
      <c r="J1209" s="12">
        <v>46296</v>
      </c>
      <c r="K1209" s="13">
        <f>INDEX(Assumptions!$B$4:$B$23,MATCH(F1209,Assumptions!$A$4:$A$23,0))</f>
        <v>0.10101010101010099</v>
      </c>
      <c r="L1209" s="14">
        <f t="shared" si="36"/>
        <v>1.9090909090909087</v>
      </c>
      <c r="M1209" t="str">
        <f t="shared" si="37"/>
        <v>No</v>
      </c>
    </row>
    <row r="1210" spans="1:13" x14ac:dyDescent="0.25">
      <c r="A1210">
        <v>338424</v>
      </c>
      <c r="B1210" t="s">
        <v>3756</v>
      </c>
      <c r="C1210" t="s">
        <v>3757</v>
      </c>
      <c r="D1210" t="s">
        <v>6220</v>
      </c>
      <c r="E1210">
        <v>37.9</v>
      </c>
      <c r="F1210" t="s">
        <v>1681</v>
      </c>
      <c r="G1210" t="s">
        <v>3530</v>
      </c>
      <c r="H1210" t="s">
        <v>1682</v>
      </c>
      <c r="I1210" s="11">
        <v>46296</v>
      </c>
      <c r="J1210" s="12">
        <v>46296</v>
      </c>
      <c r="K1210" s="13">
        <f>INDEX(Assumptions!$B$4:$B$23,MATCH(F1210,Assumptions!$A$4:$A$23,0))</f>
        <v>0.10101010101010099</v>
      </c>
      <c r="L1210" s="14">
        <f t="shared" si="36"/>
        <v>3.8282828282828274</v>
      </c>
      <c r="M1210" t="str">
        <f t="shared" si="37"/>
        <v>No</v>
      </c>
    </row>
    <row r="1211" spans="1:13" x14ac:dyDescent="0.25">
      <c r="A1211">
        <v>338422</v>
      </c>
      <c r="B1211" t="s">
        <v>3759</v>
      </c>
      <c r="C1211" t="s">
        <v>3760</v>
      </c>
      <c r="D1211" t="s">
        <v>6220</v>
      </c>
      <c r="E1211">
        <v>38.9</v>
      </c>
      <c r="F1211" t="s">
        <v>1681</v>
      </c>
      <c r="G1211" t="s">
        <v>3530</v>
      </c>
      <c r="H1211" t="s">
        <v>1682</v>
      </c>
      <c r="I1211" s="11">
        <v>46296</v>
      </c>
      <c r="J1211" s="12">
        <v>46296</v>
      </c>
      <c r="K1211" s="13">
        <f>INDEX(Assumptions!$B$4:$B$23,MATCH(F1211,Assumptions!$A$4:$A$23,0))</f>
        <v>0.10101010101010099</v>
      </c>
      <c r="L1211" s="14">
        <f t="shared" si="36"/>
        <v>3.9292929292929286</v>
      </c>
      <c r="M1211" t="str">
        <f t="shared" si="37"/>
        <v>No</v>
      </c>
    </row>
    <row r="1212" spans="1:13" x14ac:dyDescent="0.25">
      <c r="A1212">
        <v>338421</v>
      </c>
      <c r="B1212" t="s">
        <v>3763</v>
      </c>
      <c r="C1212" t="s">
        <v>3764</v>
      </c>
      <c r="D1212" t="s">
        <v>6220</v>
      </c>
      <c r="E1212">
        <v>16.899999999999999</v>
      </c>
      <c r="F1212" t="s">
        <v>1681</v>
      </c>
      <c r="G1212" t="s">
        <v>3530</v>
      </c>
      <c r="H1212" t="s">
        <v>1682</v>
      </c>
      <c r="I1212" s="11">
        <v>46296</v>
      </c>
      <c r="J1212" s="12">
        <v>46296</v>
      </c>
      <c r="K1212" s="13">
        <f>INDEX(Assumptions!$B$4:$B$23,MATCH(F1212,Assumptions!$A$4:$A$23,0))</f>
        <v>0.10101010101010099</v>
      </c>
      <c r="L1212" s="14">
        <f t="shared" si="36"/>
        <v>1.7070707070707067</v>
      </c>
      <c r="M1212" t="str">
        <f t="shared" si="37"/>
        <v>No</v>
      </c>
    </row>
    <row r="1213" spans="1:13" x14ac:dyDescent="0.25">
      <c r="A1213">
        <v>338420</v>
      </c>
      <c r="B1213" t="s">
        <v>3766</v>
      </c>
      <c r="C1213" t="s">
        <v>3767</v>
      </c>
      <c r="D1213" t="s">
        <v>6220</v>
      </c>
      <c r="E1213">
        <v>9.9</v>
      </c>
      <c r="F1213" t="s">
        <v>1681</v>
      </c>
      <c r="G1213" t="s">
        <v>3530</v>
      </c>
      <c r="H1213" t="s">
        <v>1682</v>
      </c>
      <c r="I1213" s="11">
        <v>46296</v>
      </c>
      <c r="J1213" s="12">
        <v>46296</v>
      </c>
      <c r="K1213" s="13">
        <f>INDEX(Assumptions!$B$4:$B$23,MATCH(F1213,Assumptions!$A$4:$A$23,0))</f>
        <v>0.10101010101010099</v>
      </c>
      <c r="L1213" s="14">
        <f t="shared" si="36"/>
        <v>0.99999999999999989</v>
      </c>
      <c r="M1213" t="str">
        <f t="shared" si="37"/>
        <v>No</v>
      </c>
    </row>
    <row r="1214" spans="1:13" x14ac:dyDescent="0.25">
      <c r="A1214">
        <v>338419</v>
      </c>
      <c r="B1214" t="s">
        <v>3769</v>
      </c>
      <c r="C1214" t="s">
        <v>3770</v>
      </c>
      <c r="D1214" t="s">
        <v>6220</v>
      </c>
      <c r="E1214">
        <v>33.4</v>
      </c>
      <c r="F1214" t="s">
        <v>1681</v>
      </c>
      <c r="G1214" t="s">
        <v>3530</v>
      </c>
      <c r="H1214" t="s">
        <v>1682</v>
      </c>
      <c r="I1214" s="11">
        <v>46296</v>
      </c>
      <c r="J1214" s="12">
        <v>46296</v>
      </c>
      <c r="K1214" s="13">
        <f>INDEX(Assumptions!$B$4:$B$23,MATCH(F1214,Assumptions!$A$4:$A$23,0))</f>
        <v>0.10101010101010099</v>
      </c>
      <c r="L1214" s="14">
        <f t="shared" si="36"/>
        <v>3.3737373737373733</v>
      </c>
      <c r="M1214" t="str">
        <f t="shared" si="37"/>
        <v>No</v>
      </c>
    </row>
    <row r="1215" spans="1:13" x14ac:dyDescent="0.25">
      <c r="A1215">
        <v>338418</v>
      </c>
      <c r="B1215" t="s">
        <v>3772</v>
      </c>
      <c r="C1215" t="s">
        <v>3773</v>
      </c>
      <c r="D1215" t="s">
        <v>6220</v>
      </c>
      <c r="E1215">
        <v>16.899999999999999</v>
      </c>
      <c r="F1215" t="s">
        <v>1681</v>
      </c>
      <c r="G1215" t="s">
        <v>3530</v>
      </c>
      <c r="H1215" t="s">
        <v>1682</v>
      </c>
      <c r="I1215" s="11">
        <v>46296</v>
      </c>
      <c r="J1215" s="12">
        <v>46296</v>
      </c>
      <c r="K1215" s="13">
        <f>INDEX(Assumptions!$B$4:$B$23,MATCH(F1215,Assumptions!$A$4:$A$23,0))</f>
        <v>0.10101010101010099</v>
      </c>
      <c r="L1215" s="14">
        <f t="shared" si="36"/>
        <v>1.7070707070707067</v>
      </c>
      <c r="M1215" t="str">
        <f t="shared" si="37"/>
        <v>No</v>
      </c>
    </row>
    <row r="1216" spans="1:13" x14ac:dyDescent="0.25">
      <c r="A1216">
        <v>338417</v>
      </c>
      <c r="B1216" t="s">
        <v>3775</v>
      </c>
      <c r="C1216" t="s">
        <v>3776</v>
      </c>
      <c r="D1216" t="s">
        <v>6220</v>
      </c>
      <c r="E1216">
        <v>21.4</v>
      </c>
      <c r="F1216" t="s">
        <v>1681</v>
      </c>
      <c r="G1216" t="s">
        <v>3530</v>
      </c>
      <c r="H1216" t="s">
        <v>1682</v>
      </c>
      <c r="I1216" s="11">
        <v>46296</v>
      </c>
      <c r="J1216" s="12">
        <v>46296</v>
      </c>
      <c r="K1216" s="13">
        <f>INDEX(Assumptions!$B$4:$B$23,MATCH(F1216,Assumptions!$A$4:$A$23,0))</f>
        <v>0.10101010101010099</v>
      </c>
      <c r="L1216" s="14">
        <f t="shared" si="36"/>
        <v>2.1616161616161613</v>
      </c>
      <c r="M1216" t="str">
        <f t="shared" si="37"/>
        <v>No</v>
      </c>
    </row>
    <row r="1217" spans="1:13" x14ac:dyDescent="0.25">
      <c r="A1217">
        <v>338416</v>
      </c>
      <c r="B1217" t="s">
        <v>3779</v>
      </c>
      <c r="C1217" t="s">
        <v>3780</v>
      </c>
      <c r="D1217" t="s">
        <v>6220</v>
      </c>
      <c r="E1217">
        <v>16.899999999999999</v>
      </c>
      <c r="F1217" t="s">
        <v>1681</v>
      </c>
      <c r="G1217" t="s">
        <v>3530</v>
      </c>
      <c r="H1217" t="s">
        <v>1682</v>
      </c>
      <c r="I1217" s="11">
        <v>46296</v>
      </c>
      <c r="J1217" s="12">
        <v>46296</v>
      </c>
      <c r="K1217" s="13">
        <f>INDEX(Assumptions!$B$4:$B$23,MATCH(F1217,Assumptions!$A$4:$A$23,0))</f>
        <v>0.10101010101010099</v>
      </c>
      <c r="L1217" s="14">
        <f t="shared" si="36"/>
        <v>1.7070707070707067</v>
      </c>
      <c r="M1217" t="str">
        <f t="shared" si="37"/>
        <v>No</v>
      </c>
    </row>
    <row r="1218" spans="1:13" x14ac:dyDescent="0.25">
      <c r="A1218">
        <v>338415</v>
      </c>
      <c r="B1218" t="s">
        <v>3782</v>
      </c>
      <c r="C1218" t="s">
        <v>3783</v>
      </c>
      <c r="D1218" t="s">
        <v>6220</v>
      </c>
      <c r="E1218">
        <v>34.9</v>
      </c>
      <c r="F1218" t="s">
        <v>1681</v>
      </c>
      <c r="G1218" t="s">
        <v>3784</v>
      </c>
      <c r="H1218" t="s">
        <v>1682</v>
      </c>
      <c r="I1218" s="11">
        <v>46296</v>
      </c>
      <c r="J1218" s="12">
        <v>46296</v>
      </c>
      <c r="K1218" s="13">
        <f>INDEX(Assumptions!$B$4:$B$23,MATCH(F1218,Assumptions!$A$4:$A$23,0))</f>
        <v>0.10101010101010099</v>
      </c>
      <c r="L1218" s="14">
        <f t="shared" ref="L1218:L1281" si="38">E1218*K1218</f>
        <v>3.5252525252525246</v>
      </c>
      <c r="M1218" t="str">
        <f t="shared" ref="M1218:M1281" si="39">IF(C1218="Unnamed product","Yes","No")</f>
        <v>No</v>
      </c>
    </row>
    <row r="1219" spans="1:13" x14ac:dyDescent="0.25">
      <c r="A1219">
        <v>338414</v>
      </c>
      <c r="B1219" t="s">
        <v>3786</v>
      </c>
      <c r="C1219" t="s">
        <v>3787</v>
      </c>
      <c r="D1219" t="s">
        <v>6220</v>
      </c>
      <c r="E1219">
        <v>17.5</v>
      </c>
      <c r="F1219" t="s">
        <v>1681</v>
      </c>
      <c r="G1219" t="s">
        <v>3784</v>
      </c>
      <c r="H1219" t="s">
        <v>1682</v>
      </c>
      <c r="I1219" s="11">
        <v>46296</v>
      </c>
      <c r="J1219" s="12">
        <v>46296</v>
      </c>
      <c r="K1219" s="13">
        <f>INDEX(Assumptions!$B$4:$B$23,MATCH(F1219,Assumptions!$A$4:$A$23,0))</f>
        <v>0.10101010101010099</v>
      </c>
      <c r="L1219" s="14">
        <f t="shared" si="38"/>
        <v>1.7676767676767673</v>
      </c>
      <c r="M1219" t="str">
        <f t="shared" si="39"/>
        <v>No</v>
      </c>
    </row>
    <row r="1220" spans="1:13" x14ac:dyDescent="0.25">
      <c r="A1220">
        <v>338413</v>
      </c>
      <c r="B1220" t="s">
        <v>3789</v>
      </c>
      <c r="C1220" t="s">
        <v>3790</v>
      </c>
      <c r="D1220" t="s">
        <v>6220</v>
      </c>
      <c r="E1220">
        <v>50.1</v>
      </c>
      <c r="F1220" t="s">
        <v>1681</v>
      </c>
      <c r="G1220" t="s">
        <v>3784</v>
      </c>
      <c r="H1220" t="s">
        <v>1682</v>
      </c>
      <c r="I1220" s="11">
        <v>46296</v>
      </c>
      <c r="J1220" s="12">
        <v>46296</v>
      </c>
      <c r="K1220" s="13">
        <f>INDEX(Assumptions!$B$4:$B$23,MATCH(F1220,Assumptions!$A$4:$A$23,0))</f>
        <v>0.10101010101010099</v>
      </c>
      <c r="L1220" s="14">
        <f t="shared" si="38"/>
        <v>5.0606060606060597</v>
      </c>
      <c r="M1220" t="str">
        <f t="shared" si="39"/>
        <v>No</v>
      </c>
    </row>
    <row r="1221" spans="1:13" x14ac:dyDescent="0.25">
      <c r="A1221">
        <v>338412</v>
      </c>
      <c r="B1221" t="s">
        <v>3793</v>
      </c>
      <c r="C1221" t="s">
        <v>3794</v>
      </c>
      <c r="D1221" t="s">
        <v>6220</v>
      </c>
      <c r="E1221">
        <v>25.9</v>
      </c>
      <c r="F1221" t="s">
        <v>1681</v>
      </c>
      <c r="G1221" t="s">
        <v>3530</v>
      </c>
      <c r="H1221" t="s">
        <v>1682</v>
      </c>
      <c r="I1221" s="11">
        <v>46296</v>
      </c>
      <c r="J1221" s="12">
        <v>46296</v>
      </c>
      <c r="K1221" s="13">
        <f>INDEX(Assumptions!$B$4:$B$23,MATCH(F1221,Assumptions!$A$4:$A$23,0))</f>
        <v>0.10101010101010099</v>
      </c>
      <c r="L1221" s="14">
        <f t="shared" si="38"/>
        <v>2.6161616161616155</v>
      </c>
      <c r="M1221" t="str">
        <f t="shared" si="39"/>
        <v>No</v>
      </c>
    </row>
    <row r="1222" spans="1:13" x14ac:dyDescent="0.25">
      <c r="A1222">
        <v>338411</v>
      </c>
      <c r="B1222" t="s">
        <v>3796</v>
      </c>
      <c r="C1222" t="s">
        <v>3797</v>
      </c>
      <c r="D1222" t="s">
        <v>6220</v>
      </c>
      <c r="E1222">
        <v>46.4</v>
      </c>
      <c r="F1222" t="s">
        <v>1681</v>
      </c>
      <c r="G1222" t="s">
        <v>3585</v>
      </c>
      <c r="H1222" t="s">
        <v>1682</v>
      </c>
      <c r="I1222" s="11">
        <v>46296</v>
      </c>
      <c r="J1222" s="12">
        <v>46296</v>
      </c>
      <c r="K1222" s="13">
        <f>INDEX(Assumptions!$B$4:$B$23,MATCH(F1222,Assumptions!$A$4:$A$23,0))</f>
        <v>0.10101010101010099</v>
      </c>
      <c r="L1222" s="14">
        <f t="shared" si="38"/>
        <v>4.686868686868686</v>
      </c>
      <c r="M1222" t="str">
        <f t="shared" si="39"/>
        <v>No</v>
      </c>
    </row>
    <row r="1223" spans="1:13" x14ac:dyDescent="0.25">
      <c r="A1223">
        <v>338410</v>
      </c>
      <c r="B1223" t="s">
        <v>3800</v>
      </c>
      <c r="C1223" t="s">
        <v>3801</v>
      </c>
      <c r="D1223" t="s">
        <v>6220</v>
      </c>
      <c r="E1223">
        <v>27.9</v>
      </c>
      <c r="F1223" t="s">
        <v>1681</v>
      </c>
      <c r="G1223" t="s">
        <v>3585</v>
      </c>
      <c r="H1223" t="s">
        <v>1682</v>
      </c>
      <c r="I1223" s="11">
        <v>46296</v>
      </c>
      <c r="J1223" s="12">
        <v>46296</v>
      </c>
      <c r="K1223" s="13">
        <f>INDEX(Assumptions!$B$4:$B$23,MATCH(F1223,Assumptions!$A$4:$A$23,0))</f>
        <v>0.10101010101010099</v>
      </c>
      <c r="L1223" s="14">
        <f t="shared" si="38"/>
        <v>2.8181818181818175</v>
      </c>
      <c r="M1223" t="str">
        <f t="shared" si="39"/>
        <v>No</v>
      </c>
    </row>
    <row r="1224" spans="1:13" x14ac:dyDescent="0.25">
      <c r="A1224">
        <v>338409</v>
      </c>
      <c r="B1224" t="s">
        <v>3803</v>
      </c>
      <c r="C1224" t="s">
        <v>3804</v>
      </c>
      <c r="D1224" t="s">
        <v>6220</v>
      </c>
      <c r="E1224">
        <v>34.9</v>
      </c>
      <c r="F1224" t="s">
        <v>1681</v>
      </c>
      <c r="G1224" t="s">
        <v>3585</v>
      </c>
      <c r="H1224" t="s">
        <v>1682</v>
      </c>
      <c r="I1224" s="11">
        <v>46296</v>
      </c>
      <c r="J1224" s="12">
        <v>46296</v>
      </c>
      <c r="K1224" s="13">
        <f>INDEX(Assumptions!$B$4:$B$23,MATCH(F1224,Assumptions!$A$4:$A$23,0))</f>
        <v>0.10101010101010099</v>
      </c>
      <c r="L1224" s="14">
        <f t="shared" si="38"/>
        <v>3.5252525252525246</v>
      </c>
      <c r="M1224" t="str">
        <f t="shared" si="39"/>
        <v>No</v>
      </c>
    </row>
    <row r="1225" spans="1:13" x14ac:dyDescent="0.25">
      <c r="A1225">
        <v>338408</v>
      </c>
      <c r="B1225" t="s">
        <v>2052</v>
      </c>
      <c r="C1225" t="s">
        <v>3806</v>
      </c>
      <c r="D1225" t="s">
        <v>6220</v>
      </c>
      <c r="E1225">
        <v>39.9</v>
      </c>
      <c r="F1225" t="s">
        <v>1681</v>
      </c>
      <c r="G1225" t="s">
        <v>3585</v>
      </c>
      <c r="H1225" t="s">
        <v>1682</v>
      </c>
      <c r="I1225" s="11">
        <v>46296</v>
      </c>
      <c r="J1225" s="12">
        <v>46296</v>
      </c>
      <c r="K1225" s="13">
        <f>INDEX(Assumptions!$B$4:$B$23,MATCH(F1225,Assumptions!$A$4:$A$23,0))</f>
        <v>0.10101010101010099</v>
      </c>
      <c r="L1225" s="14">
        <f t="shared" si="38"/>
        <v>4.0303030303030294</v>
      </c>
      <c r="M1225" t="str">
        <f t="shared" si="39"/>
        <v>No</v>
      </c>
    </row>
    <row r="1226" spans="1:13" x14ac:dyDescent="0.25">
      <c r="A1226">
        <v>338407</v>
      </c>
      <c r="B1226" t="s">
        <v>3808</v>
      </c>
      <c r="C1226" t="s">
        <v>3809</v>
      </c>
      <c r="D1226" t="s">
        <v>6220</v>
      </c>
      <c r="E1226">
        <v>36.4</v>
      </c>
      <c r="F1226" t="s">
        <v>1681</v>
      </c>
      <c r="G1226" t="s">
        <v>3585</v>
      </c>
      <c r="H1226" t="s">
        <v>1682</v>
      </c>
      <c r="I1226" s="11">
        <v>46296</v>
      </c>
      <c r="J1226" s="12">
        <v>46296</v>
      </c>
      <c r="K1226" s="13">
        <f>INDEX(Assumptions!$B$4:$B$23,MATCH(F1226,Assumptions!$A$4:$A$23,0))</f>
        <v>0.10101010101010099</v>
      </c>
      <c r="L1226" s="14">
        <f t="shared" si="38"/>
        <v>3.676767676767676</v>
      </c>
      <c r="M1226" t="str">
        <f t="shared" si="39"/>
        <v>No</v>
      </c>
    </row>
    <row r="1227" spans="1:13" x14ac:dyDescent="0.25">
      <c r="A1227">
        <v>338406</v>
      </c>
      <c r="B1227" t="s">
        <v>3812</v>
      </c>
      <c r="C1227" t="s">
        <v>3813</v>
      </c>
      <c r="D1227" t="s">
        <v>6220</v>
      </c>
      <c r="E1227">
        <v>45.9</v>
      </c>
      <c r="F1227" t="s">
        <v>1681</v>
      </c>
      <c r="G1227" t="s">
        <v>3585</v>
      </c>
      <c r="H1227" t="s">
        <v>1682</v>
      </c>
      <c r="I1227" s="11">
        <v>46296</v>
      </c>
      <c r="J1227" s="12">
        <v>46296</v>
      </c>
      <c r="K1227" s="13">
        <f>INDEX(Assumptions!$B$4:$B$23,MATCH(F1227,Assumptions!$A$4:$A$23,0))</f>
        <v>0.10101010101010099</v>
      </c>
      <c r="L1227" s="14">
        <f t="shared" si="38"/>
        <v>4.6363636363636358</v>
      </c>
      <c r="M1227" t="str">
        <f t="shared" si="39"/>
        <v>No</v>
      </c>
    </row>
    <row r="1228" spans="1:13" x14ac:dyDescent="0.25">
      <c r="A1228">
        <v>338405</v>
      </c>
      <c r="B1228" t="s">
        <v>3816</v>
      </c>
      <c r="C1228" t="s">
        <v>3817</v>
      </c>
      <c r="D1228" t="s">
        <v>6220</v>
      </c>
      <c r="E1228">
        <v>34.9</v>
      </c>
      <c r="F1228" t="s">
        <v>1681</v>
      </c>
      <c r="G1228" t="s">
        <v>3585</v>
      </c>
      <c r="H1228" t="s">
        <v>1682</v>
      </c>
      <c r="I1228" s="11">
        <v>46296</v>
      </c>
      <c r="J1228" s="12">
        <v>46296</v>
      </c>
      <c r="K1228" s="13">
        <f>INDEX(Assumptions!$B$4:$B$23,MATCH(F1228,Assumptions!$A$4:$A$23,0))</f>
        <v>0.10101010101010099</v>
      </c>
      <c r="L1228" s="14">
        <f t="shared" si="38"/>
        <v>3.5252525252525246</v>
      </c>
      <c r="M1228" t="str">
        <f t="shared" si="39"/>
        <v>No</v>
      </c>
    </row>
    <row r="1229" spans="1:13" x14ac:dyDescent="0.25">
      <c r="A1229">
        <v>338404</v>
      </c>
      <c r="B1229" t="s">
        <v>3819</v>
      </c>
      <c r="C1229" t="s">
        <v>3820</v>
      </c>
      <c r="D1229" t="s">
        <v>6220</v>
      </c>
      <c r="E1229">
        <v>34.9</v>
      </c>
      <c r="F1229" t="s">
        <v>1681</v>
      </c>
      <c r="G1229" t="s">
        <v>3585</v>
      </c>
      <c r="H1229" t="s">
        <v>1682</v>
      </c>
      <c r="I1229" s="11">
        <v>46296</v>
      </c>
      <c r="J1229" s="12">
        <v>46296</v>
      </c>
      <c r="K1229" s="13">
        <f>INDEX(Assumptions!$B$4:$B$23,MATCH(F1229,Assumptions!$A$4:$A$23,0))</f>
        <v>0.10101010101010099</v>
      </c>
      <c r="L1229" s="14">
        <f t="shared" si="38"/>
        <v>3.5252525252525246</v>
      </c>
      <c r="M1229" t="str">
        <f t="shared" si="39"/>
        <v>No</v>
      </c>
    </row>
    <row r="1230" spans="1:13" x14ac:dyDescent="0.25">
      <c r="A1230">
        <v>338403</v>
      </c>
      <c r="B1230" t="s">
        <v>3822</v>
      </c>
      <c r="C1230" t="s">
        <v>3823</v>
      </c>
      <c r="D1230" t="s">
        <v>6220</v>
      </c>
      <c r="E1230">
        <v>89</v>
      </c>
      <c r="F1230" t="s">
        <v>1681</v>
      </c>
      <c r="G1230" t="s">
        <v>3585</v>
      </c>
      <c r="H1230" t="s">
        <v>1682</v>
      </c>
      <c r="I1230" s="11">
        <v>46296</v>
      </c>
      <c r="J1230" s="12">
        <v>46296</v>
      </c>
      <c r="K1230" s="13">
        <f>INDEX(Assumptions!$B$4:$B$23,MATCH(F1230,Assumptions!$A$4:$A$23,0))</f>
        <v>0.10101010101010099</v>
      </c>
      <c r="L1230" s="14">
        <f t="shared" si="38"/>
        <v>8.9898989898989878</v>
      </c>
      <c r="M1230" t="str">
        <f t="shared" si="39"/>
        <v>No</v>
      </c>
    </row>
    <row r="1231" spans="1:13" x14ac:dyDescent="0.25">
      <c r="A1231">
        <v>338402</v>
      </c>
      <c r="B1231" t="s">
        <v>3826</v>
      </c>
      <c r="C1231" t="s">
        <v>3827</v>
      </c>
      <c r="D1231" t="s">
        <v>6220</v>
      </c>
      <c r="E1231">
        <v>44.9</v>
      </c>
      <c r="F1231" t="s">
        <v>1681</v>
      </c>
      <c r="G1231" t="s">
        <v>3585</v>
      </c>
      <c r="H1231" t="s">
        <v>1682</v>
      </c>
      <c r="I1231" s="11">
        <v>46296</v>
      </c>
      <c r="J1231" s="12">
        <v>46296</v>
      </c>
      <c r="K1231" s="13">
        <f>INDEX(Assumptions!$B$4:$B$23,MATCH(F1231,Assumptions!$A$4:$A$23,0))</f>
        <v>0.10101010101010099</v>
      </c>
      <c r="L1231" s="14">
        <f t="shared" si="38"/>
        <v>4.5353535353535346</v>
      </c>
      <c r="M1231" t="str">
        <f t="shared" si="39"/>
        <v>No</v>
      </c>
    </row>
    <row r="1232" spans="1:13" x14ac:dyDescent="0.25">
      <c r="A1232">
        <v>338401</v>
      </c>
      <c r="B1232" t="s">
        <v>3829</v>
      </c>
      <c r="C1232" t="s">
        <v>3830</v>
      </c>
      <c r="D1232" t="s">
        <v>6220</v>
      </c>
      <c r="E1232">
        <v>17.399999999999999</v>
      </c>
      <c r="F1232" t="s">
        <v>1681</v>
      </c>
      <c r="G1232" t="s">
        <v>3585</v>
      </c>
      <c r="H1232" t="s">
        <v>1682</v>
      </c>
      <c r="I1232" s="11">
        <v>46296</v>
      </c>
      <c r="J1232" s="12">
        <v>46296</v>
      </c>
      <c r="K1232" s="13">
        <f>INDEX(Assumptions!$B$4:$B$23,MATCH(F1232,Assumptions!$A$4:$A$23,0))</f>
        <v>0.10101010101010099</v>
      </c>
      <c r="L1232" s="14">
        <f t="shared" si="38"/>
        <v>1.7575757575757571</v>
      </c>
      <c r="M1232" t="str">
        <f t="shared" si="39"/>
        <v>No</v>
      </c>
    </row>
    <row r="1233" spans="1:13" x14ac:dyDescent="0.25">
      <c r="A1233">
        <v>338400</v>
      </c>
      <c r="B1233" t="s">
        <v>3833</v>
      </c>
      <c r="C1233" t="s">
        <v>3834</v>
      </c>
      <c r="D1233" t="s">
        <v>6220</v>
      </c>
      <c r="E1233">
        <v>24.2</v>
      </c>
      <c r="F1233" t="s">
        <v>1681</v>
      </c>
      <c r="G1233" t="s">
        <v>3585</v>
      </c>
      <c r="H1233" t="s">
        <v>1682</v>
      </c>
      <c r="I1233" s="11">
        <v>46296</v>
      </c>
      <c r="J1233" s="12">
        <v>46296</v>
      </c>
      <c r="K1233" s="13">
        <f>INDEX(Assumptions!$B$4:$B$23,MATCH(F1233,Assumptions!$A$4:$A$23,0))</f>
        <v>0.10101010101010099</v>
      </c>
      <c r="L1233" s="14">
        <f t="shared" si="38"/>
        <v>2.4444444444444442</v>
      </c>
      <c r="M1233" t="str">
        <f t="shared" si="39"/>
        <v>No</v>
      </c>
    </row>
    <row r="1234" spans="1:13" x14ac:dyDescent="0.25">
      <c r="A1234">
        <v>338399</v>
      </c>
      <c r="B1234" t="s">
        <v>3837</v>
      </c>
      <c r="C1234" t="s">
        <v>3838</v>
      </c>
      <c r="D1234" t="s">
        <v>6220</v>
      </c>
      <c r="E1234">
        <v>19.899999999999999</v>
      </c>
      <c r="F1234" t="s">
        <v>1681</v>
      </c>
      <c r="G1234" t="s">
        <v>3585</v>
      </c>
      <c r="H1234" t="s">
        <v>1682</v>
      </c>
      <c r="I1234" s="11">
        <v>46296</v>
      </c>
      <c r="J1234" s="12">
        <v>46296</v>
      </c>
      <c r="K1234" s="13">
        <f>INDEX(Assumptions!$B$4:$B$23,MATCH(F1234,Assumptions!$A$4:$A$23,0))</f>
        <v>0.10101010101010099</v>
      </c>
      <c r="L1234" s="14">
        <f t="shared" si="38"/>
        <v>2.0101010101010095</v>
      </c>
      <c r="M1234" t="str">
        <f t="shared" si="39"/>
        <v>No</v>
      </c>
    </row>
    <row r="1235" spans="1:13" x14ac:dyDescent="0.25">
      <c r="A1235">
        <v>338398</v>
      </c>
      <c r="B1235" t="s">
        <v>3840</v>
      </c>
      <c r="C1235" t="s">
        <v>3841</v>
      </c>
      <c r="D1235" t="s">
        <v>6220</v>
      </c>
      <c r="E1235">
        <v>28.1</v>
      </c>
      <c r="F1235" t="s">
        <v>1681</v>
      </c>
      <c r="G1235" t="s">
        <v>3585</v>
      </c>
      <c r="H1235" t="s">
        <v>1682</v>
      </c>
      <c r="I1235" s="11">
        <v>46296</v>
      </c>
      <c r="J1235" s="12">
        <v>46296</v>
      </c>
      <c r="K1235" s="13">
        <f>INDEX(Assumptions!$B$4:$B$23,MATCH(F1235,Assumptions!$A$4:$A$23,0))</f>
        <v>0.10101010101010099</v>
      </c>
      <c r="L1235" s="14">
        <f t="shared" si="38"/>
        <v>2.8383838383838382</v>
      </c>
      <c r="M1235" t="str">
        <f t="shared" si="39"/>
        <v>No</v>
      </c>
    </row>
    <row r="1236" spans="1:13" x14ac:dyDescent="0.25">
      <c r="A1236">
        <v>338397</v>
      </c>
      <c r="B1236" t="s">
        <v>3844</v>
      </c>
      <c r="C1236" t="s">
        <v>3845</v>
      </c>
      <c r="D1236" t="s">
        <v>6220</v>
      </c>
      <c r="E1236">
        <v>21.2</v>
      </c>
      <c r="F1236" t="s">
        <v>1681</v>
      </c>
      <c r="G1236" t="s">
        <v>3585</v>
      </c>
      <c r="H1236" t="s">
        <v>1682</v>
      </c>
      <c r="I1236" s="11">
        <v>46296</v>
      </c>
      <c r="J1236" s="12">
        <v>46296</v>
      </c>
      <c r="K1236" s="13">
        <f>INDEX(Assumptions!$B$4:$B$23,MATCH(F1236,Assumptions!$A$4:$A$23,0))</f>
        <v>0.10101010101010099</v>
      </c>
      <c r="L1236" s="14">
        <f t="shared" si="38"/>
        <v>2.141414141414141</v>
      </c>
      <c r="M1236" t="str">
        <f t="shared" si="39"/>
        <v>No</v>
      </c>
    </row>
    <row r="1237" spans="1:13" x14ac:dyDescent="0.25">
      <c r="A1237">
        <v>338396</v>
      </c>
      <c r="B1237" t="s">
        <v>3848</v>
      </c>
      <c r="C1237" t="s">
        <v>3849</v>
      </c>
      <c r="D1237" t="s">
        <v>6220</v>
      </c>
      <c r="E1237">
        <v>53.9</v>
      </c>
      <c r="F1237" t="s">
        <v>1681</v>
      </c>
      <c r="G1237" t="s">
        <v>3585</v>
      </c>
      <c r="H1237" t="s">
        <v>1682</v>
      </c>
      <c r="I1237" s="11">
        <v>46296</v>
      </c>
      <c r="J1237" s="12">
        <v>46296</v>
      </c>
      <c r="K1237" s="13">
        <f>INDEX(Assumptions!$B$4:$B$23,MATCH(F1237,Assumptions!$A$4:$A$23,0))</f>
        <v>0.10101010101010099</v>
      </c>
      <c r="L1237" s="14">
        <f t="shared" si="38"/>
        <v>5.4444444444444438</v>
      </c>
      <c r="M1237" t="str">
        <f t="shared" si="39"/>
        <v>No</v>
      </c>
    </row>
    <row r="1238" spans="1:13" x14ac:dyDescent="0.25">
      <c r="A1238">
        <v>338395</v>
      </c>
      <c r="B1238" t="s">
        <v>3852</v>
      </c>
      <c r="C1238" t="s">
        <v>3853</v>
      </c>
      <c r="D1238" t="s">
        <v>6220</v>
      </c>
      <c r="E1238">
        <v>34.9</v>
      </c>
      <c r="F1238" t="s">
        <v>1681</v>
      </c>
      <c r="G1238" t="s">
        <v>3585</v>
      </c>
      <c r="H1238" t="s">
        <v>1682</v>
      </c>
      <c r="I1238" s="11">
        <v>46296</v>
      </c>
      <c r="J1238" s="12">
        <v>46296</v>
      </c>
      <c r="K1238" s="13">
        <f>INDEX(Assumptions!$B$4:$B$23,MATCH(F1238,Assumptions!$A$4:$A$23,0))</f>
        <v>0.10101010101010099</v>
      </c>
      <c r="L1238" s="14">
        <f t="shared" si="38"/>
        <v>3.5252525252525246</v>
      </c>
      <c r="M1238" t="str">
        <f t="shared" si="39"/>
        <v>No</v>
      </c>
    </row>
    <row r="1239" spans="1:13" x14ac:dyDescent="0.25">
      <c r="A1239">
        <v>338394</v>
      </c>
      <c r="B1239" t="s">
        <v>3855</v>
      </c>
      <c r="C1239" t="s">
        <v>3856</v>
      </c>
      <c r="D1239" t="s">
        <v>6220</v>
      </c>
      <c r="E1239">
        <v>12.2</v>
      </c>
      <c r="F1239" t="s">
        <v>1681</v>
      </c>
      <c r="G1239" t="s">
        <v>3585</v>
      </c>
      <c r="H1239" t="s">
        <v>1682</v>
      </c>
      <c r="I1239" s="11">
        <v>46296</v>
      </c>
      <c r="J1239" s="12">
        <v>46296</v>
      </c>
      <c r="K1239" s="13">
        <f>INDEX(Assumptions!$B$4:$B$23,MATCH(F1239,Assumptions!$A$4:$A$23,0))</f>
        <v>0.10101010101010099</v>
      </c>
      <c r="L1239" s="14">
        <f t="shared" si="38"/>
        <v>1.232323232323232</v>
      </c>
      <c r="M1239" t="str">
        <f t="shared" si="39"/>
        <v>No</v>
      </c>
    </row>
    <row r="1240" spans="1:13" x14ac:dyDescent="0.25">
      <c r="A1240">
        <v>338393</v>
      </c>
      <c r="B1240" t="s">
        <v>3858</v>
      </c>
      <c r="C1240" t="s">
        <v>3859</v>
      </c>
      <c r="D1240" t="s">
        <v>6220</v>
      </c>
      <c r="E1240">
        <v>19.7</v>
      </c>
      <c r="F1240" t="s">
        <v>1681</v>
      </c>
      <c r="G1240" t="s">
        <v>3585</v>
      </c>
      <c r="H1240" t="s">
        <v>1682</v>
      </c>
      <c r="I1240" s="11">
        <v>46296</v>
      </c>
      <c r="J1240" s="12">
        <v>46296</v>
      </c>
      <c r="K1240" s="13">
        <f>INDEX(Assumptions!$B$4:$B$23,MATCH(F1240,Assumptions!$A$4:$A$23,0))</f>
        <v>0.10101010101010099</v>
      </c>
      <c r="L1240" s="14">
        <f t="shared" si="38"/>
        <v>1.9898989898989896</v>
      </c>
      <c r="M1240" t="str">
        <f t="shared" si="39"/>
        <v>No</v>
      </c>
    </row>
    <row r="1241" spans="1:13" x14ac:dyDescent="0.25">
      <c r="A1241">
        <v>338392</v>
      </c>
      <c r="B1241" t="s">
        <v>3862</v>
      </c>
      <c r="C1241" t="s">
        <v>3863</v>
      </c>
      <c r="D1241" t="s">
        <v>6220</v>
      </c>
      <c r="E1241">
        <v>16.100000000000001</v>
      </c>
      <c r="F1241" t="s">
        <v>1681</v>
      </c>
      <c r="G1241" t="s">
        <v>3585</v>
      </c>
      <c r="H1241" t="s">
        <v>1682</v>
      </c>
      <c r="I1241" s="11">
        <v>46296</v>
      </c>
      <c r="J1241" s="12">
        <v>46296</v>
      </c>
      <c r="K1241" s="13">
        <f>INDEX(Assumptions!$B$4:$B$23,MATCH(F1241,Assumptions!$A$4:$A$23,0))</f>
        <v>0.10101010101010099</v>
      </c>
      <c r="L1241" s="14">
        <f t="shared" si="38"/>
        <v>1.6262626262626261</v>
      </c>
      <c r="M1241" t="str">
        <f t="shared" si="39"/>
        <v>No</v>
      </c>
    </row>
    <row r="1242" spans="1:13" x14ac:dyDescent="0.25">
      <c r="A1242">
        <v>338391</v>
      </c>
      <c r="B1242" t="s">
        <v>3866</v>
      </c>
      <c r="C1242" t="s">
        <v>3867</v>
      </c>
      <c r="D1242" t="s">
        <v>6220</v>
      </c>
      <c r="E1242">
        <v>19.399999999999999</v>
      </c>
      <c r="F1242" t="s">
        <v>1681</v>
      </c>
      <c r="G1242" t="s">
        <v>3585</v>
      </c>
      <c r="H1242" t="s">
        <v>1682</v>
      </c>
      <c r="I1242" s="11">
        <v>46296</v>
      </c>
      <c r="J1242" s="12">
        <v>46296</v>
      </c>
      <c r="K1242" s="13">
        <f>INDEX(Assumptions!$B$4:$B$23,MATCH(F1242,Assumptions!$A$4:$A$23,0))</f>
        <v>0.10101010101010099</v>
      </c>
      <c r="L1242" s="14">
        <f t="shared" si="38"/>
        <v>1.9595959595959591</v>
      </c>
      <c r="M1242" t="str">
        <f t="shared" si="39"/>
        <v>No</v>
      </c>
    </row>
    <row r="1243" spans="1:13" x14ac:dyDescent="0.25">
      <c r="A1243">
        <v>338390</v>
      </c>
      <c r="B1243" t="s">
        <v>3870</v>
      </c>
      <c r="C1243" t="s">
        <v>3871</v>
      </c>
      <c r="D1243" t="s">
        <v>6220</v>
      </c>
      <c r="E1243">
        <v>22.7</v>
      </c>
      <c r="F1243" t="s">
        <v>1681</v>
      </c>
      <c r="G1243" t="s">
        <v>3585</v>
      </c>
      <c r="H1243" t="s">
        <v>1682</v>
      </c>
      <c r="I1243" s="11">
        <v>46296</v>
      </c>
      <c r="J1243" s="12">
        <v>46296</v>
      </c>
      <c r="K1243" s="13">
        <f>INDEX(Assumptions!$B$4:$B$23,MATCH(F1243,Assumptions!$A$4:$A$23,0))</f>
        <v>0.10101010101010099</v>
      </c>
      <c r="L1243" s="14">
        <f t="shared" si="38"/>
        <v>2.2929292929292924</v>
      </c>
      <c r="M1243" t="str">
        <f t="shared" si="39"/>
        <v>No</v>
      </c>
    </row>
    <row r="1244" spans="1:13" x14ac:dyDescent="0.25">
      <c r="A1244">
        <v>338389</v>
      </c>
      <c r="B1244" t="s">
        <v>3874</v>
      </c>
      <c r="C1244" t="s">
        <v>3875</v>
      </c>
      <c r="D1244" t="s">
        <v>6220</v>
      </c>
      <c r="E1244">
        <v>20.9</v>
      </c>
      <c r="F1244" t="s">
        <v>1681</v>
      </c>
      <c r="G1244" t="s">
        <v>3585</v>
      </c>
      <c r="H1244" t="s">
        <v>1682</v>
      </c>
      <c r="I1244" s="11">
        <v>46296</v>
      </c>
      <c r="J1244" s="12">
        <v>46296</v>
      </c>
      <c r="K1244" s="13">
        <f>INDEX(Assumptions!$B$4:$B$23,MATCH(F1244,Assumptions!$A$4:$A$23,0))</f>
        <v>0.10101010101010099</v>
      </c>
      <c r="L1244" s="14">
        <f t="shared" si="38"/>
        <v>2.1111111111111107</v>
      </c>
      <c r="M1244" t="str">
        <f t="shared" si="39"/>
        <v>No</v>
      </c>
    </row>
    <row r="1245" spans="1:13" x14ac:dyDescent="0.25">
      <c r="A1245">
        <v>338388</v>
      </c>
      <c r="B1245" t="s">
        <v>3878</v>
      </c>
      <c r="C1245" t="s">
        <v>3879</v>
      </c>
      <c r="D1245" t="s">
        <v>6220</v>
      </c>
      <c r="E1245">
        <v>17.899999999999999</v>
      </c>
      <c r="F1245" t="s">
        <v>1681</v>
      </c>
      <c r="G1245" t="s">
        <v>3585</v>
      </c>
      <c r="H1245" t="s">
        <v>1682</v>
      </c>
      <c r="I1245" s="11">
        <v>46296</v>
      </c>
      <c r="J1245" s="12">
        <v>46296</v>
      </c>
      <c r="K1245" s="13">
        <f>INDEX(Assumptions!$B$4:$B$23,MATCH(F1245,Assumptions!$A$4:$A$23,0))</f>
        <v>0.10101010101010099</v>
      </c>
      <c r="L1245" s="14">
        <f t="shared" si="38"/>
        <v>1.8080808080808077</v>
      </c>
      <c r="M1245" t="str">
        <f t="shared" si="39"/>
        <v>No</v>
      </c>
    </row>
    <row r="1246" spans="1:13" x14ac:dyDescent="0.25">
      <c r="A1246">
        <v>338387</v>
      </c>
      <c r="B1246" t="s">
        <v>3881</v>
      </c>
      <c r="C1246" t="s">
        <v>3882</v>
      </c>
      <c r="D1246" t="s">
        <v>6220</v>
      </c>
      <c r="E1246">
        <v>21.4</v>
      </c>
      <c r="F1246" t="s">
        <v>1681</v>
      </c>
      <c r="G1246" t="s">
        <v>3585</v>
      </c>
      <c r="H1246" t="s">
        <v>1682</v>
      </c>
      <c r="I1246" s="11">
        <v>46296</v>
      </c>
      <c r="J1246" s="12">
        <v>46296</v>
      </c>
      <c r="K1246" s="13">
        <f>INDEX(Assumptions!$B$4:$B$23,MATCH(F1246,Assumptions!$A$4:$A$23,0))</f>
        <v>0.10101010101010099</v>
      </c>
      <c r="L1246" s="14">
        <f t="shared" si="38"/>
        <v>2.1616161616161613</v>
      </c>
      <c r="M1246" t="str">
        <f t="shared" si="39"/>
        <v>No</v>
      </c>
    </row>
    <row r="1247" spans="1:13" x14ac:dyDescent="0.25">
      <c r="A1247">
        <v>338386</v>
      </c>
      <c r="B1247" t="s">
        <v>3884</v>
      </c>
      <c r="C1247" t="s">
        <v>3885</v>
      </c>
      <c r="D1247" t="s">
        <v>6220</v>
      </c>
      <c r="E1247">
        <v>34.9</v>
      </c>
      <c r="F1247" t="s">
        <v>1681</v>
      </c>
      <c r="G1247" t="s">
        <v>3585</v>
      </c>
      <c r="H1247" t="s">
        <v>1682</v>
      </c>
      <c r="I1247" s="11">
        <v>46296</v>
      </c>
      <c r="J1247" s="12">
        <v>46296</v>
      </c>
      <c r="K1247" s="13">
        <f>INDEX(Assumptions!$B$4:$B$23,MATCH(F1247,Assumptions!$A$4:$A$23,0))</f>
        <v>0.10101010101010099</v>
      </c>
      <c r="L1247" s="14">
        <f t="shared" si="38"/>
        <v>3.5252525252525246</v>
      </c>
      <c r="M1247" t="str">
        <f t="shared" si="39"/>
        <v>No</v>
      </c>
    </row>
    <row r="1248" spans="1:13" x14ac:dyDescent="0.25">
      <c r="A1248">
        <v>338384</v>
      </c>
      <c r="B1248" t="s">
        <v>3887</v>
      </c>
      <c r="C1248" t="s">
        <v>3888</v>
      </c>
      <c r="D1248" t="s">
        <v>6220</v>
      </c>
      <c r="E1248">
        <v>31.9</v>
      </c>
      <c r="F1248" t="s">
        <v>1681</v>
      </c>
      <c r="G1248" t="s">
        <v>3585</v>
      </c>
      <c r="H1248" t="s">
        <v>1682</v>
      </c>
      <c r="I1248" s="11">
        <v>46296</v>
      </c>
      <c r="J1248" s="12">
        <v>46296</v>
      </c>
      <c r="K1248" s="13">
        <f>INDEX(Assumptions!$B$4:$B$23,MATCH(F1248,Assumptions!$A$4:$A$23,0))</f>
        <v>0.10101010101010099</v>
      </c>
      <c r="L1248" s="14">
        <f t="shared" si="38"/>
        <v>3.2222222222222214</v>
      </c>
      <c r="M1248" t="str">
        <f t="shared" si="39"/>
        <v>No</v>
      </c>
    </row>
    <row r="1249" spans="1:13" x14ac:dyDescent="0.25">
      <c r="A1249">
        <v>338383</v>
      </c>
      <c r="B1249" t="s">
        <v>3707</v>
      </c>
      <c r="C1249" t="s">
        <v>3890</v>
      </c>
      <c r="D1249" t="s">
        <v>6220</v>
      </c>
      <c r="E1249">
        <v>22.1</v>
      </c>
      <c r="F1249" t="s">
        <v>1681</v>
      </c>
      <c r="G1249" t="s">
        <v>3585</v>
      </c>
      <c r="H1249" t="s">
        <v>1682</v>
      </c>
      <c r="I1249" s="11">
        <v>46296</v>
      </c>
      <c r="J1249" s="12">
        <v>46296</v>
      </c>
      <c r="K1249" s="13">
        <f>INDEX(Assumptions!$B$4:$B$23,MATCH(F1249,Assumptions!$A$4:$A$23,0))</f>
        <v>0.10101010101010099</v>
      </c>
      <c r="L1249" s="14">
        <f t="shared" si="38"/>
        <v>2.2323232323232323</v>
      </c>
      <c r="M1249" t="str">
        <f t="shared" si="39"/>
        <v>No</v>
      </c>
    </row>
    <row r="1250" spans="1:13" x14ac:dyDescent="0.25">
      <c r="A1250">
        <v>338385</v>
      </c>
      <c r="B1250" t="s">
        <v>3893</v>
      </c>
      <c r="C1250" t="s">
        <v>3894</v>
      </c>
      <c r="D1250" t="s">
        <v>6220</v>
      </c>
      <c r="E1250">
        <v>34.4</v>
      </c>
      <c r="F1250" t="s">
        <v>1681</v>
      </c>
      <c r="G1250" t="s">
        <v>3585</v>
      </c>
      <c r="H1250" t="s">
        <v>1682</v>
      </c>
      <c r="I1250" s="11">
        <v>46296</v>
      </c>
      <c r="J1250" s="12">
        <v>46296</v>
      </c>
      <c r="K1250" s="13">
        <f>INDEX(Assumptions!$B$4:$B$23,MATCH(F1250,Assumptions!$A$4:$A$23,0))</f>
        <v>0.10101010101010099</v>
      </c>
      <c r="L1250" s="14">
        <f t="shared" si="38"/>
        <v>3.474747474747474</v>
      </c>
      <c r="M1250" t="str">
        <f t="shared" si="39"/>
        <v>No</v>
      </c>
    </row>
    <row r="1251" spans="1:13" x14ac:dyDescent="0.25">
      <c r="A1251">
        <v>338382</v>
      </c>
      <c r="B1251" t="s">
        <v>3897</v>
      </c>
      <c r="C1251" t="s">
        <v>3898</v>
      </c>
      <c r="D1251" t="s">
        <v>6220</v>
      </c>
      <c r="E1251">
        <v>9.49</v>
      </c>
      <c r="F1251" t="s">
        <v>1722</v>
      </c>
      <c r="G1251" t="s">
        <v>2289</v>
      </c>
      <c r="H1251" t="s">
        <v>1723</v>
      </c>
      <c r="I1251" s="11">
        <v>46277</v>
      </c>
      <c r="J1251" s="12">
        <v>46266</v>
      </c>
      <c r="K1251" s="13">
        <f>INDEX(Assumptions!$B$4:$B$23,MATCH(F1251,Assumptions!$A$4:$A$23,0))</f>
        <v>1</v>
      </c>
      <c r="L1251" s="14">
        <f t="shared" si="38"/>
        <v>9.49</v>
      </c>
      <c r="M1251" t="str">
        <f t="shared" si="39"/>
        <v>No</v>
      </c>
    </row>
    <row r="1252" spans="1:13" x14ac:dyDescent="0.25">
      <c r="A1252">
        <v>338381</v>
      </c>
      <c r="B1252" t="s">
        <v>3901</v>
      </c>
      <c r="C1252" t="s">
        <v>3902</v>
      </c>
      <c r="D1252" t="s">
        <v>6220</v>
      </c>
      <c r="E1252">
        <v>9.99</v>
      </c>
      <c r="F1252" t="s">
        <v>1722</v>
      </c>
      <c r="G1252" t="s">
        <v>2289</v>
      </c>
      <c r="H1252" t="s">
        <v>1723</v>
      </c>
      <c r="I1252" s="11">
        <v>46277</v>
      </c>
      <c r="J1252" s="12">
        <v>46266</v>
      </c>
      <c r="K1252" s="13">
        <f>INDEX(Assumptions!$B$4:$B$23,MATCH(F1252,Assumptions!$A$4:$A$23,0))</f>
        <v>1</v>
      </c>
      <c r="L1252" s="14">
        <f t="shared" si="38"/>
        <v>9.99</v>
      </c>
      <c r="M1252" t="str">
        <f t="shared" si="39"/>
        <v>No</v>
      </c>
    </row>
    <row r="1253" spans="1:13" x14ac:dyDescent="0.25">
      <c r="A1253">
        <v>338380</v>
      </c>
      <c r="B1253" t="s">
        <v>3904</v>
      </c>
      <c r="C1253" t="s">
        <v>3905</v>
      </c>
      <c r="D1253" t="s">
        <v>6220</v>
      </c>
      <c r="E1253">
        <v>8.49</v>
      </c>
      <c r="F1253" t="s">
        <v>1722</v>
      </c>
      <c r="G1253" t="s">
        <v>2289</v>
      </c>
      <c r="H1253" t="s">
        <v>1723</v>
      </c>
      <c r="I1253" s="11">
        <v>46277</v>
      </c>
      <c r="J1253" s="12">
        <v>46266</v>
      </c>
      <c r="K1253" s="13">
        <f>INDEX(Assumptions!$B$4:$B$23,MATCH(F1253,Assumptions!$A$4:$A$23,0))</f>
        <v>1</v>
      </c>
      <c r="L1253" s="14">
        <f t="shared" si="38"/>
        <v>8.49</v>
      </c>
      <c r="M1253" t="str">
        <f t="shared" si="39"/>
        <v>No</v>
      </c>
    </row>
    <row r="1254" spans="1:13" x14ac:dyDescent="0.25">
      <c r="A1254">
        <v>338378</v>
      </c>
      <c r="B1254" t="s">
        <v>3907</v>
      </c>
      <c r="C1254" t="s">
        <v>3908</v>
      </c>
      <c r="D1254" t="s">
        <v>6220</v>
      </c>
      <c r="E1254">
        <v>9.49</v>
      </c>
      <c r="F1254" t="s">
        <v>1722</v>
      </c>
      <c r="G1254" t="s">
        <v>2289</v>
      </c>
      <c r="H1254" t="s">
        <v>1723</v>
      </c>
      <c r="I1254" s="11">
        <v>46277</v>
      </c>
      <c r="J1254" s="12">
        <v>46266</v>
      </c>
      <c r="K1254" s="13">
        <f>INDEX(Assumptions!$B$4:$B$23,MATCH(F1254,Assumptions!$A$4:$A$23,0))</f>
        <v>1</v>
      </c>
      <c r="L1254" s="14">
        <f t="shared" si="38"/>
        <v>9.49</v>
      </c>
      <c r="M1254" t="str">
        <f t="shared" si="39"/>
        <v>No</v>
      </c>
    </row>
    <row r="1255" spans="1:13" x14ac:dyDescent="0.25">
      <c r="A1255">
        <v>338379</v>
      </c>
      <c r="B1255" t="s">
        <v>3910</v>
      </c>
      <c r="C1255" t="s">
        <v>3911</v>
      </c>
      <c r="D1255" t="s">
        <v>6220</v>
      </c>
      <c r="E1255">
        <v>9.99</v>
      </c>
      <c r="F1255" t="s">
        <v>1722</v>
      </c>
      <c r="G1255" t="s">
        <v>2289</v>
      </c>
      <c r="H1255" t="s">
        <v>1723</v>
      </c>
      <c r="I1255" s="11">
        <v>46277</v>
      </c>
      <c r="J1255" s="12">
        <v>46266</v>
      </c>
      <c r="K1255" s="13">
        <f>INDEX(Assumptions!$B$4:$B$23,MATCH(F1255,Assumptions!$A$4:$A$23,0))</f>
        <v>1</v>
      </c>
      <c r="L1255" s="14">
        <f t="shared" si="38"/>
        <v>9.99</v>
      </c>
      <c r="M1255" t="str">
        <f t="shared" si="39"/>
        <v>No</v>
      </c>
    </row>
    <row r="1256" spans="1:13" x14ac:dyDescent="0.25">
      <c r="A1256">
        <v>338377</v>
      </c>
      <c r="B1256" t="s">
        <v>3913</v>
      </c>
      <c r="C1256" t="s">
        <v>3914</v>
      </c>
      <c r="D1256" t="s">
        <v>6220</v>
      </c>
      <c r="E1256">
        <v>12.49</v>
      </c>
      <c r="F1256" t="s">
        <v>1722</v>
      </c>
      <c r="G1256" t="s">
        <v>2289</v>
      </c>
      <c r="H1256" t="s">
        <v>1723</v>
      </c>
      <c r="I1256" s="11">
        <v>46277</v>
      </c>
      <c r="J1256" s="12">
        <v>46266</v>
      </c>
      <c r="K1256" s="13">
        <f>INDEX(Assumptions!$B$4:$B$23,MATCH(F1256,Assumptions!$A$4:$A$23,0))</f>
        <v>1</v>
      </c>
      <c r="L1256" s="14">
        <f t="shared" si="38"/>
        <v>12.49</v>
      </c>
      <c r="M1256" t="str">
        <f t="shared" si="39"/>
        <v>No</v>
      </c>
    </row>
    <row r="1257" spans="1:13" x14ac:dyDescent="0.25">
      <c r="A1257">
        <v>338375</v>
      </c>
      <c r="B1257" t="s">
        <v>3916</v>
      </c>
      <c r="C1257" t="s">
        <v>3917</v>
      </c>
      <c r="D1257" t="s">
        <v>6220</v>
      </c>
      <c r="E1257">
        <v>5.49</v>
      </c>
      <c r="F1257" t="s">
        <v>1722</v>
      </c>
      <c r="G1257" t="s">
        <v>2289</v>
      </c>
      <c r="H1257" t="s">
        <v>1723</v>
      </c>
      <c r="I1257" s="11">
        <v>46277</v>
      </c>
      <c r="J1257" s="12">
        <v>46266</v>
      </c>
      <c r="K1257" s="13">
        <f>INDEX(Assumptions!$B$4:$B$23,MATCH(F1257,Assumptions!$A$4:$A$23,0))</f>
        <v>1</v>
      </c>
      <c r="L1257" s="14">
        <f t="shared" si="38"/>
        <v>5.49</v>
      </c>
      <c r="M1257" t="str">
        <f t="shared" si="39"/>
        <v>No</v>
      </c>
    </row>
    <row r="1258" spans="1:13" x14ac:dyDescent="0.25">
      <c r="A1258">
        <v>338376</v>
      </c>
      <c r="B1258" t="s">
        <v>3919</v>
      </c>
      <c r="C1258" t="s">
        <v>3920</v>
      </c>
      <c r="D1258" t="s">
        <v>6220</v>
      </c>
      <c r="E1258">
        <v>9.99</v>
      </c>
      <c r="F1258" t="s">
        <v>1722</v>
      </c>
      <c r="G1258" t="s">
        <v>2289</v>
      </c>
      <c r="H1258" t="s">
        <v>1723</v>
      </c>
      <c r="I1258" s="11">
        <v>46277</v>
      </c>
      <c r="J1258" s="12">
        <v>46266</v>
      </c>
      <c r="K1258" s="13">
        <f>INDEX(Assumptions!$B$4:$B$23,MATCH(F1258,Assumptions!$A$4:$A$23,0))</f>
        <v>1</v>
      </c>
      <c r="L1258" s="14">
        <f t="shared" si="38"/>
        <v>9.99</v>
      </c>
      <c r="M1258" t="str">
        <f t="shared" si="39"/>
        <v>No</v>
      </c>
    </row>
    <row r="1259" spans="1:13" x14ac:dyDescent="0.25">
      <c r="A1259">
        <v>338374</v>
      </c>
      <c r="B1259" t="s">
        <v>3922</v>
      </c>
      <c r="C1259" t="s">
        <v>3923</v>
      </c>
      <c r="D1259" t="s">
        <v>6220</v>
      </c>
      <c r="E1259">
        <v>9.49</v>
      </c>
      <c r="F1259" t="s">
        <v>1722</v>
      </c>
      <c r="G1259" t="s">
        <v>2289</v>
      </c>
      <c r="H1259" t="s">
        <v>1723</v>
      </c>
      <c r="I1259" s="11">
        <v>46277</v>
      </c>
      <c r="J1259" s="12">
        <v>46266</v>
      </c>
      <c r="K1259" s="13">
        <f>INDEX(Assumptions!$B$4:$B$23,MATCH(F1259,Assumptions!$A$4:$A$23,0))</f>
        <v>1</v>
      </c>
      <c r="L1259" s="14">
        <f t="shared" si="38"/>
        <v>9.49</v>
      </c>
      <c r="M1259" t="str">
        <f t="shared" si="39"/>
        <v>No</v>
      </c>
    </row>
    <row r="1260" spans="1:13" x14ac:dyDescent="0.25">
      <c r="A1260">
        <v>338373</v>
      </c>
      <c r="B1260" t="s">
        <v>3925</v>
      </c>
      <c r="C1260" t="s">
        <v>3926</v>
      </c>
      <c r="D1260" t="s">
        <v>6220</v>
      </c>
      <c r="E1260">
        <v>6.99</v>
      </c>
      <c r="F1260" t="s">
        <v>1722</v>
      </c>
      <c r="G1260" t="s">
        <v>2289</v>
      </c>
      <c r="H1260" t="s">
        <v>1723</v>
      </c>
      <c r="I1260" s="11">
        <v>46277</v>
      </c>
      <c r="J1260" s="12">
        <v>46266</v>
      </c>
      <c r="K1260" s="13">
        <f>INDEX(Assumptions!$B$4:$B$23,MATCH(F1260,Assumptions!$A$4:$A$23,0))</f>
        <v>1</v>
      </c>
      <c r="L1260" s="14">
        <f t="shared" si="38"/>
        <v>6.99</v>
      </c>
      <c r="M1260" t="str">
        <f t="shared" si="39"/>
        <v>No</v>
      </c>
    </row>
    <row r="1261" spans="1:13" x14ac:dyDescent="0.25">
      <c r="A1261">
        <v>338372</v>
      </c>
      <c r="B1261" t="s">
        <v>3928</v>
      </c>
      <c r="C1261" t="s">
        <v>3929</v>
      </c>
      <c r="D1261" t="s">
        <v>6220</v>
      </c>
      <c r="E1261">
        <v>4.99</v>
      </c>
      <c r="F1261" t="s">
        <v>1722</v>
      </c>
      <c r="G1261" t="s">
        <v>2289</v>
      </c>
      <c r="H1261" t="s">
        <v>1723</v>
      </c>
      <c r="I1261" s="11">
        <v>46277</v>
      </c>
      <c r="J1261" s="12">
        <v>46266</v>
      </c>
      <c r="K1261" s="13">
        <f>INDEX(Assumptions!$B$4:$B$23,MATCH(F1261,Assumptions!$A$4:$A$23,0))</f>
        <v>1</v>
      </c>
      <c r="L1261" s="14">
        <f t="shared" si="38"/>
        <v>4.99</v>
      </c>
      <c r="M1261" t="str">
        <f t="shared" si="39"/>
        <v>No</v>
      </c>
    </row>
    <row r="1262" spans="1:13" x14ac:dyDescent="0.25">
      <c r="A1262">
        <v>338371</v>
      </c>
      <c r="B1262" t="s">
        <v>3931</v>
      </c>
      <c r="C1262" t="s">
        <v>3932</v>
      </c>
      <c r="D1262" t="s">
        <v>6220</v>
      </c>
      <c r="E1262">
        <v>6.99</v>
      </c>
      <c r="F1262" t="s">
        <v>1722</v>
      </c>
      <c r="G1262" t="s">
        <v>2289</v>
      </c>
      <c r="H1262" t="s">
        <v>1723</v>
      </c>
      <c r="I1262" s="11">
        <v>46277</v>
      </c>
      <c r="J1262" s="12">
        <v>46266</v>
      </c>
      <c r="K1262" s="13">
        <f>INDEX(Assumptions!$B$4:$B$23,MATCH(F1262,Assumptions!$A$4:$A$23,0))</f>
        <v>1</v>
      </c>
      <c r="L1262" s="14">
        <f t="shared" si="38"/>
        <v>6.99</v>
      </c>
      <c r="M1262" t="str">
        <f t="shared" si="39"/>
        <v>No</v>
      </c>
    </row>
    <row r="1263" spans="1:13" x14ac:dyDescent="0.25">
      <c r="A1263">
        <v>338370</v>
      </c>
      <c r="B1263" t="s">
        <v>3934</v>
      </c>
      <c r="C1263" t="s">
        <v>3935</v>
      </c>
      <c r="D1263" t="s">
        <v>6220</v>
      </c>
      <c r="E1263">
        <v>6.99</v>
      </c>
      <c r="F1263" t="s">
        <v>1722</v>
      </c>
      <c r="G1263" t="s">
        <v>2289</v>
      </c>
      <c r="H1263" t="s">
        <v>1723</v>
      </c>
      <c r="I1263" s="11">
        <v>46277</v>
      </c>
      <c r="J1263" s="12">
        <v>46266</v>
      </c>
      <c r="K1263" s="13">
        <f>INDEX(Assumptions!$B$4:$B$23,MATCH(F1263,Assumptions!$A$4:$A$23,0))</f>
        <v>1</v>
      </c>
      <c r="L1263" s="14">
        <f t="shared" si="38"/>
        <v>6.99</v>
      </c>
      <c r="M1263" t="str">
        <f t="shared" si="39"/>
        <v>No</v>
      </c>
    </row>
    <row r="1264" spans="1:13" x14ac:dyDescent="0.25">
      <c r="A1264">
        <v>338366</v>
      </c>
      <c r="B1264" t="s">
        <v>3937</v>
      </c>
      <c r="C1264" t="s">
        <v>3938</v>
      </c>
      <c r="D1264" t="s">
        <v>6220</v>
      </c>
      <c r="E1264">
        <v>4.99</v>
      </c>
      <c r="F1264" t="s">
        <v>1722</v>
      </c>
      <c r="G1264" t="s">
        <v>2289</v>
      </c>
      <c r="H1264" t="s">
        <v>1723</v>
      </c>
      <c r="I1264" s="11">
        <v>46277</v>
      </c>
      <c r="J1264" s="12">
        <v>46266</v>
      </c>
      <c r="K1264" s="13">
        <f>INDEX(Assumptions!$B$4:$B$23,MATCH(F1264,Assumptions!$A$4:$A$23,0))</f>
        <v>1</v>
      </c>
      <c r="L1264" s="14">
        <f t="shared" si="38"/>
        <v>4.99</v>
      </c>
      <c r="M1264" t="str">
        <f t="shared" si="39"/>
        <v>No</v>
      </c>
    </row>
    <row r="1265" spans="1:13" x14ac:dyDescent="0.25">
      <c r="A1265">
        <v>338365</v>
      </c>
      <c r="B1265" t="s">
        <v>3940</v>
      </c>
      <c r="C1265" t="s">
        <v>3941</v>
      </c>
      <c r="D1265" t="s">
        <v>6220</v>
      </c>
      <c r="E1265">
        <v>6.99</v>
      </c>
      <c r="F1265" t="s">
        <v>1722</v>
      </c>
      <c r="G1265" t="s">
        <v>2289</v>
      </c>
      <c r="H1265" t="s">
        <v>1723</v>
      </c>
      <c r="I1265" s="11">
        <v>46277</v>
      </c>
      <c r="J1265" s="12">
        <v>46266</v>
      </c>
      <c r="K1265" s="13">
        <f>INDEX(Assumptions!$B$4:$B$23,MATCH(F1265,Assumptions!$A$4:$A$23,0))</f>
        <v>1</v>
      </c>
      <c r="L1265" s="14">
        <f t="shared" si="38"/>
        <v>6.99</v>
      </c>
      <c r="M1265" t="str">
        <f t="shared" si="39"/>
        <v>No</v>
      </c>
    </row>
    <row r="1266" spans="1:13" x14ac:dyDescent="0.25">
      <c r="A1266">
        <v>338364</v>
      </c>
      <c r="B1266" t="s">
        <v>3943</v>
      </c>
      <c r="C1266" t="s">
        <v>3944</v>
      </c>
      <c r="D1266" t="s">
        <v>6220</v>
      </c>
      <c r="E1266">
        <v>6.99</v>
      </c>
      <c r="F1266" t="s">
        <v>1722</v>
      </c>
      <c r="G1266" t="s">
        <v>2289</v>
      </c>
      <c r="H1266" t="s">
        <v>1723</v>
      </c>
      <c r="I1266" s="11">
        <v>46277</v>
      </c>
      <c r="J1266" s="12">
        <v>46266</v>
      </c>
      <c r="K1266" s="13">
        <f>INDEX(Assumptions!$B$4:$B$23,MATCH(F1266,Assumptions!$A$4:$A$23,0))</f>
        <v>1</v>
      </c>
      <c r="L1266" s="14">
        <f t="shared" si="38"/>
        <v>6.99</v>
      </c>
      <c r="M1266" t="str">
        <f t="shared" si="39"/>
        <v>No</v>
      </c>
    </row>
    <row r="1267" spans="1:13" x14ac:dyDescent="0.25">
      <c r="A1267">
        <v>338363</v>
      </c>
      <c r="B1267" t="s">
        <v>3946</v>
      </c>
      <c r="C1267" t="s">
        <v>3947</v>
      </c>
      <c r="D1267" t="s">
        <v>6220</v>
      </c>
      <c r="E1267">
        <v>6.99</v>
      </c>
      <c r="F1267" t="s">
        <v>1722</v>
      </c>
      <c r="G1267" t="s">
        <v>2289</v>
      </c>
      <c r="H1267" t="s">
        <v>1723</v>
      </c>
      <c r="I1267" s="11">
        <v>46277</v>
      </c>
      <c r="J1267" s="12">
        <v>46266</v>
      </c>
      <c r="K1267" s="13">
        <f>INDEX(Assumptions!$B$4:$B$23,MATCH(F1267,Assumptions!$A$4:$A$23,0))</f>
        <v>1</v>
      </c>
      <c r="L1267" s="14">
        <f t="shared" si="38"/>
        <v>6.99</v>
      </c>
      <c r="M1267" t="str">
        <f t="shared" si="39"/>
        <v>No</v>
      </c>
    </row>
    <row r="1268" spans="1:13" x14ac:dyDescent="0.25">
      <c r="A1268">
        <v>338368</v>
      </c>
      <c r="B1268" t="s">
        <v>3949</v>
      </c>
      <c r="C1268" t="s">
        <v>3950</v>
      </c>
      <c r="D1268" t="s">
        <v>6220</v>
      </c>
      <c r="E1268">
        <v>6.99</v>
      </c>
      <c r="F1268" t="s">
        <v>1722</v>
      </c>
      <c r="G1268" t="s">
        <v>2289</v>
      </c>
      <c r="H1268" t="s">
        <v>1723</v>
      </c>
      <c r="I1268" s="11">
        <v>46277</v>
      </c>
      <c r="J1268" s="12">
        <v>46266</v>
      </c>
      <c r="K1268" s="13">
        <f>INDEX(Assumptions!$B$4:$B$23,MATCH(F1268,Assumptions!$A$4:$A$23,0))</f>
        <v>1</v>
      </c>
      <c r="L1268" s="14">
        <f t="shared" si="38"/>
        <v>6.99</v>
      </c>
      <c r="M1268" t="str">
        <f t="shared" si="39"/>
        <v>No</v>
      </c>
    </row>
    <row r="1269" spans="1:13" x14ac:dyDescent="0.25">
      <c r="A1269">
        <v>338367</v>
      </c>
      <c r="B1269" t="s">
        <v>3952</v>
      </c>
      <c r="C1269" t="s">
        <v>3953</v>
      </c>
      <c r="D1269" t="s">
        <v>6220</v>
      </c>
      <c r="E1269">
        <v>6.99</v>
      </c>
      <c r="F1269" t="s">
        <v>1722</v>
      </c>
      <c r="G1269" t="s">
        <v>2289</v>
      </c>
      <c r="H1269" t="s">
        <v>1723</v>
      </c>
      <c r="I1269" s="11">
        <v>46277</v>
      </c>
      <c r="J1269" s="12">
        <v>46266</v>
      </c>
      <c r="K1269" s="13">
        <f>INDEX(Assumptions!$B$4:$B$23,MATCH(F1269,Assumptions!$A$4:$A$23,0))</f>
        <v>1</v>
      </c>
      <c r="L1269" s="14">
        <f t="shared" si="38"/>
        <v>6.99</v>
      </c>
      <c r="M1269" t="str">
        <f t="shared" si="39"/>
        <v>No</v>
      </c>
    </row>
    <row r="1270" spans="1:13" x14ac:dyDescent="0.25">
      <c r="A1270">
        <v>338369</v>
      </c>
      <c r="B1270" t="s">
        <v>3955</v>
      </c>
      <c r="C1270" t="s">
        <v>3956</v>
      </c>
      <c r="D1270" t="s">
        <v>6220</v>
      </c>
      <c r="E1270">
        <v>6.99</v>
      </c>
      <c r="F1270" t="s">
        <v>1722</v>
      </c>
      <c r="G1270" t="s">
        <v>2289</v>
      </c>
      <c r="H1270" t="s">
        <v>1723</v>
      </c>
      <c r="I1270" s="11">
        <v>46277</v>
      </c>
      <c r="J1270" s="12">
        <v>46266</v>
      </c>
      <c r="K1270" s="13">
        <f>INDEX(Assumptions!$B$4:$B$23,MATCH(F1270,Assumptions!$A$4:$A$23,0))</f>
        <v>1</v>
      </c>
      <c r="L1270" s="14">
        <f t="shared" si="38"/>
        <v>6.99</v>
      </c>
      <c r="M1270" t="str">
        <f t="shared" si="39"/>
        <v>No</v>
      </c>
    </row>
    <row r="1271" spans="1:13" x14ac:dyDescent="0.25">
      <c r="A1271">
        <v>338362</v>
      </c>
      <c r="B1271" t="s">
        <v>3958</v>
      </c>
      <c r="C1271" t="s">
        <v>3959</v>
      </c>
      <c r="D1271" t="s">
        <v>6220</v>
      </c>
      <c r="E1271">
        <v>6.99</v>
      </c>
      <c r="F1271" t="s">
        <v>1722</v>
      </c>
      <c r="G1271" t="s">
        <v>2289</v>
      </c>
      <c r="H1271" t="s">
        <v>1723</v>
      </c>
      <c r="I1271" s="11">
        <v>46277</v>
      </c>
      <c r="J1271" s="12">
        <v>46266</v>
      </c>
      <c r="K1271" s="13">
        <f>INDEX(Assumptions!$B$4:$B$23,MATCH(F1271,Assumptions!$A$4:$A$23,0))</f>
        <v>1</v>
      </c>
      <c r="L1271" s="14">
        <f t="shared" si="38"/>
        <v>6.99</v>
      </c>
      <c r="M1271" t="str">
        <f t="shared" si="39"/>
        <v>No</v>
      </c>
    </row>
    <row r="1272" spans="1:13" x14ac:dyDescent="0.25">
      <c r="A1272">
        <v>338361</v>
      </c>
      <c r="B1272" t="s">
        <v>3961</v>
      </c>
      <c r="C1272" t="s">
        <v>3962</v>
      </c>
      <c r="D1272" t="s">
        <v>6220</v>
      </c>
      <c r="E1272">
        <v>4.99</v>
      </c>
      <c r="F1272" t="s">
        <v>1722</v>
      </c>
      <c r="G1272" t="s">
        <v>3963</v>
      </c>
      <c r="H1272" t="s">
        <v>1723</v>
      </c>
      <c r="I1272" s="11">
        <v>46060</v>
      </c>
      <c r="J1272" s="12">
        <v>46054</v>
      </c>
      <c r="K1272" s="13">
        <f>INDEX(Assumptions!$B$4:$B$23,MATCH(F1272,Assumptions!$A$4:$A$23,0))</f>
        <v>1</v>
      </c>
      <c r="L1272" s="14">
        <f t="shared" si="38"/>
        <v>4.99</v>
      </c>
      <c r="M1272" t="str">
        <f t="shared" si="39"/>
        <v>No</v>
      </c>
    </row>
    <row r="1273" spans="1:13" x14ac:dyDescent="0.25">
      <c r="A1273">
        <v>338360</v>
      </c>
      <c r="B1273" t="s">
        <v>3966</v>
      </c>
      <c r="C1273" t="s">
        <v>3967</v>
      </c>
      <c r="D1273" t="s">
        <v>6220</v>
      </c>
      <c r="E1273">
        <v>1.39</v>
      </c>
      <c r="F1273" t="s">
        <v>1722</v>
      </c>
      <c r="G1273" t="s">
        <v>3963</v>
      </c>
      <c r="H1273" t="s">
        <v>1723</v>
      </c>
      <c r="I1273" s="11">
        <v>46060</v>
      </c>
      <c r="J1273" s="12">
        <v>46054</v>
      </c>
      <c r="K1273" s="13">
        <f>INDEX(Assumptions!$B$4:$B$23,MATCH(F1273,Assumptions!$A$4:$A$23,0))</f>
        <v>1</v>
      </c>
      <c r="L1273" s="14">
        <f t="shared" si="38"/>
        <v>1.39</v>
      </c>
      <c r="M1273" t="str">
        <f t="shared" si="39"/>
        <v>No</v>
      </c>
    </row>
    <row r="1274" spans="1:13" x14ac:dyDescent="0.25">
      <c r="A1274">
        <v>338359</v>
      </c>
      <c r="B1274" t="s">
        <v>3969</v>
      </c>
      <c r="C1274" t="s">
        <v>3970</v>
      </c>
      <c r="D1274" t="s">
        <v>6220</v>
      </c>
      <c r="E1274">
        <v>1.39</v>
      </c>
      <c r="F1274" t="s">
        <v>1722</v>
      </c>
      <c r="G1274" t="s">
        <v>3963</v>
      </c>
      <c r="H1274" t="s">
        <v>1723</v>
      </c>
      <c r="I1274" s="11">
        <v>46060</v>
      </c>
      <c r="J1274" s="12">
        <v>46054</v>
      </c>
      <c r="K1274" s="13">
        <f>INDEX(Assumptions!$B$4:$B$23,MATCH(F1274,Assumptions!$A$4:$A$23,0))</f>
        <v>1</v>
      </c>
      <c r="L1274" s="14">
        <f t="shared" si="38"/>
        <v>1.39</v>
      </c>
      <c r="M1274" t="str">
        <f t="shared" si="39"/>
        <v>No</v>
      </c>
    </row>
    <row r="1275" spans="1:13" x14ac:dyDescent="0.25">
      <c r="A1275">
        <v>338358</v>
      </c>
      <c r="B1275" t="s">
        <v>3972</v>
      </c>
      <c r="C1275" t="s">
        <v>3973</v>
      </c>
      <c r="D1275" t="s">
        <v>6220</v>
      </c>
      <c r="E1275">
        <v>3.99</v>
      </c>
      <c r="F1275" t="s">
        <v>1722</v>
      </c>
      <c r="G1275" t="s">
        <v>3963</v>
      </c>
      <c r="H1275" t="s">
        <v>1723</v>
      </c>
      <c r="I1275" s="11">
        <v>46060</v>
      </c>
      <c r="J1275" s="12">
        <v>46054</v>
      </c>
      <c r="K1275" s="13">
        <f>INDEX(Assumptions!$B$4:$B$23,MATCH(F1275,Assumptions!$A$4:$A$23,0))</f>
        <v>1</v>
      </c>
      <c r="L1275" s="14">
        <f t="shared" si="38"/>
        <v>3.99</v>
      </c>
      <c r="M1275" t="str">
        <f t="shared" si="39"/>
        <v>No</v>
      </c>
    </row>
    <row r="1276" spans="1:13" x14ac:dyDescent="0.25">
      <c r="A1276">
        <v>338357</v>
      </c>
      <c r="B1276" t="s">
        <v>3975</v>
      </c>
      <c r="C1276" t="s">
        <v>3976</v>
      </c>
      <c r="D1276" t="s">
        <v>6220</v>
      </c>
      <c r="E1276">
        <v>6.99</v>
      </c>
      <c r="F1276" t="s">
        <v>1722</v>
      </c>
      <c r="G1276" t="s">
        <v>3963</v>
      </c>
      <c r="H1276" t="s">
        <v>1723</v>
      </c>
      <c r="I1276" s="11">
        <v>46060</v>
      </c>
      <c r="J1276" s="12">
        <v>46054</v>
      </c>
      <c r="K1276" s="13">
        <f>INDEX(Assumptions!$B$4:$B$23,MATCH(F1276,Assumptions!$A$4:$A$23,0))</f>
        <v>1</v>
      </c>
      <c r="L1276" s="14">
        <f t="shared" si="38"/>
        <v>6.99</v>
      </c>
      <c r="M1276" t="str">
        <f t="shared" si="39"/>
        <v>No</v>
      </c>
    </row>
    <row r="1277" spans="1:13" x14ac:dyDescent="0.25">
      <c r="A1277">
        <v>338356</v>
      </c>
      <c r="B1277" t="s">
        <v>3978</v>
      </c>
      <c r="C1277" t="s">
        <v>3979</v>
      </c>
      <c r="D1277" t="s">
        <v>6220</v>
      </c>
      <c r="E1277">
        <v>6.99</v>
      </c>
      <c r="F1277" t="s">
        <v>1722</v>
      </c>
      <c r="G1277" t="s">
        <v>3963</v>
      </c>
      <c r="H1277" t="s">
        <v>1723</v>
      </c>
      <c r="I1277" s="11">
        <v>46060</v>
      </c>
      <c r="J1277" s="12">
        <v>46054</v>
      </c>
      <c r="K1277" s="13">
        <f>INDEX(Assumptions!$B$4:$B$23,MATCH(F1277,Assumptions!$A$4:$A$23,0))</f>
        <v>1</v>
      </c>
      <c r="L1277" s="14">
        <f t="shared" si="38"/>
        <v>6.99</v>
      </c>
      <c r="M1277" t="str">
        <f t="shared" si="39"/>
        <v>No</v>
      </c>
    </row>
    <row r="1278" spans="1:13" x14ac:dyDescent="0.25">
      <c r="A1278">
        <v>338355</v>
      </c>
      <c r="B1278" t="s">
        <v>3981</v>
      </c>
      <c r="C1278" t="s">
        <v>3982</v>
      </c>
      <c r="D1278" t="s">
        <v>6220</v>
      </c>
      <c r="E1278">
        <v>10.99</v>
      </c>
      <c r="F1278" t="s">
        <v>1722</v>
      </c>
      <c r="G1278" t="s">
        <v>3963</v>
      </c>
      <c r="H1278" t="s">
        <v>1723</v>
      </c>
      <c r="I1278" s="11">
        <v>46060</v>
      </c>
      <c r="J1278" s="12">
        <v>46054</v>
      </c>
      <c r="K1278" s="13">
        <f>INDEX(Assumptions!$B$4:$B$23,MATCH(F1278,Assumptions!$A$4:$A$23,0))</f>
        <v>1</v>
      </c>
      <c r="L1278" s="14">
        <f t="shared" si="38"/>
        <v>10.99</v>
      </c>
      <c r="M1278" t="str">
        <f t="shared" si="39"/>
        <v>No</v>
      </c>
    </row>
    <row r="1279" spans="1:13" x14ac:dyDescent="0.25">
      <c r="A1279">
        <v>338354</v>
      </c>
      <c r="B1279" t="s">
        <v>3984</v>
      </c>
      <c r="C1279" t="s">
        <v>3985</v>
      </c>
      <c r="D1279" t="s">
        <v>6220</v>
      </c>
      <c r="E1279">
        <v>5.99</v>
      </c>
      <c r="F1279" t="s">
        <v>1722</v>
      </c>
      <c r="G1279" t="s">
        <v>3963</v>
      </c>
      <c r="H1279" t="s">
        <v>1723</v>
      </c>
      <c r="I1279" s="11">
        <v>46060</v>
      </c>
      <c r="J1279" s="12">
        <v>46054</v>
      </c>
      <c r="K1279" s="13">
        <f>INDEX(Assumptions!$B$4:$B$23,MATCH(F1279,Assumptions!$A$4:$A$23,0))</f>
        <v>1</v>
      </c>
      <c r="L1279" s="14">
        <f t="shared" si="38"/>
        <v>5.99</v>
      </c>
      <c r="M1279" t="str">
        <f t="shared" si="39"/>
        <v>No</v>
      </c>
    </row>
    <row r="1280" spans="1:13" x14ac:dyDescent="0.25">
      <c r="A1280">
        <v>338353</v>
      </c>
      <c r="B1280" t="s">
        <v>3987</v>
      </c>
      <c r="C1280" t="s">
        <v>3988</v>
      </c>
      <c r="D1280" t="s">
        <v>6220</v>
      </c>
      <c r="E1280">
        <v>6.99</v>
      </c>
      <c r="F1280" t="s">
        <v>1722</v>
      </c>
      <c r="G1280" t="s">
        <v>3963</v>
      </c>
      <c r="H1280" t="s">
        <v>1723</v>
      </c>
      <c r="I1280" s="11">
        <v>46060</v>
      </c>
      <c r="J1280" s="12">
        <v>46054</v>
      </c>
      <c r="K1280" s="13">
        <f>INDEX(Assumptions!$B$4:$B$23,MATCH(F1280,Assumptions!$A$4:$A$23,0))</f>
        <v>1</v>
      </c>
      <c r="L1280" s="14">
        <f t="shared" si="38"/>
        <v>6.99</v>
      </c>
      <c r="M1280" t="str">
        <f t="shared" si="39"/>
        <v>No</v>
      </c>
    </row>
    <row r="1281" spans="1:13" x14ac:dyDescent="0.25">
      <c r="A1281">
        <v>338352</v>
      </c>
      <c r="B1281" t="s">
        <v>3990</v>
      </c>
      <c r="C1281" t="s">
        <v>3991</v>
      </c>
      <c r="D1281" t="s">
        <v>6220</v>
      </c>
      <c r="E1281">
        <v>5.99</v>
      </c>
      <c r="F1281" t="s">
        <v>1722</v>
      </c>
      <c r="G1281" t="s">
        <v>3963</v>
      </c>
      <c r="H1281" t="s">
        <v>1723</v>
      </c>
      <c r="I1281" s="11">
        <v>46060</v>
      </c>
      <c r="J1281" s="12">
        <v>46054</v>
      </c>
      <c r="K1281" s="13">
        <f>INDEX(Assumptions!$B$4:$B$23,MATCH(F1281,Assumptions!$A$4:$A$23,0))</f>
        <v>1</v>
      </c>
      <c r="L1281" s="14">
        <f t="shared" si="38"/>
        <v>5.99</v>
      </c>
      <c r="M1281" t="str">
        <f t="shared" si="39"/>
        <v>No</v>
      </c>
    </row>
    <row r="1282" spans="1:13" x14ac:dyDescent="0.25">
      <c r="A1282">
        <v>338351</v>
      </c>
      <c r="B1282" t="s">
        <v>3993</v>
      </c>
      <c r="C1282" t="s">
        <v>3994</v>
      </c>
      <c r="D1282" t="s">
        <v>6220</v>
      </c>
      <c r="E1282">
        <v>3.99</v>
      </c>
      <c r="F1282" t="s">
        <v>1722</v>
      </c>
      <c r="G1282" t="s">
        <v>3963</v>
      </c>
      <c r="H1282" t="s">
        <v>1723</v>
      </c>
      <c r="I1282" s="11">
        <v>46060</v>
      </c>
      <c r="J1282" s="12">
        <v>46054</v>
      </c>
      <c r="K1282" s="13">
        <f>INDEX(Assumptions!$B$4:$B$23,MATCH(F1282,Assumptions!$A$4:$A$23,0))</f>
        <v>1</v>
      </c>
      <c r="L1282" s="14">
        <f t="shared" ref="L1282:L1345" si="40">E1282*K1282</f>
        <v>3.99</v>
      </c>
      <c r="M1282" t="str">
        <f t="shared" ref="M1282:M1345" si="41">IF(C1282="Unnamed product","Yes","No")</f>
        <v>No</v>
      </c>
    </row>
    <row r="1283" spans="1:13" x14ac:dyDescent="0.25">
      <c r="A1283">
        <v>338350</v>
      </c>
      <c r="B1283" t="s">
        <v>3996</v>
      </c>
      <c r="C1283" t="s">
        <v>3997</v>
      </c>
      <c r="D1283" t="s">
        <v>6220</v>
      </c>
      <c r="E1283">
        <v>4.99</v>
      </c>
      <c r="F1283" t="s">
        <v>1722</v>
      </c>
      <c r="G1283" t="s">
        <v>3963</v>
      </c>
      <c r="H1283" t="s">
        <v>1723</v>
      </c>
      <c r="I1283" s="11">
        <v>46060</v>
      </c>
      <c r="J1283" s="12">
        <v>46054</v>
      </c>
      <c r="K1283" s="13">
        <f>INDEX(Assumptions!$B$4:$B$23,MATCH(F1283,Assumptions!$A$4:$A$23,0))</f>
        <v>1</v>
      </c>
      <c r="L1283" s="14">
        <f t="shared" si="40"/>
        <v>4.99</v>
      </c>
      <c r="M1283" t="str">
        <f t="shared" si="41"/>
        <v>No</v>
      </c>
    </row>
    <row r="1284" spans="1:13" x14ac:dyDescent="0.25">
      <c r="A1284">
        <v>338349</v>
      </c>
      <c r="B1284" t="s">
        <v>3999</v>
      </c>
      <c r="C1284" t="s">
        <v>4000</v>
      </c>
      <c r="D1284" t="s">
        <v>6220</v>
      </c>
      <c r="E1284">
        <v>5.99</v>
      </c>
      <c r="F1284" t="s">
        <v>1722</v>
      </c>
      <c r="G1284" t="s">
        <v>3963</v>
      </c>
      <c r="H1284" t="s">
        <v>1723</v>
      </c>
      <c r="I1284" s="11">
        <v>46060</v>
      </c>
      <c r="J1284" s="12">
        <v>46054</v>
      </c>
      <c r="K1284" s="13">
        <f>INDEX(Assumptions!$B$4:$B$23,MATCH(F1284,Assumptions!$A$4:$A$23,0))</f>
        <v>1</v>
      </c>
      <c r="L1284" s="14">
        <f t="shared" si="40"/>
        <v>5.99</v>
      </c>
      <c r="M1284" t="str">
        <f t="shared" si="41"/>
        <v>No</v>
      </c>
    </row>
    <row r="1285" spans="1:13" x14ac:dyDescent="0.25">
      <c r="A1285">
        <v>338347</v>
      </c>
      <c r="B1285" t="s">
        <v>4002</v>
      </c>
      <c r="C1285" t="s">
        <v>4003</v>
      </c>
      <c r="D1285" t="s">
        <v>6220</v>
      </c>
      <c r="E1285">
        <v>3.99</v>
      </c>
      <c r="F1285" t="s">
        <v>1722</v>
      </c>
      <c r="G1285" t="s">
        <v>3963</v>
      </c>
      <c r="H1285" t="s">
        <v>1723</v>
      </c>
      <c r="I1285" s="11">
        <v>46060</v>
      </c>
      <c r="J1285" s="12">
        <v>46054</v>
      </c>
      <c r="K1285" s="13">
        <f>INDEX(Assumptions!$B$4:$B$23,MATCH(F1285,Assumptions!$A$4:$A$23,0))</f>
        <v>1</v>
      </c>
      <c r="L1285" s="14">
        <f t="shared" si="40"/>
        <v>3.99</v>
      </c>
      <c r="M1285" t="str">
        <f t="shared" si="41"/>
        <v>No</v>
      </c>
    </row>
    <row r="1286" spans="1:13" x14ac:dyDescent="0.25">
      <c r="A1286">
        <v>338348</v>
      </c>
      <c r="B1286" t="s">
        <v>4005</v>
      </c>
      <c r="C1286" t="s">
        <v>4006</v>
      </c>
      <c r="D1286" t="s">
        <v>6220</v>
      </c>
      <c r="E1286">
        <v>4.49</v>
      </c>
      <c r="F1286" t="s">
        <v>1722</v>
      </c>
      <c r="G1286" t="s">
        <v>3963</v>
      </c>
      <c r="H1286" t="s">
        <v>1723</v>
      </c>
      <c r="I1286" s="11">
        <v>46060</v>
      </c>
      <c r="J1286" s="12">
        <v>46054</v>
      </c>
      <c r="K1286" s="13">
        <f>INDEX(Assumptions!$B$4:$B$23,MATCH(F1286,Assumptions!$A$4:$A$23,0))</f>
        <v>1</v>
      </c>
      <c r="L1286" s="14">
        <f t="shared" si="40"/>
        <v>4.49</v>
      </c>
      <c r="M1286" t="str">
        <f t="shared" si="41"/>
        <v>No</v>
      </c>
    </row>
    <row r="1287" spans="1:13" x14ac:dyDescent="0.25">
      <c r="A1287">
        <v>338346</v>
      </c>
      <c r="B1287" t="s">
        <v>3281</v>
      </c>
      <c r="C1287" t="s">
        <v>6221</v>
      </c>
      <c r="D1287" t="s">
        <v>6220</v>
      </c>
      <c r="E1287">
        <v>21.67</v>
      </c>
      <c r="F1287" t="s">
        <v>123</v>
      </c>
      <c r="G1287" t="s">
        <v>125</v>
      </c>
      <c r="H1287" t="s">
        <v>124</v>
      </c>
      <c r="I1287" s="11">
        <v>46271</v>
      </c>
      <c r="J1287" s="12">
        <v>46266</v>
      </c>
      <c r="K1287" s="13">
        <f>INDEX(Assumptions!$B$4:$B$23,MATCH(F1287,Assumptions!$A$4:$A$23,0))</f>
        <v>0.10526315789473679</v>
      </c>
      <c r="L1287" s="14">
        <f t="shared" si="40"/>
        <v>2.2810526315789463</v>
      </c>
      <c r="M1287" t="str">
        <f t="shared" si="41"/>
        <v>Yes</v>
      </c>
    </row>
    <row r="1288" spans="1:13" x14ac:dyDescent="0.25">
      <c r="A1288">
        <v>338345</v>
      </c>
      <c r="B1288" t="s">
        <v>4009</v>
      </c>
      <c r="C1288" t="s">
        <v>6221</v>
      </c>
      <c r="D1288" t="s">
        <v>6220</v>
      </c>
      <c r="E1288">
        <v>28.29</v>
      </c>
      <c r="F1288" t="s">
        <v>123</v>
      </c>
      <c r="G1288" t="s">
        <v>125</v>
      </c>
      <c r="H1288" t="s">
        <v>124</v>
      </c>
      <c r="I1288" s="11">
        <v>46271</v>
      </c>
      <c r="J1288" s="12">
        <v>46266</v>
      </c>
      <c r="K1288" s="13">
        <f>INDEX(Assumptions!$B$4:$B$23,MATCH(F1288,Assumptions!$A$4:$A$23,0))</f>
        <v>0.10526315789473679</v>
      </c>
      <c r="L1288" s="14">
        <f t="shared" si="40"/>
        <v>2.9778947368421038</v>
      </c>
      <c r="M1288" t="str">
        <f t="shared" si="41"/>
        <v>Yes</v>
      </c>
    </row>
    <row r="1289" spans="1:13" x14ac:dyDescent="0.25">
      <c r="A1289">
        <v>338344</v>
      </c>
      <c r="B1289" t="s">
        <v>4011</v>
      </c>
      <c r="C1289" t="s">
        <v>4012</v>
      </c>
      <c r="D1289" t="s">
        <v>6220</v>
      </c>
      <c r="E1289">
        <v>19.989999999999998</v>
      </c>
      <c r="F1289" t="s">
        <v>1722</v>
      </c>
      <c r="G1289" t="s">
        <v>2289</v>
      </c>
      <c r="H1289" t="s">
        <v>1723</v>
      </c>
      <c r="I1289" s="11">
        <v>46277</v>
      </c>
      <c r="J1289" s="12">
        <v>46266</v>
      </c>
      <c r="K1289" s="13">
        <f>INDEX(Assumptions!$B$4:$B$23,MATCH(F1289,Assumptions!$A$4:$A$23,0))</f>
        <v>1</v>
      </c>
      <c r="L1289" s="14">
        <f t="shared" si="40"/>
        <v>19.989999999999998</v>
      </c>
      <c r="M1289" t="str">
        <f t="shared" si="41"/>
        <v>No</v>
      </c>
    </row>
    <row r="1290" spans="1:13" x14ac:dyDescent="0.25">
      <c r="A1290">
        <v>338342</v>
      </c>
      <c r="B1290" t="s">
        <v>4014</v>
      </c>
      <c r="C1290" t="s">
        <v>4015</v>
      </c>
      <c r="D1290" t="s">
        <v>6220</v>
      </c>
      <c r="E1290">
        <v>13.99</v>
      </c>
      <c r="F1290" t="s">
        <v>1722</v>
      </c>
      <c r="G1290" t="s">
        <v>2289</v>
      </c>
      <c r="H1290" t="s">
        <v>1723</v>
      </c>
      <c r="I1290" s="11">
        <v>46277</v>
      </c>
      <c r="J1290" s="12">
        <v>46266</v>
      </c>
      <c r="K1290" s="13">
        <f>INDEX(Assumptions!$B$4:$B$23,MATCH(F1290,Assumptions!$A$4:$A$23,0))</f>
        <v>1</v>
      </c>
      <c r="L1290" s="14">
        <f t="shared" si="40"/>
        <v>13.99</v>
      </c>
      <c r="M1290" t="str">
        <f t="shared" si="41"/>
        <v>No</v>
      </c>
    </row>
    <row r="1291" spans="1:13" x14ac:dyDescent="0.25">
      <c r="A1291">
        <v>338343</v>
      </c>
      <c r="B1291" t="s">
        <v>4017</v>
      </c>
      <c r="C1291" t="s">
        <v>4018</v>
      </c>
      <c r="D1291" t="s">
        <v>6220</v>
      </c>
      <c r="E1291">
        <v>7.49</v>
      </c>
      <c r="F1291" t="s">
        <v>1722</v>
      </c>
      <c r="G1291" t="s">
        <v>2289</v>
      </c>
      <c r="H1291" t="s">
        <v>1723</v>
      </c>
      <c r="I1291" s="11">
        <v>46277</v>
      </c>
      <c r="J1291" s="12">
        <v>46266</v>
      </c>
      <c r="K1291" s="13">
        <f>INDEX(Assumptions!$B$4:$B$23,MATCH(F1291,Assumptions!$A$4:$A$23,0))</f>
        <v>1</v>
      </c>
      <c r="L1291" s="14">
        <f t="shared" si="40"/>
        <v>7.49</v>
      </c>
      <c r="M1291" t="str">
        <f t="shared" si="41"/>
        <v>No</v>
      </c>
    </row>
    <row r="1292" spans="1:13" x14ac:dyDescent="0.25">
      <c r="A1292">
        <v>338341</v>
      </c>
      <c r="B1292" t="s">
        <v>4020</v>
      </c>
      <c r="C1292" t="s">
        <v>4021</v>
      </c>
      <c r="D1292" t="s">
        <v>6220</v>
      </c>
      <c r="E1292">
        <v>7.49</v>
      </c>
      <c r="F1292" t="s">
        <v>1722</v>
      </c>
      <c r="G1292" t="s">
        <v>2289</v>
      </c>
      <c r="H1292" t="s">
        <v>1723</v>
      </c>
      <c r="I1292" s="11">
        <v>46277</v>
      </c>
      <c r="J1292" s="12">
        <v>46266</v>
      </c>
      <c r="K1292" s="13">
        <f>INDEX(Assumptions!$B$4:$B$23,MATCH(F1292,Assumptions!$A$4:$A$23,0))</f>
        <v>1</v>
      </c>
      <c r="L1292" s="14">
        <f t="shared" si="40"/>
        <v>7.49</v>
      </c>
      <c r="M1292" t="str">
        <f t="shared" si="41"/>
        <v>No</v>
      </c>
    </row>
    <row r="1293" spans="1:13" x14ac:dyDescent="0.25">
      <c r="A1293">
        <v>338340</v>
      </c>
      <c r="B1293" t="s">
        <v>4023</v>
      </c>
      <c r="C1293" t="s">
        <v>4024</v>
      </c>
      <c r="D1293" t="s">
        <v>6220</v>
      </c>
      <c r="E1293">
        <v>9.99</v>
      </c>
      <c r="F1293" t="s">
        <v>1722</v>
      </c>
      <c r="G1293" t="s">
        <v>2289</v>
      </c>
      <c r="H1293" t="s">
        <v>1723</v>
      </c>
      <c r="I1293" s="11">
        <v>46277</v>
      </c>
      <c r="J1293" s="12">
        <v>46266</v>
      </c>
      <c r="K1293" s="13">
        <f>INDEX(Assumptions!$B$4:$B$23,MATCH(F1293,Assumptions!$A$4:$A$23,0))</f>
        <v>1</v>
      </c>
      <c r="L1293" s="14">
        <f t="shared" si="40"/>
        <v>9.99</v>
      </c>
      <c r="M1293" t="str">
        <f t="shared" si="41"/>
        <v>No</v>
      </c>
    </row>
    <row r="1294" spans="1:13" x14ac:dyDescent="0.25">
      <c r="A1294">
        <v>338339</v>
      </c>
      <c r="B1294" t="s">
        <v>4026</v>
      </c>
      <c r="C1294" t="s">
        <v>4027</v>
      </c>
      <c r="D1294" t="s">
        <v>6220</v>
      </c>
      <c r="E1294">
        <v>7.49</v>
      </c>
      <c r="F1294" t="s">
        <v>1722</v>
      </c>
      <c r="G1294" t="s">
        <v>2289</v>
      </c>
      <c r="H1294" t="s">
        <v>1723</v>
      </c>
      <c r="I1294" s="11">
        <v>46277</v>
      </c>
      <c r="J1294" s="12">
        <v>46266</v>
      </c>
      <c r="K1294" s="13">
        <f>INDEX(Assumptions!$B$4:$B$23,MATCH(F1294,Assumptions!$A$4:$A$23,0))</f>
        <v>1</v>
      </c>
      <c r="L1294" s="14">
        <f t="shared" si="40"/>
        <v>7.49</v>
      </c>
      <c r="M1294" t="str">
        <f t="shared" si="41"/>
        <v>No</v>
      </c>
    </row>
    <row r="1295" spans="1:13" x14ac:dyDescent="0.25">
      <c r="A1295">
        <v>338338</v>
      </c>
      <c r="B1295" t="s">
        <v>4029</v>
      </c>
      <c r="C1295" t="s">
        <v>4030</v>
      </c>
      <c r="D1295" t="s">
        <v>6220</v>
      </c>
      <c r="E1295">
        <v>7.49</v>
      </c>
      <c r="F1295" t="s">
        <v>1722</v>
      </c>
      <c r="G1295" t="s">
        <v>2289</v>
      </c>
      <c r="H1295" t="s">
        <v>1723</v>
      </c>
      <c r="I1295" s="11">
        <v>46277</v>
      </c>
      <c r="J1295" s="12">
        <v>46266</v>
      </c>
      <c r="K1295" s="13">
        <f>INDEX(Assumptions!$B$4:$B$23,MATCH(F1295,Assumptions!$A$4:$A$23,0))</f>
        <v>1</v>
      </c>
      <c r="L1295" s="14">
        <f t="shared" si="40"/>
        <v>7.49</v>
      </c>
      <c r="M1295" t="str">
        <f t="shared" si="41"/>
        <v>No</v>
      </c>
    </row>
    <row r="1296" spans="1:13" x14ac:dyDescent="0.25">
      <c r="A1296">
        <v>338337</v>
      </c>
      <c r="B1296" t="s">
        <v>4032</v>
      </c>
      <c r="C1296" t="s">
        <v>4033</v>
      </c>
      <c r="D1296" t="s">
        <v>6220</v>
      </c>
      <c r="E1296">
        <v>7.49</v>
      </c>
      <c r="F1296" t="s">
        <v>1722</v>
      </c>
      <c r="G1296" t="s">
        <v>2289</v>
      </c>
      <c r="H1296" t="s">
        <v>1723</v>
      </c>
      <c r="I1296" s="11">
        <v>46277</v>
      </c>
      <c r="J1296" s="12">
        <v>46266</v>
      </c>
      <c r="K1296" s="13">
        <f>INDEX(Assumptions!$B$4:$B$23,MATCH(F1296,Assumptions!$A$4:$A$23,0))</f>
        <v>1</v>
      </c>
      <c r="L1296" s="14">
        <f t="shared" si="40"/>
        <v>7.49</v>
      </c>
      <c r="M1296" t="str">
        <f t="shared" si="41"/>
        <v>No</v>
      </c>
    </row>
    <row r="1297" spans="1:13" x14ac:dyDescent="0.25">
      <c r="A1297">
        <v>338336</v>
      </c>
      <c r="B1297" t="s">
        <v>4035</v>
      </c>
      <c r="C1297" t="s">
        <v>4036</v>
      </c>
      <c r="D1297" t="s">
        <v>6220</v>
      </c>
      <c r="E1297">
        <v>7.49</v>
      </c>
      <c r="F1297" t="s">
        <v>1722</v>
      </c>
      <c r="G1297" t="s">
        <v>2289</v>
      </c>
      <c r="H1297" t="s">
        <v>1723</v>
      </c>
      <c r="I1297" s="11">
        <v>46277</v>
      </c>
      <c r="J1297" s="12">
        <v>46266</v>
      </c>
      <c r="K1297" s="13">
        <f>INDEX(Assumptions!$B$4:$B$23,MATCH(F1297,Assumptions!$A$4:$A$23,0))</f>
        <v>1</v>
      </c>
      <c r="L1297" s="14">
        <f t="shared" si="40"/>
        <v>7.49</v>
      </c>
      <c r="M1297" t="str">
        <f t="shared" si="41"/>
        <v>No</v>
      </c>
    </row>
    <row r="1298" spans="1:13" x14ac:dyDescent="0.25">
      <c r="A1298">
        <v>338335</v>
      </c>
      <c r="B1298" t="s">
        <v>4038</v>
      </c>
      <c r="C1298" t="s">
        <v>4039</v>
      </c>
      <c r="D1298" t="s">
        <v>6220</v>
      </c>
      <c r="E1298">
        <v>19.989999999999998</v>
      </c>
      <c r="F1298" t="s">
        <v>1722</v>
      </c>
      <c r="G1298" t="s">
        <v>2289</v>
      </c>
      <c r="H1298" t="s">
        <v>1723</v>
      </c>
      <c r="I1298" s="11">
        <v>46277</v>
      </c>
      <c r="J1298" s="12">
        <v>46266</v>
      </c>
      <c r="K1298" s="13">
        <f>INDEX(Assumptions!$B$4:$B$23,MATCH(F1298,Assumptions!$A$4:$A$23,0))</f>
        <v>1</v>
      </c>
      <c r="L1298" s="14">
        <f t="shared" si="40"/>
        <v>19.989999999999998</v>
      </c>
      <c r="M1298" t="str">
        <f t="shared" si="41"/>
        <v>No</v>
      </c>
    </row>
    <row r="1299" spans="1:13" x14ac:dyDescent="0.25">
      <c r="A1299">
        <v>338334</v>
      </c>
      <c r="B1299" t="s">
        <v>4041</v>
      </c>
      <c r="C1299" t="s">
        <v>4042</v>
      </c>
      <c r="D1299" t="s">
        <v>6220</v>
      </c>
      <c r="E1299">
        <v>3.99</v>
      </c>
      <c r="F1299" t="s">
        <v>1722</v>
      </c>
      <c r="G1299" t="s">
        <v>4043</v>
      </c>
      <c r="H1299" t="s">
        <v>1723</v>
      </c>
      <c r="I1299" s="11">
        <v>46292</v>
      </c>
      <c r="J1299" s="12">
        <v>46266</v>
      </c>
      <c r="K1299" s="13">
        <f>INDEX(Assumptions!$B$4:$B$23,MATCH(F1299,Assumptions!$A$4:$A$23,0))</f>
        <v>1</v>
      </c>
      <c r="L1299" s="14">
        <f t="shared" si="40"/>
        <v>3.99</v>
      </c>
      <c r="M1299" t="str">
        <f t="shared" si="41"/>
        <v>No</v>
      </c>
    </row>
    <row r="1300" spans="1:13" x14ac:dyDescent="0.25">
      <c r="A1300">
        <v>338333</v>
      </c>
      <c r="B1300" t="s">
        <v>4046</v>
      </c>
      <c r="C1300" t="s">
        <v>4047</v>
      </c>
      <c r="D1300" t="s">
        <v>6220</v>
      </c>
      <c r="E1300">
        <v>3.99</v>
      </c>
      <c r="F1300" t="s">
        <v>1722</v>
      </c>
      <c r="G1300" t="s">
        <v>4043</v>
      </c>
      <c r="H1300" t="s">
        <v>1723</v>
      </c>
      <c r="I1300" s="11">
        <v>46292</v>
      </c>
      <c r="J1300" s="12">
        <v>46266</v>
      </c>
      <c r="K1300" s="13">
        <f>INDEX(Assumptions!$B$4:$B$23,MATCH(F1300,Assumptions!$A$4:$A$23,0))</f>
        <v>1</v>
      </c>
      <c r="L1300" s="14">
        <f t="shared" si="40"/>
        <v>3.99</v>
      </c>
      <c r="M1300" t="str">
        <f t="shared" si="41"/>
        <v>No</v>
      </c>
    </row>
    <row r="1301" spans="1:13" x14ac:dyDescent="0.25">
      <c r="A1301">
        <v>338332</v>
      </c>
      <c r="B1301" t="s">
        <v>2352</v>
      </c>
      <c r="C1301" t="s">
        <v>4049</v>
      </c>
      <c r="D1301" t="s">
        <v>6220</v>
      </c>
      <c r="E1301">
        <v>3.99</v>
      </c>
      <c r="F1301" t="s">
        <v>1722</v>
      </c>
      <c r="G1301" t="s">
        <v>4043</v>
      </c>
      <c r="H1301" t="s">
        <v>1723</v>
      </c>
      <c r="I1301" s="11">
        <v>46292</v>
      </c>
      <c r="J1301" s="12">
        <v>46266</v>
      </c>
      <c r="K1301" s="13">
        <f>INDEX(Assumptions!$B$4:$B$23,MATCH(F1301,Assumptions!$A$4:$A$23,0))</f>
        <v>1</v>
      </c>
      <c r="L1301" s="14">
        <f t="shared" si="40"/>
        <v>3.99</v>
      </c>
      <c r="M1301" t="str">
        <f t="shared" si="41"/>
        <v>No</v>
      </c>
    </row>
    <row r="1302" spans="1:13" x14ac:dyDescent="0.25">
      <c r="A1302">
        <v>338331</v>
      </c>
      <c r="B1302" t="s">
        <v>4051</v>
      </c>
      <c r="C1302" t="s">
        <v>4052</v>
      </c>
      <c r="D1302" t="s">
        <v>6220</v>
      </c>
      <c r="E1302">
        <v>6.09</v>
      </c>
      <c r="F1302" t="s">
        <v>1722</v>
      </c>
      <c r="G1302" t="s">
        <v>4043</v>
      </c>
      <c r="H1302" t="s">
        <v>1723</v>
      </c>
      <c r="I1302" s="11">
        <v>46292</v>
      </c>
      <c r="J1302" s="12">
        <v>46266</v>
      </c>
      <c r="K1302" s="13">
        <f>INDEX(Assumptions!$B$4:$B$23,MATCH(F1302,Assumptions!$A$4:$A$23,0))</f>
        <v>1</v>
      </c>
      <c r="L1302" s="14">
        <f t="shared" si="40"/>
        <v>6.09</v>
      </c>
      <c r="M1302" t="str">
        <f t="shared" si="41"/>
        <v>No</v>
      </c>
    </row>
    <row r="1303" spans="1:13" x14ac:dyDescent="0.25">
      <c r="A1303">
        <v>338330</v>
      </c>
      <c r="B1303" t="s">
        <v>4055</v>
      </c>
      <c r="C1303" t="s">
        <v>4056</v>
      </c>
      <c r="D1303" t="s">
        <v>6220</v>
      </c>
      <c r="E1303">
        <v>3.99</v>
      </c>
      <c r="F1303" t="s">
        <v>1722</v>
      </c>
      <c r="G1303" t="s">
        <v>4043</v>
      </c>
      <c r="H1303" t="s">
        <v>1723</v>
      </c>
      <c r="I1303" s="11">
        <v>46292</v>
      </c>
      <c r="J1303" s="12">
        <v>46266</v>
      </c>
      <c r="K1303" s="13">
        <f>INDEX(Assumptions!$B$4:$B$23,MATCH(F1303,Assumptions!$A$4:$A$23,0))</f>
        <v>1</v>
      </c>
      <c r="L1303" s="14">
        <f t="shared" si="40"/>
        <v>3.99</v>
      </c>
      <c r="M1303" t="str">
        <f t="shared" si="41"/>
        <v>No</v>
      </c>
    </row>
    <row r="1304" spans="1:13" x14ac:dyDescent="0.25">
      <c r="A1304">
        <v>338329</v>
      </c>
      <c r="B1304" t="s">
        <v>4058</v>
      </c>
      <c r="C1304" t="s">
        <v>4059</v>
      </c>
      <c r="D1304" t="s">
        <v>6220</v>
      </c>
      <c r="E1304">
        <v>3.99</v>
      </c>
      <c r="F1304" t="s">
        <v>1722</v>
      </c>
      <c r="G1304" t="s">
        <v>4043</v>
      </c>
      <c r="H1304" t="s">
        <v>1723</v>
      </c>
      <c r="I1304" s="11">
        <v>46292</v>
      </c>
      <c r="J1304" s="12">
        <v>46266</v>
      </c>
      <c r="K1304" s="13">
        <f>INDEX(Assumptions!$B$4:$B$23,MATCH(F1304,Assumptions!$A$4:$A$23,0))</f>
        <v>1</v>
      </c>
      <c r="L1304" s="14">
        <f t="shared" si="40"/>
        <v>3.99</v>
      </c>
      <c r="M1304" t="str">
        <f t="shared" si="41"/>
        <v>No</v>
      </c>
    </row>
    <row r="1305" spans="1:13" x14ac:dyDescent="0.25">
      <c r="A1305">
        <v>338328</v>
      </c>
      <c r="B1305" t="s">
        <v>4061</v>
      </c>
      <c r="C1305" t="s">
        <v>4062</v>
      </c>
      <c r="D1305" t="s">
        <v>6220</v>
      </c>
      <c r="E1305">
        <v>3.99</v>
      </c>
      <c r="F1305" t="s">
        <v>1722</v>
      </c>
      <c r="G1305" t="s">
        <v>4043</v>
      </c>
      <c r="H1305" t="s">
        <v>1723</v>
      </c>
      <c r="I1305" s="11">
        <v>46292</v>
      </c>
      <c r="J1305" s="12">
        <v>46266</v>
      </c>
      <c r="K1305" s="13">
        <f>INDEX(Assumptions!$B$4:$B$23,MATCH(F1305,Assumptions!$A$4:$A$23,0))</f>
        <v>1</v>
      </c>
      <c r="L1305" s="14">
        <f t="shared" si="40"/>
        <v>3.99</v>
      </c>
      <c r="M1305" t="str">
        <f t="shared" si="41"/>
        <v>No</v>
      </c>
    </row>
    <row r="1306" spans="1:13" x14ac:dyDescent="0.25">
      <c r="A1306">
        <v>338327</v>
      </c>
      <c r="B1306" t="s">
        <v>4064</v>
      </c>
      <c r="C1306" t="s">
        <v>4065</v>
      </c>
      <c r="D1306" t="s">
        <v>6220</v>
      </c>
      <c r="E1306">
        <v>3.99</v>
      </c>
      <c r="F1306" t="s">
        <v>1722</v>
      </c>
      <c r="G1306" t="s">
        <v>4043</v>
      </c>
      <c r="H1306" t="s">
        <v>1723</v>
      </c>
      <c r="I1306" s="11">
        <v>46292</v>
      </c>
      <c r="J1306" s="12">
        <v>46266</v>
      </c>
      <c r="K1306" s="13">
        <f>INDEX(Assumptions!$B$4:$B$23,MATCH(F1306,Assumptions!$A$4:$A$23,0))</f>
        <v>1</v>
      </c>
      <c r="L1306" s="14">
        <f t="shared" si="40"/>
        <v>3.99</v>
      </c>
      <c r="M1306" t="str">
        <f t="shared" si="41"/>
        <v>No</v>
      </c>
    </row>
    <row r="1307" spans="1:13" x14ac:dyDescent="0.25">
      <c r="A1307">
        <v>338325</v>
      </c>
      <c r="B1307" t="s">
        <v>4067</v>
      </c>
      <c r="C1307" t="s">
        <v>4068</v>
      </c>
      <c r="D1307" t="s">
        <v>6220</v>
      </c>
      <c r="E1307">
        <v>3.99</v>
      </c>
      <c r="F1307" t="s">
        <v>1722</v>
      </c>
      <c r="G1307" t="s">
        <v>4043</v>
      </c>
      <c r="H1307" t="s">
        <v>1723</v>
      </c>
      <c r="I1307" s="11">
        <v>46292</v>
      </c>
      <c r="J1307" s="12">
        <v>46266</v>
      </c>
      <c r="K1307" s="13">
        <f>INDEX(Assumptions!$B$4:$B$23,MATCH(F1307,Assumptions!$A$4:$A$23,0))</f>
        <v>1</v>
      </c>
      <c r="L1307" s="14">
        <f t="shared" si="40"/>
        <v>3.99</v>
      </c>
      <c r="M1307" t="str">
        <f t="shared" si="41"/>
        <v>No</v>
      </c>
    </row>
    <row r="1308" spans="1:13" x14ac:dyDescent="0.25">
      <c r="A1308">
        <v>338326</v>
      </c>
      <c r="B1308" t="s">
        <v>4070</v>
      </c>
      <c r="C1308" t="s">
        <v>4071</v>
      </c>
      <c r="D1308" t="s">
        <v>6220</v>
      </c>
      <c r="E1308">
        <v>3.99</v>
      </c>
      <c r="F1308" t="s">
        <v>1722</v>
      </c>
      <c r="G1308" t="s">
        <v>4043</v>
      </c>
      <c r="H1308" t="s">
        <v>1723</v>
      </c>
      <c r="I1308" s="11">
        <v>46292</v>
      </c>
      <c r="J1308" s="12">
        <v>46266</v>
      </c>
      <c r="K1308" s="13">
        <f>INDEX(Assumptions!$B$4:$B$23,MATCH(F1308,Assumptions!$A$4:$A$23,0))</f>
        <v>1</v>
      </c>
      <c r="L1308" s="14">
        <f t="shared" si="40"/>
        <v>3.99</v>
      </c>
      <c r="M1308" t="str">
        <f t="shared" si="41"/>
        <v>No</v>
      </c>
    </row>
    <row r="1309" spans="1:13" x14ac:dyDescent="0.25">
      <c r="A1309">
        <v>338324</v>
      </c>
      <c r="B1309" t="s">
        <v>4073</v>
      </c>
      <c r="C1309" t="s">
        <v>4074</v>
      </c>
      <c r="D1309" t="s">
        <v>6220</v>
      </c>
      <c r="E1309">
        <v>3.99</v>
      </c>
      <c r="F1309" t="s">
        <v>1722</v>
      </c>
      <c r="G1309" t="s">
        <v>4043</v>
      </c>
      <c r="H1309" t="s">
        <v>1723</v>
      </c>
      <c r="I1309" s="11">
        <v>46292</v>
      </c>
      <c r="J1309" s="12">
        <v>46266</v>
      </c>
      <c r="K1309" s="13">
        <f>INDEX(Assumptions!$B$4:$B$23,MATCH(F1309,Assumptions!$A$4:$A$23,0))</f>
        <v>1</v>
      </c>
      <c r="L1309" s="14">
        <f t="shared" si="40"/>
        <v>3.99</v>
      </c>
      <c r="M1309" t="str">
        <f t="shared" si="41"/>
        <v>No</v>
      </c>
    </row>
    <row r="1310" spans="1:13" x14ac:dyDescent="0.25">
      <c r="A1310">
        <v>338323</v>
      </c>
      <c r="B1310" t="s">
        <v>4076</v>
      </c>
      <c r="C1310" t="s">
        <v>4077</v>
      </c>
      <c r="D1310" t="s">
        <v>6220</v>
      </c>
      <c r="E1310">
        <v>5.99</v>
      </c>
      <c r="F1310" t="s">
        <v>1722</v>
      </c>
      <c r="G1310" t="s">
        <v>4043</v>
      </c>
      <c r="H1310" t="s">
        <v>1723</v>
      </c>
      <c r="I1310" s="11">
        <v>46292</v>
      </c>
      <c r="J1310" s="12">
        <v>46266</v>
      </c>
      <c r="K1310" s="13">
        <f>INDEX(Assumptions!$B$4:$B$23,MATCH(F1310,Assumptions!$A$4:$A$23,0))</f>
        <v>1</v>
      </c>
      <c r="L1310" s="14">
        <f t="shared" si="40"/>
        <v>5.99</v>
      </c>
      <c r="M1310" t="str">
        <f t="shared" si="41"/>
        <v>No</v>
      </c>
    </row>
    <row r="1311" spans="1:13" x14ac:dyDescent="0.25">
      <c r="A1311">
        <v>338321</v>
      </c>
      <c r="B1311" t="s">
        <v>4079</v>
      </c>
      <c r="C1311" t="s">
        <v>4080</v>
      </c>
      <c r="D1311" t="s">
        <v>6220</v>
      </c>
      <c r="E1311">
        <v>6.99</v>
      </c>
      <c r="F1311" t="s">
        <v>1722</v>
      </c>
      <c r="G1311" t="s">
        <v>4043</v>
      </c>
      <c r="H1311" t="s">
        <v>1723</v>
      </c>
      <c r="I1311" s="11">
        <v>46292</v>
      </c>
      <c r="J1311" s="12">
        <v>46266</v>
      </c>
      <c r="K1311" s="13">
        <f>INDEX(Assumptions!$B$4:$B$23,MATCH(F1311,Assumptions!$A$4:$A$23,0))</f>
        <v>1</v>
      </c>
      <c r="L1311" s="14">
        <f t="shared" si="40"/>
        <v>6.99</v>
      </c>
      <c r="M1311" t="str">
        <f t="shared" si="41"/>
        <v>No</v>
      </c>
    </row>
    <row r="1312" spans="1:13" x14ac:dyDescent="0.25">
      <c r="A1312">
        <v>338322</v>
      </c>
      <c r="B1312" t="s">
        <v>4082</v>
      </c>
      <c r="C1312" t="s">
        <v>4083</v>
      </c>
      <c r="D1312" t="s">
        <v>6220</v>
      </c>
      <c r="E1312">
        <v>5.99</v>
      </c>
      <c r="F1312" t="s">
        <v>1722</v>
      </c>
      <c r="G1312" t="s">
        <v>4043</v>
      </c>
      <c r="H1312" t="s">
        <v>1723</v>
      </c>
      <c r="I1312" s="11">
        <v>46292</v>
      </c>
      <c r="J1312" s="12">
        <v>46266</v>
      </c>
      <c r="K1312" s="13">
        <f>INDEX(Assumptions!$B$4:$B$23,MATCH(F1312,Assumptions!$A$4:$A$23,0))</f>
        <v>1</v>
      </c>
      <c r="L1312" s="14">
        <f t="shared" si="40"/>
        <v>5.99</v>
      </c>
      <c r="M1312" t="str">
        <f t="shared" si="41"/>
        <v>No</v>
      </c>
    </row>
    <row r="1313" spans="1:13" x14ac:dyDescent="0.25">
      <c r="A1313">
        <v>338320</v>
      </c>
      <c r="B1313" t="s">
        <v>2346</v>
      </c>
      <c r="C1313" t="s">
        <v>4085</v>
      </c>
      <c r="D1313" t="s">
        <v>6220</v>
      </c>
      <c r="E1313">
        <v>3.99</v>
      </c>
      <c r="F1313" t="s">
        <v>1722</v>
      </c>
      <c r="G1313" t="s">
        <v>4043</v>
      </c>
      <c r="H1313" t="s">
        <v>1723</v>
      </c>
      <c r="I1313" s="11">
        <v>46292</v>
      </c>
      <c r="J1313" s="12">
        <v>46266</v>
      </c>
      <c r="K1313" s="13">
        <f>INDEX(Assumptions!$B$4:$B$23,MATCH(F1313,Assumptions!$A$4:$A$23,0))</f>
        <v>1</v>
      </c>
      <c r="L1313" s="14">
        <f t="shared" si="40"/>
        <v>3.99</v>
      </c>
      <c r="M1313" t="str">
        <f t="shared" si="41"/>
        <v>No</v>
      </c>
    </row>
    <row r="1314" spans="1:13" x14ac:dyDescent="0.25">
      <c r="A1314">
        <v>338319</v>
      </c>
      <c r="B1314" t="s">
        <v>4087</v>
      </c>
      <c r="C1314" t="s">
        <v>4088</v>
      </c>
      <c r="D1314" t="s">
        <v>6220</v>
      </c>
      <c r="E1314">
        <v>3.99</v>
      </c>
      <c r="F1314" t="s">
        <v>1722</v>
      </c>
      <c r="G1314" t="s">
        <v>4043</v>
      </c>
      <c r="H1314" t="s">
        <v>1723</v>
      </c>
      <c r="I1314" s="11">
        <v>46292</v>
      </c>
      <c r="J1314" s="12">
        <v>46266</v>
      </c>
      <c r="K1314" s="13">
        <f>INDEX(Assumptions!$B$4:$B$23,MATCH(F1314,Assumptions!$A$4:$A$23,0))</f>
        <v>1</v>
      </c>
      <c r="L1314" s="14">
        <f t="shared" si="40"/>
        <v>3.99</v>
      </c>
      <c r="M1314" t="str">
        <f t="shared" si="41"/>
        <v>No</v>
      </c>
    </row>
    <row r="1315" spans="1:13" x14ac:dyDescent="0.25">
      <c r="A1315">
        <v>338318</v>
      </c>
      <c r="B1315" t="s">
        <v>4090</v>
      </c>
      <c r="C1315" t="s">
        <v>4091</v>
      </c>
      <c r="D1315" t="s">
        <v>6220</v>
      </c>
      <c r="E1315">
        <v>3.99</v>
      </c>
      <c r="F1315" t="s">
        <v>1722</v>
      </c>
      <c r="G1315" t="s">
        <v>4043</v>
      </c>
      <c r="H1315" t="s">
        <v>1723</v>
      </c>
      <c r="I1315" s="11">
        <v>46292</v>
      </c>
      <c r="J1315" s="12">
        <v>46266</v>
      </c>
      <c r="K1315" s="13">
        <f>INDEX(Assumptions!$B$4:$B$23,MATCH(F1315,Assumptions!$A$4:$A$23,0))</f>
        <v>1</v>
      </c>
      <c r="L1315" s="14">
        <f t="shared" si="40"/>
        <v>3.99</v>
      </c>
      <c r="M1315" t="str">
        <f t="shared" si="41"/>
        <v>No</v>
      </c>
    </row>
    <row r="1316" spans="1:13" x14ac:dyDescent="0.25">
      <c r="A1316">
        <v>338317</v>
      </c>
      <c r="B1316" t="s">
        <v>4093</v>
      </c>
      <c r="C1316" t="s">
        <v>4094</v>
      </c>
      <c r="D1316" t="s">
        <v>6220</v>
      </c>
      <c r="E1316">
        <v>3.99</v>
      </c>
      <c r="F1316" t="s">
        <v>1722</v>
      </c>
      <c r="G1316" t="s">
        <v>4043</v>
      </c>
      <c r="H1316" t="s">
        <v>1723</v>
      </c>
      <c r="I1316" s="11">
        <v>46292</v>
      </c>
      <c r="J1316" s="12">
        <v>46266</v>
      </c>
      <c r="K1316" s="13">
        <f>INDEX(Assumptions!$B$4:$B$23,MATCH(F1316,Assumptions!$A$4:$A$23,0))</f>
        <v>1</v>
      </c>
      <c r="L1316" s="14">
        <f t="shared" si="40"/>
        <v>3.99</v>
      </c>
      <c r="M1316" t="str">
        <f t="shared" si="41"/>
        <v>No</v>
      </c>
    </row>
    <row r="1317" spans="1:13" x14ac:dyDescent="0.25">
      <c r="A1317">
        <v>338316</v>
      </c>
      <c r="B1317" t="s">
        <v>4096</v>
      </c>
      <c r="C1317" t="s">
        <v>4097</v>
      </c>
      <c r="D1317" t="s">
        <v>6220</v>
      </c>
      <c r="E1317">
        <v>3.99</v>
      </c>
      <c r="F1317" t="s">
        <v>1722</v>
      </c>
      <c r="G1317" t="s">
        <v>4043</v>
      </c>
      <c r="H1317" t="s">
        <v>1723</v>
      </c>
      <c r="I1317" s="11">
        <v>46292</v>
      </c>
      <c r="J1317" s="12">
        <v>46266</v>
      </c>
      <c r="K1317" s="13">
        <f>INDEX(Assumptions!$B$4:$B$23,MATCH(F1317,Assumptions!$A$4:$A$23,0))</f>
        <v>1</v>
      </c>
      <c r="L1317" s="14">
        <f t="shared" si="40"/>
        <v>3.99</v>
      </c>
      <c r="M1317" t="str">
        <f t="shared" si="41"/>
        <v>No</v>
      </c>
    </row>
    <row r="1318" spans="1:13" x14ac:dyDescent="0.25">
      <c r="A1318">
        <v>338315</v>
      </c>
      <c r="B1318" t="s">
        <v>2340</v>
      </c>
      <c r="C1318" t="s">
        <v>4099</v>
      </c>
      <c r="D1318" t="s">
        <v>6220</v>
      </c>
      <c r="E1318">
        <v>3.99</v>
      </c>
      <c r="F1318" t="s">
        <v>1722</v>
      </c>
      <c r="G1318" t="s">
        <v>4043</v>
      </c>
      <c r="H1318" t="s">
        <v>1723</v>
      </c>
      <c r="I1318" s="11">
        <v>46292</v>
      </c>
      <c r="J1318" s="12">
        <v>46266</v>
      </c>
      <c r="K1318" s="13">
        <f>INDEX(Assumptions!$B$4:$B$23,MATCH(F1318,Assumptions!$A$4:$A$23,0))</f>
        <v>1</v>
      </c>
      <c r="L1318" s="14">
        <f t="shared" si="40"/>
        <v>3.99</v>
      </c>
      <c r="M1318" t="str">
        <f t="shared" si="41"/>
        <v>No</v>
      </c>
    </row>
    <row r="1319" spans="1:13" x14ac:dyDescent="0.25">
      <c r="A1319">
        <v>338314</v>
      </c>
      <c r="B1319" t="s">
        <v>3284</v>
      </c>
      <c r="C1319" t="s">
        <v>6221</v>
      </c>
      <c r="D1319" t="s">
        <v>6220</v>
      </c>
      <c r="E1319">
        <v>39.9</v>
      </c>
      <c r="F1319" t="s">
        <v>123</v>
      </c>
      <c r="G1319" t="s">
        <v>125</v>
      </c>
      <c r="H1319" t="s">
        <v>124</v>
      </c>
      <c r="I1319" s="11">
        <v>46271</v>
      </c>
      <c r="J1319" s="12">
        <v>46266</v>
      </c>
      <c r="K1319" s="13">
        <f>INDEX(Assumptions!$B$4:$B$23,MATCH(F1319,Assumptions!$A$4:$A$23,0))</f>
        <v>0.10526315789473679</v>
      </c>
      <c r="L1319" s="14">
        <f t="shared" si="40"/>
        <v>4.1999999999999975</v>
      </c>
      <c r="M1319" t="str">
        <f t="shared" si="41"/>
        <v>Yes</v>
      </c>
    </row>
    <row r="1320" spans="1:13" x14ac:dyDescent="0.25">
      <c r="A1320">
        <v>338313</v>
      </c>
      <c r="B1320" t="s">
        <v>4102</v>
      </c>
      <c r="C1320" t="s">
        <v>6221</v>
      </c>
      <c r="D1320" t="s">
        <v>6220</v>
      </c>
      <c r="E1320">
        <v>6.67</v>
      </c>
      <c r="F1320" t="s">
        <v>123</v>
      </c>
      <c r="G1320" t="s">
        <v>125</v>
      </c>
      <c r="H1320" t="s">
        <v>124</v>
      </c>
      <c r="I1320" s="11">
        <v>46271</v>
      </c>
      <c r="J1320" s="12">
        <v>46266</v>
      </c>
      <c r="K1320" s="13">
        <f>INDEX(Assumptions!$B$4:$B$23,MATCH(F1320,Assumptions!$A$4:$A$23,0))</f>
        <v>0.10526315789473679</v>
      </c>
      <c r="L1320" s="14">
        <f t="shared" si="40"/>
        <v>0.70210526315789445</v>
      </c>
      <c r="M1320" t="str">
        <f t="shared" si="41"/>
        <v>Yes</v>
      </c>
    </row>
    <row r="1321" spans="1:13" x14ac:dyDescent="0.25">
      <c r="A1321">
        <v>338312</v>
      </c>
      <c r="B1321" t="s">
        <v>4105</v>
      </c>
      <c r="C1321" t="s">
        <v>6221</v>
      </c>
      <c r="D1321" t="s">
        <v>6220</v>
      </c>
      <c r="E1321">
        <v>6.67</v>
      </c>
      <c r="F1321" t="s">
        <v>123</v>
      </c>
      <c r="G1321" t="s">
        <v>125</v>
      </c>
      <c r="H1321" t="s">
        <v>124</v>
      </c>
      <c r="I1321" s="11">
        <v>46271</v>
      </c>
      <c r="J1321" s="12">
        <v>46266</v>
      </c>
      <c r="K1321" s="13">
        <f>INDEX(Assumptions!$B$4:$B$23,MATCH(F1321,Assumptions!$A$4:$A$23,0))</f>
        <v>0.10526315789473679</v>
      </c>
      <c r="L1321" s="14">
        <f t="shared" si="40"/>
        <v>0.70210526315789445</v>
      </c>
      <c r="M1321" t="str">
        <f t="shared" si="41"/>
        <v>Yes</v>
      </c>
    </row>
    <row r="1322" spans="1:13" x14ac:dyDescent="0.25">
      <c r="A1322">
        <v>338311</v>
      </c>
      <c r="B1322" t="s">
        <v>4107</v>
      </c>
      <c r="C1322" t="s">
        <v>4108</v>
      </c>
      <c r="D1322" t="s">
        <v>6220</v>
      </c>
      <c r="E1322">
        <v>19.440000000000001</v>
      </c>
      <c r="F1322" t="s">
        <v>1722</v>
      </c>
      <c r="G1322" t="s">
        <v>4110</v>
      </c>
      <c r="H1322" t="s">
        <v>1723</v>
      </c>
      <c r="I1322" s="11">
        <v>46292</v>
      </c>
      <c r="J1322" s="12">
        <v>46266</v>
      </c>
      <c r="K1322" s="13">
        <f>INDEX(Assumptions!$B$4:$B$23,MATCH(F1322,Assumptions!$A$4:$A$23,0))</f>
        <v>1</v>
      </c>
      <c r="L1322" s="14">
        <f t="shared" si="40"/>
        <v>19.440000000000001</v>
      </c>
      <c r="M1322" t="str">
        <f t="shared" si="41"/>
        <v>No</v>
      </c>
    </row>
    <row r="1323" spans="1:13" x14ac:dyDescent="0.25">
      <c r="A1323">
        <v>338309</v>
      </c>
      <c r="B1323" t="s">
        <v>4112</v>
      </c>
      <c r="C1323" t="s">
        <v>4113</v>
      </c>
      <c r="D1323" t="s">
        <v>6220</v>
      </c>
      <c r="E1323">
        <v>6.82</v>
      </c>
      <c r="F1323" t="s">
        <v>1722</v>
      </c>
      <c r="G1323" t="s">
        <v>4110</v>
      </c>
      <c r="H1323" t="s">
        <v>1723</v>
      </c>
      <c r="I1323" s="11">
        <v>46292</v>
      </c>
      <c r="J1323" s="12">
        <v>46266</v>
      </c>
      <c r="K1323" s="13">
        <f>INDEX(Assumptions!$B$4:$B$23,MATCH(F1323,Assumptions!$A$4:$A$23,0))</f>
        <v>1</v>
      </c>
      <c r="L1323" s="14">
        <f t="shared" si="40"/>
        <v>6.82</v>
      </c>
      <c r="M1323" t="str">
        <f t="shared" si="41"/>
        <v>No</v>
      </c>
    </row>
    <row r="1324" spans="1:13" x14ac:dyDescent="0.25">
      <c r="A1324">
        <v>338310</v>
      </c>
      <c r="B1324" t="s">
        <v>4116</v>
      </c>
      <c r="C1324" t="s">
        <v>4117</v>
      </c>
      <c r="D1324" t="s">
        <v>6220</v>
      </c>
      <c r="E1324">
        <v>19.88</v>
      </c>
      <c r="F1324" t="s">
        <v>1722</v>
      </c>
      <c r="G1324" t="s">
        <v>4110</v>
      </c>
      <c r="H1324" t="s">
        <v>1723</v>
      </c>
      <c r="I1324" s="11">
        <v>46292</v>
      </c>
      <c r="J1324" s="12">
        <v>46266</v>
      </c>
      <c r="K1324" s="13">
        <f>INDEX(Assumptions!$B$4:$B$23,MATCH(F1324,Assumptions!$A$4:$A$23,0))</f>
        <v>1</v>
      </c>
      <c r="L1324" s="14">
        <f t="shared" si="40"/>
        <v>19.88</v>
      </c>
      <c r="M1324" t="str">
        <f t="shared" si="41"/>
        <v>No</v>
      </c>
    </row>
    <row r="1325" spans="1:13" x14ac:dyDescent="0.25">
      <c r="A1325">
        <v>338308</v>
      </c>
      <c r="B1325" t="s">
        <v>4120</v>
      </c>
      <c r="C1325" t="s">
        <v>4121</v>
      </c>
      <c r="D1325" t="s">
        <v>6220</v>
      </c>
      <c r="E1325">
        <v>4.78</v>
      </c>
      <c r="F1325" t="s">
        <v>1722</v>
      </c>
      <c r="G1325" t="s">
        <v>4110</v>
      </c>
      <c r="H1325" t="s">
        <v>1723</v>
      </c>
      <c r="I1325" s="11">
        <v>46292</v>
      </c>
      <c r="J1325" s="12">
        <v>46266</v>
      </c>
      <c r="K1325" s="13">
        <f>INDEX(Assumptions!$B$4:$B$23,MATCH(F1325,Assumptions!$A$4:$A$23,0))</f>
        <v>1</v>
      </c>
      <c r="L1325" s="14">
        <f t="shared" si="40"/>
        <v>4.78</v>
      </c>
      <c r="M1325" t="str">
        <f t="shared" si="41"/>
        <v>No</v>
      </c>
    </row>
    <row r="1326" spans="1:13" x14ac:dyDescent="0.25">
      <c r="A1326">
        <v>338307</v>
      </c>
      <c r="B1326" t="s">
        <v>4124</v>
      </c>
      <c r="C1326" t="s">
        <v>4125</v>
      </c>
      <c r="D1326" t="s">
        <v>6220</v>
      </c>
      <c r="E1326">
        <v>18.989999999999998</v>
      </c>
      <c r="F1326" t="s">
        <v>1722</v>
      </c>
      <c r="G1326" t="s">
        <v>2289</v>
      </c>
      <c r="H1326" t="s">
        <v>1723</v>
      </c>
      <c r="I1326" s="11">
        <v>46277</v>
      </c>
      <c r="J1326" s="12">
        <v>46266</v>
      </c>
      <c r="K1326" s="13">
        <f>INDEX(Assumptions!$B$4:$B$23,MATCH(F1326,Assumptions!$A$4:$A$23,0))</f>
        <v>1</v>
      </c>
      <c r="L1326" s="14">
        <f t="shared" si="40"/>
        <v>18.989999999999998</v>
      </c>
      <c r="M1326" t="str">
        <f t="shared" si="41"/>
        <v>No</v>
      </c>
    </row>
    <row r="1327" spans="1:13" x14ac:dyDescent="0.25">
      <c r="A1327">
        <v>338306</v>
      </c>
      <c r="B1327" t="s">
        <v>4128</v>
      </c>
      <c r="C1327" t="s">
        <v>4129</v>
      </c>
      <c r="D1327" t="s">
        <v>6220</v>
      </c>
      <c r="E1327">
        <v>17.989999999999998</v>
      </c>
      <c r="F1327" t="s">
        <v>1722</v>
      </c>
      <c r="G1327" t="s">
        <v>2289</v>
      </c>
      <c r="H1327" t="s">
        <v>1723</v>
      </c>
      <c r="I1327" s="11">
        <v>46277</v>
      </c>
      <c r="J1327" s="12">
        <v>46266</v>
      </c>
      <c r="K1327" s="13">
        <f>INDEX(Assumptions!$B$4:$B$23,MATCH(F1327,Assumptions!$A$4:$A$23,0))</f>
        <v>1</v>
      </c>
      <c r="L1327" s="14">
        <f t="shared" si="40"/>
        <v>17.989999999999998</v>
      </c>
      <c r="M1327" t="str">
        <f t="shared" si="41"/>
        <v>No</v>
      </c>
    </row>
    <row r="1328" spans="1:13" x14ac:dyDescent="0.25">
      <c r="A1328">
        <v>338305</v>
      </c>
      <c r="B1328" t="s">
        <v>4132</v>
      </c>
      <c r="C1328" t="s">
        <v>4133</v>
      </c>
      <c r="D1328" t="s">
        <v>6220</v>
      </c>
      <c r="E1328">
        <v>22.99</v>
      </c>
      <c r="F1328" t="s">
        <v>1722</v>
      </c>
      <c r="G1328" t="s">
        <v>2289</v>
      </c>
      <c r="H1328" t="s">
        <v>1723</v>
      </c>
      <c r="I1328" s="11">
        <v>46277</v>
      </c>
      <c r="J1328" s="12">
        <v>46266</v>
      </c>
      <c r="K1328" s="13">
        <f>INDEX(Assumptions!$B$4:$B$23,MATCH(F1328,Assumptions!$A$4:$A$23,0))</f>
        <v>1</v>
      </c>
      <c r="L1328" s="14">
        <f t="shared" si="40"/>
        <v>22.99</v>
      </c>
      <c r="M1328" t="str">
        <f t="shared" si="41"/>
        <v>No</v>
      </c>
    </row>
    <row r="1329" spans="1:13" x14ac:dyDescent="0.25">
      <c r="A1329">
        <v>338304</v>
      </c>
      <c r="B1329" t="s">
        <v>4135</v>
      </c>
      <c r="C1329" t="s">
        <v>4136</v>
      </c>
      <c r="D1329" t="s">
        <v>6220</v>
      </c>
      <c r="E1329">
        <v>22.99</v>
      </c>
      <c r="F1329" t="s">
        <v>1722</v>
      </c>
      <c r="G1329" t="s">
        <v>2289</v>
      </c>
      <c r="H1329" t="s">
        <v>1723</v>
      </c>
      <c r="I1329" s="11">
        <v>46277</v>
      </c>
      <c r="J1329" s="12">
        <v>46266</v>
      </c>
      <c r="K1329" s="13">
        <f>INDEX(Assumptions!$B$4:$B$23,MATCH(F1329,Assumptions!$A$4:$A$23,0))</f>
        <v>1</v>
      </c>
      <c r="L1329" s="14">
        <f t="shared" si="40"/>
        <v>22.99</v>
      </c>
      <c r="M1329" t="str">
        <f t="shared" si="41"/>
        <v>No</v>
      </c>
    </row>
    <row r="1330" spans="1:13" x14ac:dyDescent="0.25">
      <c r="A1330">
        <v>338303</v>
      </c>
      <c r="B1330" t="s">
        <v>4138</v>
      </c>
      <c r="C1330" t="s">
        <v>4139</v>
      </c>
      <c r="D1330" t="s">
        <v>6220</v>
      </c>
      <c r="E1330">
        <v>18.489999999999998</v>
      </c>
      <c r="F1330" t="s">
        <v>1722</v>
      </c>
      <c r="G1330" t="s">
        <v>2289</v>
      </c>
      <c r="H1330" t="s">
        <v>1723</v>
      </c>
      <c r="I1330" s="11">
        <v>46277</v>
      </c>
      <c r="J1330" s="12">
        <v>46266</v>
      </c>
      <c r="K1330" s="13">
        <f>INDEX(Assumptions!$B$4:$B$23,MATCH(F1330,Assumptions!$A$4:$A$23,0))</f>
        <v>1</v>
      </c>
      <c r="L1330" s="14">
        <f t="shared" si="40"/>
        <v>18.489999999999998</v>
      </c>
      <c r="M1330" t="str">
        <f t="shared" si="41"/>
        <v>No</v>
      </c>
    </row>
    <row r="1331" spans="1:13" x14ac:dyDescent="0.25">
      <c r="A1331">
        <v>338302</v>
      </c>
      <c r="B1331" t="s">
        <v>4141</v>
      </c>
      <c r="C1331" t="s">
        <v>4142</v>
      </c>
      <c r="D1331" t="s">
        <v>6220</v>
      </c>
      <c r="E1331">
        <v>18.989999999999998</v>
      </c>
      <c r="F1331" t="s">
        <v>1722</v>
      </c>
      <c r="G1331" t="s">
        <v>2289</v>
      </c>
      <c r="H1331" t="s">
        <v>1723</v>
      </c>
      <c r="I1331" s="11">
        <v>46277</v>
      </c>
      <c r="J1331" s="12">
        <v>46266</v>
      </c>
      <c r="K1331" s="13">
        <f>INDEX(Assumptions!$B$4:$B$23,MATCH(F1331,Assumptions!$A$4:$A$23,0))</f>
        <v>1</v>
      </c>
      <c r="L1331" s="14">
        <f t="shared" si="40"/>
        <v>18.989999999999998</v>
      </c>
      <c r="M1331" t="str">
        <f t="shared" si="41"/>
        <v>No</v>
      </c>
    </row>
    <row r="1332" spans="1:13" x14ac:dyDescent="0.25">
      <c r="A1332">
        <v>338301</v>
      </c>
      <c r="B1332" t="s">
        <v>4144</v>
      </c>
      <c r="C1332" t="s">
        <v>4145</v>
      </c>
      <c r="D1332" t="s">
        <v>6220</v>
      </c>
      <c r="E1332">
        <v>18.489999999999998</v>
      </c>
      <c r="F1332" t="s">
        <v>1722</v>
      </c>
      <c r="G1332" t="s">
        <v>2289</v>
      </c>
      <c r="H1332" t="s">
        <v>1723</v>
      </c>
      <c r="I1332" s="11">
        <v>46277</v>
      </c>
      <c r="J1332" s="12">
        <v>46266</v>
      </c>
      <c r="K1332" s="13">
        <f>INDEX(Assumptions!$B$4:$B$23,MATCH(F1332,Assumptions!$A$4:$A$23,0))</f>
        <v>1</v>
      </c>
      <c r="L1332" s="14">
        <f t="shared" si="40"/>
        <v>18.489999999999998</v>
      </c>
      <c r="M1332" t="str">
        <f t="shared" si="41"/>
        <v>No</v>
      </c>
    </row>
    <row r="1333" spans="1:13" x14ac:dyDescent="0.25">
      <c r="A1333">
        <v>338298</v>
      </c>
      <c r="B1333" t="s">
        <v>4147</v>
      </c>
      <c r="C1333" t="s">
        <v>4148</v>
      </c>
      <c r="D1333" t="s">
        <v>6220</v>
      </c>
      <c r="E1333">
        <v>17.989999999999998</v>
      </c>
      <c r="F1333" t="s">
        <v>1722</v>
      </c>
      <c r="G1333" t="s">
        <v>2289</v>
      </c>
      <c r="H1333" t="s">
        <v>1723</v>
      </c>
      <c r="I1333" s="11">
        <v>46277</v>
      </c>
      <c r="J1333" s="12">
        <v>46266</v>
      </c>
      <c r="K1333" s="13">
        <f>INDEX(Assumptions!$B$4:$B$23,MATCH(F1333,Assumptions!$A$4:$A$23,0))</f>
        <v>1</v>
      </c>
      <c r="L1333" s="14">
        <f t="shared" si="40"/>
        <v>17.989999999999998</v>
      </c>
      <c r="M1333" t="str">
        <f t="shared" si="41"/>
        <v>No</v>
      </c>
    </row>
    <row r="1334" spans="1:13" x14ac:dyDescent="0.25">
      <c r="A1334">
        <v>338299</v>
      </c>
      <c r="B1334" t="s">
        <v>4150</v>
      </c>
      <c r="C1334" t="s">
        <v>4151</v>
      </c>
      <c r="D1334" t="s">
        <v>6220</v>
      </c>
      <c r="E1334">
        <v>17.989999999999998</v>
      </c>
      <c r="F1334" t="s">
        <v>1722</v>
      </c>
      <c r="G1334" t="s">
        <v>2289</v>
      </c>
      <c r="H1334" t="s">
        <v>1723</v>
      </c>
      <c r="I1334" s="11">
        <v>46277</v>
      </c>
      <c r="J1334" s="12">
        <v>46266</v>
      </c>
      <c r="K1334" s="13">
        <f>INDEX(Assumptions!$B$4:$B$23,MATCH(F1334,Assumptions!$A$4:$A$23,0))</f>
        <v>1</v>
      </c>
      <c r="L1334" s="14">
        <f t="shared" si="40"/>
        <v>17.989999999999998</v>
      </c>
      <c r="M1334" t="str">
        <f t="shared" si="41"/>
        <v>No</v>
      </c>
    </row>
    <row r="1335" spans="1:13" x14ac:dyDescent="0.25">
      <c r="A1335">
        <v>338300</v>
      </c>
      <c r="B1335" t="s">
        <v>4153</v>
      </c>
      <c r="C1335" t="s">
        <v>4154</v>
      </c>
      <c r="D1335" t="s">
        <v>6220</v>
      </c>
      <c r="E1335">
        <v>17.989999999999998</v>
      </c>
      <c r="F1335" t="s">
        <v>1722</v>
      </c>
      <c r="G1335" t="s">
        <v>2289</v>
      </c>
      <c r="H1335" t="s">
        <v>1723</v>
      </c>
      <c r="I1335" s="11">
        <v>46277</v>
      </c>
      <c r="J1335" s="12">
        <v>46266</v>
      </c>
      <c r="K1335" s="13">
        <f>INDEX(Assumptions!$B$4:$B$23,MATCH(F1335,Assumptions!$A$4:$A$23,0))</f>
        <v>1</v>
      </c>
      <c r="L1335" s="14">
        <f t="shared" si="40"/>
        <v>17.989999999999998</v>
      </c>
      <c r="M1335" t="str">
        <f t="shared" si="41"/>
        <v>No</v>
      </c>
    </row>
    <row r="1336" spans="1:13" x14ac:dyDescent="0.25">
      <c r="A1336">
        <v>338297</v>
      </c>
      <c r="B1336" t="s">
        <v>4156</v>
      </c>
      <c r="C1336" t="s">
        <v>4157</v>
      </c>
      <c r="D1336" t="s">
        <v>6220</v>
      </c>
      <c r="E1336">
        <v>3.99</v>
      </c>
      <c r="F1336" t="s">
        <v>1722</v>
      </c>
      <c r="G1336" t="s">
        <v>2289</v>
      </c>
      <c r="H1336" t="s">
        <v>1723</v>
      </c>
      <c r="I1336" s="11">
        <v>46277</v>
      </c>
      <c r="J1336" s="12">
        <v>46266</v>
      </c>
      <c r="K1336" s="13">
        <f>INDEX(Assumptions!$B$4:$B$23,MATCH(F1336,Assumptions!$A$4:$A$23,0))</f>
        <v>1</v>
      </c>
      <c r="L1336" s="14">
        <f t="shared" si="40"/>
        <v>3.99</v>
      </c>
      <c r="M1336" t="str">
        <f t="shared" si="41"/>
        <v>No</v>
      </c>
    </row>
    <row r="1337" spans="1:13" x14ac:dyDescent="0.25">
      <c r="A1337">
        <v>338295</v>
      </c>
      <c r="B1337" t="s">
        <v>4159</v>
      </c>
      <c r="C1337" t="s">
        <v>4160</v>
      </c>
      <c r="D1337" t="s">
        <v>6220</v>
      </c>
      <c r="E1337">
        <v>6.99</v>
      </c>
      <c r="F1337" t="s">
        <v>1722</v>
      </c>
      <c r="G1337" t="s">
        <v>2289</v>
      </c>
      <c r="H1337" t="s">
        <v>1723</v>
      </c>
      <c r="I1337" s="11">
        <v>46277</v>
      </c>
      <c r="J1337" s="12">
        <v>46266</v>
      </c>
      <c r="K1337" s="13">
        <f>INDEX(Assumptions!$B$4:$B$23,MATCH(F1337,Assumptions!$A$4:$A$23,0))</f>
        <v>1</v>
      </c>
      <c r="L1337" s="14">
        <f t="shared" si="40"/>
        <v>6.99</v>
      </c>
      <c r="M1337" t="str">
        <f t="shared" si="41"/>
        <v>No</v>
      </c>
    </row>
    <row r="1338" spans="1:13" x14ac:dyDescent="0.25">
      <c r="A1338">
        <v>338294</v>
      </c>
      <c r="B1338" t="s">
        <v>4162</v>
      </c>
      <c r="C1338" t="s">
        <v>4163</v>
      </c>
      <c r="D1338" t="s">
        <v>6220</v>
      </c>
      <c r="E1338">
        <v>11.99</v>
      </c>
      <c r="F1338" t="s">
        <v>1722</v>
      </c>
      <c r="G1338" t="s">
        <v>2289</v>
      </c>
      <c r="H1338" t="s">
        <v>1723</v>
      </c>
      <c r="I1338" s="11">
        <v>46277</v>
      </c>
      <c r="J1338" s="12">
        <v>46266</v>
      </c>
      <c r="K1338" s="13">
        <f>INDEX(Assumptions!$B$4:$B$23,MATCH(F1338,Assumptions!$A$4:$A$23,0))</f>
        <v>1</v>
      </c>
      <c r="L1338" s="14">
        <f t="shared" si="40"/>
        <v>11.99</v>
      </c>
      <c r="M1338" t="str">
        <f t="shared" si="41"/>
        <v>No</v>
      </c>
    </row>
    <row r="1339" spans="1:13" x14ac:dyDescent="0.25">
      <c r="A1339">
        <v>338293</v>
      </c>
      <c r="B1339" t="s">
        <v>4166</v>
      </c>
      <c r="C1339" t="s">
        <v>4167</v>
      </c>
      <c r="D1339" t="s">
        <v>6220</v>
      </c>
      <c r="E1339">
        <v>7.99</v>
      </c>
      <c r="F1339" t="s">
        <v>1722</v>
      </c>
      <c r="G1339" t="s">
        <v>2289</v>
      </c>
      <c r="H1339" t="s">
        <v>1723</v>
      </c>
      <c r="I1339" s="11">
        <v>46277</v>
      </c>
      <c r="J1339" s="12">
        <v>46266</v>
      </c>
      <c r="K1339" s="13">
        <f>INDEX(Assumptions!$B$4:$B$23,MATCH(F1339,Assumptions!$A$4:$A$23,0))</f>
        <v>1</v>
      </c>
      <c r="L1339" s="14">
        <f t="shared" si="40"/>
        <v>7.99</v>
      </c>
      <c r="M1339" t="str">
        <f t="shared" si="41"/>
        <v>No</v>
      </c>
    </row>
    <row r="1340" spans="1:13" x14ac:dyDescent="0.25">
      <c r="A1340">
        <v>338292</v>
      </c>
      <c r="B1340" t="s">
        <v>4169</v>
      </c>
      <c r="C1340" t="s">
        <v>4170</v>
      </c>
      <c r="D1340" t="s">
        <v>6220</v>
      </c>
      <c r="E1340">
        <v>11.99</v>
      </c>
      <c r="F1340" t="s">
        <v>1722</v>
      </c>
      <c r="G1340" t="s">
        <v>2289</v>
      </c>
      <c r="H1340" t="s">
        <v>1723</v>
      </c>
      <c r="I1340" s="11">
        <v>46277</v>
      </c>
      <c r="J1340" s="12">
        <v>46266</v>
      </c>
      <c r="K1340" s="13">
        <f>INDEX(Assumptions!$B$4:$B$23,MATCH(F1340,Assumptions!$A$4:$A$23,0))</f>
        <v>1</v>
      </c>
      <c r="L1340" s="14">
        <f t="shared" si="40"/>
        <v>11.99</v>
      </c>
      <c r="M1340" t="str">
        <f t="shared" si="41"/>
        <v>No</v>
      </c>
    </row>
    <row r="1341" spans="1:13" x14ac:dyDescent="0.25">
      <c r="A1341">
        <v>338291</v>
      </c>
      <c r="B1341" t="s">
        <v>4172</v>
      </c>
      <c r="C1341" t="s">
        <v>4173</v>
      </c>
      <c r="D1341" t="s">
        <v>6220</v>
      </c>
      <c r="E1341">
        <v>6.99</v>
      </c>
      <c r="F1341" t="s">
        <v>1722</v>
      </c>
      <c r="G1341" t="s">
        <v>2289</v>
      </c>
      <c r="H1341" t="s">
        <v>1723</v>
      </c>
      <c r="I1341" s="11">
        <v>46277</v>
      </c>
      <c r="J1341" s="12">
        <v>46266</v>
      </c>
      <c r="K1341" s="13">
        <f>INDEX(Assumptions!$B$4:$B$23,MATCH(F1341,Assumptions!$A$4:$A$23,0))</f>
        <v>1</v>
      </c>
      <c r="L1341" s="14">
        <f t="shared" si="40"/>
        <v>6.99</v>
      </c>
      <c r="M1341" t="str">
        <f t="shared" si="41"/>
        <v>No</v>
      </c>
    </row>
    <row r="1342" spans="1:13" x14ac:dyDescent="0.25">
      <c r="A1342">
        <v>338290</v>
      </c>
      <c r="B1342" t="s">
        <v>4175</v>
      </c>
      <c r="C1342" t="s">
        <v>4176</v>
      </c>
      <c r="D1342" t="s">
        <v>6220</v>
      </c>
      <c r="E1342">
        <v>9.99</v>
      </c>
      <c r="F1342" t="s">
        <v>1722</v>
      </c>
      <c r="G1342" t="s">
        <v>2289</v>
      </c>
      <c r="H1342" t="s">
        <v>1723</v>
      </c>
      <c r="I1342" s="11">
        <v>46277</v>
      </c>
      <c r="J1342" s="12">
        <v>46266</v>
      </c>
      <c r="K1342" s="13">
        <f>INDEX(Assumptions!$B$4:$B$23,MATCH(F1342,Assumptions!$A$4:$A$23,0))</f>
        <v>1</v>
      </c>
      <c r="L1342" s="14">
        <f t="shared" si="40"/>
        <v>9.99</v>
      </c>
      <c r="M1342" t="str">
        <f t="shared" si="41"/>
        <v>No</v>
      </c>
    </row>
    <row r="1343" spans="1:13" x14ac:dyDescent="0.25">
      <c r="A1343">
        <v>338289</v>
      </c>
      <c r="B1343" t="s">
        <v>4178</v>
      </c>
      <c r="C1343" t="s">
        <v>4179</v>
      </c>
      <c r="D1343" t="s">
        <v>6220</v>
      </c>
      <c r="E1343">
        <v>6.99</v>
      </c>
      <c r="F1343" t="s">
        <v>1722</v>
      </c>
      <c r="G1343" t="s">
        <v>2289</v>
      </c>
      <c r="H1343" t="s">
        <v>1723</v>
      </c>
      <c r="I1343" s="11">
        <v>46277</v>
      </c>
      <c r="J1343" s="12">
        <v>46266</v>
      </c>
      <c r="K1343" s="13">
        <f>INDEX(Assumptions!$B$4:$B$23,MATCH(F1343,Assumptions!$A$4:$A$23,0))</f>
        <v>1</v>
      </c>
      <c r="L1343" s="14">
        <f t="shared" si="40"/>
        <v>6.99</v>
      </c>
      <c r="M1343" t="str">
        <f t="shared" si="41"/>
        <v>No</v>
      </c>
    </row>
    <row r="1344" spans="1:13" x14ac:dyDescent="0.25">
      <c r="A1344">
        <v>338288</v>
      </c>
      <c r="B1344" t="s">
        <v>4181</v>
      </c>
      <c r="C1344" t="s">
        <v>4182</v>
      </c>
      <c r="D1344" t="s">
        <v>6220</v>
      </c>
      <c r="E1344">
        <v>1.99</v>
      </c>
      <c r="F1344" t="s">
        <v>1722</v>
      </c>
      <c r="G1344" t="s">
        <v>2289</v>
      </c>
      <c r="H1344" t="s">
        <v>1723</v>
      </c>
      <c r="I1344" s="11">
        <v>46277</v>
      </c>
      <c r="J1344" s="12">
        <v>46266</v>
      </c>
      <c r="K1344" s="13">
        <f>INDEX(Assumptions!$B$4:$B$23,MATCH(F1344,Assumptions!$A$4:$A$23,0))</f>
        <v>1</v>
      </c>
      <c r="L1344" s="14">
        <f t="shared" si="40"/>
        <v>1.99</v>
      </c>
      <c r="M1344" t="str">
        <f t="shared" si="41"/>
        <v>No</v>
      </c>
    </row>
    <row r="1345" spans="1:13" x14ac:dyDescent="0.25">
      <c r="A1345">
        <v>338296</v>
      </c>
      <c r="B1345" t="s">
        <v>4184</v>
      </c>
      <c r="C1345" t="s">
        <v>4185</v>
      </c>
      <c r="D1345" t="s">
        <v>6220</v>
      </c>
      <c r="E1345">
        <v>12.99</v>
      </c>
      <c r="F1345" t="s">
        <v>1722</v>
      </c>
      <c r="G1345" t="s">
        <v>2289</v>
      </c>
      <c r="H1345" t="s">
        <v>1723</v>
      </c>
      <c r="I1345" s="11">
        <v>46277</v>
      </c>
      <c r="J1345" s="12">
        <v>46266</v>
      </c>
      <c r="K1345" s="13">
        <f>INDEX(Assumptions!$B$4:$B$23,MATCH(F1345,Assumptions!$A$4:$A$23,0))</f>
        <v>1</v>
      </c>
      <c r="L1345" s="14">
        <f t="shared" si="40"/>
        <v>12.99</v>
      </c>
      <c r="M1345" t="str">
        <f t="shared" si="41"/>
        <v>No</v>
      </c>
    </row>
    <row r="1346" spans="1:13" x14ac:dyDescent="0.25">
      <c r="A1346">
        <v>338287</v>
      </c>
      <c r="B1346" t="s">
        <v>4187</v>
      </c>
      <c r="C1346" t="s">
        <v>4188</v>
      </c>
      <c r="D1346" t="s">
        <v>6220</v>
      </c>
      <c r="E1346">
        <v>2.99</v>
      </c>
      <c r="F1346" t="s">
        <v>1722</v>
      </c>
      <c r="G1346" t="s">
        <v>2289</v>
      </c>
      <c r="H1346" t="s">
        <v>1723</v>
      </c>
      <c r="I1346" s="11">
        <v>46277</v>
      </c>
      <c r="J1346" s="12">
        <v>46266</v>
      </c>
      <c r="K1346" s="13">
        <f>INDEX(Assumptions!$B$4:$B$23,MATCH(F1346,Assumptions!$A$4:$A$23,0))</f>
        <v>1</v>
      </c>
      <c r="L1346" s="14">
        <f t="shared" ref="L1346:L1409" si="42">E1346*K1346</f>
        <v>2.99</v>
      </c>
      <c r="M1346" t="str">
        <f t="shared" ref="M1346:M1409" si="43">IF(C1346="Unnamed product","Yes","No")</f>
        <v>No</v>
      </c>
    </row>
    <row r="1347" spans="1:13" x14ac:dyDescent="0.25">
      <c r="A1347">
        <v>338286</v>
      </c>
      <c r="B1347" t="s">
        <v>4190</v>
      </c>
      <c r="C1347" t="s">
        <v>4191</v>
      </c>
      <c r="D1347" t="s">
        <v>6220</v>
      </c>
      <c r="E1347">
        <v>12.99</v>
      </c>
      <c r="F1347" t="s">
        <v>1722</v>
      </c>
      <c r="G1347" t="s">
        <v>2289</v>
      </c>
      <c r="H1347" t="s">
        <v>1723</v>
      </c>
      <c r="I1347" s="11">
        <v>46277</v>
      </c>
      <c r="J1347" s="12">
        <v>46266</v>
      </c>
      <c r="K1347" s="13">
        <f>INDEX(Assumptions!$B$4:$B$23,MATCH(F1347,Assumptions!$A$4:$A$23,0))</f>
        <v>1</v>
      </c>
      <c r="L1347" s="14">
        <f t="shared" si="42"/>
        <v>12.99</v>
      </c>
      <c r="M1347" t="str">
        <f t="shared" si="43"/>
        <v>No</v>
      </c>
    </row>
    <row r="1348" spans="1:13" x14ac:dyDescent="0.25">
      <c r="A1348">
        <v>338285</v>
      </c>
      <c r="B1348" t="s">
        <v>4193</v>
      </c>
      <c r="C1348" t="s">
        <v>4194</v>
      </c>
      <c r="D1348" t="s">
        <v>6220</v>
      </c>
      <c r="E1348">
        <v>19.989999999999998</v>
      </c>
      <c r="F1348" t="s">
        <v>1722</v>
      </c>
      <c r="G1348" t="s">
        <v>2289</v>
      </c>
      <c r="H1348" t="s">
        <v>1723</v>
      </c>
      <c r="I1348" s="11">
        <v>46277</v>
      </c>
      <c r="J1348" s="12">
        <v>46266</v>
      </c>
      <c r="K1348" s="13">
        <f>INDEX(Assumptions!$B$4:$B$23,MATCH(F1348,Assumptions!$A$4:$A$23,0))</f>
        <v>1</v>
      </c>
      <c r="L1348" s="14">
        <f t="shared" si="42"/>
        <v>19.989999999999998</v>
      </c>
      <c r="M1348" t="str">
        <f t="shared" si="43"/>
        <v>No</v>
      </c>
    </row>
    <row r="1349" spans="1:13" x14ac:dyDescent="0.25">
      <c r="A1349">
        <v>338284</v>
      </c>
      <c r="B1349" t="s">
        <v>4196</v>
      </c>
      <c r="C1349" t="s">
        <v>4197</v>
      </c>
      <c r="D1349" t="s">
        <v>6220</v>
      </c>
      <c r="E1349">
        <v>21.99</v>
      </c>
      <c r="F1349" t="s">
        <v>1722</v>
      </c>
      <c r="G1349" t="s">
        <v>2289</v>
      </c>
      <c r="H1349" t="s">
        <v>1723</v>
      </c>
      <c r="I1349" s="11">
        <v>46277</v>
      </c>
      <c r="J1349" s="12">
        <v>46266</v>
      </c>
      <c r="K1349" s="13">
        <f>INDEX(Assumptions!$B$4:$B$23,MATCH(F1349,Assumptions!$A$4:$A$23,0))</f>
        <v>1</v>
      </c>
      <c r="L1349" s="14">
        <f t="shared" si="42"/>
        <v>21.99</v>
      </c>
      <c r="M1349" t="str">
        <f t="shared" si="43"/>
        <v>No</v>
      </c>
    </row>
    <row r="1350" spans="1:13" x14ac:dyDescent="0.25">
      <c r="A1350">
        <v>338283</v>
      </c>
      <c r="B1350" t="s">
        <v>4200</v>
      </c>
      <c r="C1350" t="s">
        <v>4201</v>
      </c>
      <c r="D1350" t="s">
        <v>6220</v>
      </c>
      <c r="E1350">
        <v>19.989999999999998</v>
      </c>
      <c r="F1350" t="s">
        <v>1722</v>
      </c>
      <c r="G1350" t="s">
        <v>2289</v>
      </c>
      <c r="H1350" t="s">
        <v>1723</v>
      </c>
      <c r="I1350" s="11">
        <v>46277</v>
      </c>
      <c r="J1350" s="12">
        <v>46266</v>
      </c>
      <c r="K1350" s="13">
        <f>INDEX(Assumptions!$B$4:$B$23,MATCH(F1350,Assumptions!$A$4:$A$23,0))</f>
        <v>1</v>
      </c>
      <c r="L1350" s="14">
        <f t="shared" si="42"/>
        <v>19.989999999999998</v>
      </c>
      <c r="M1350" t="str">
        <f t="shared" si="43"/>
        <v>No</v>
      </c>
    </row>
    <row r="1351" spans="1:13" x14ac:dyDescent="0.25">
      <c r="A1351">
        <v>338282</v>
      </c>
      <c r="B1351" t="s">
        <v>4203</v>
      </c>
      <c r="C1351" t="s">
        <v>4204</v>
      </c>
      <c r="D1351" t="s">
        <v>6220</v>
      </c>
      <c r="E1351">
        <v>19.989999999999998</v>
      </c>
      <c r="F1351" t="s">
        <v>1722</v>
      </c>
      <c r="G1351" t="s">
        <v>2289</v>
      </c>
      <c r="H1351" t="s">
        <v>1723</v>
      </c>
      <c r="I1351" s="11">
        <v>46277</v>
      </c>
      <c r="J1351" s="12">
        <v>46266</v>
      </c>
      <c r="K1351" s="13">
        <f>INDEX(Assumptions!$B$4:$B$23,MATCH(F1351,Assumptions!$A$4:$A$23,0))</f>
        <v>1</v>
      </c>
      <c r="L1351" s="14">
        <f t="shared" si="42"/>
        <v>19.989999999999998</v>
      </c>
      <c r="M1351" t="str">
        <f t="shared" si="43"/>
        <v>No</v>
      </c>
    </row>
    <row r="1352" spans="1:13" x14ac:dyDescent="0.25">
      <c r="A1352">
        <v>338281</v>
      </c>
      <c r="B1352" t="s">
        <v>4206</v>
      </c>
      <c r="C1352" t="s">
        <v>4207</v>
      </c>
      <c r="D1352" t="s">
        <v>6220</v>
      </c>
      <c r="E1352">
        <v>19.989999999999998</v>
      </c>
      <c r="F1352" t="s">
        <v>1722</v>
      </c>
      <c r="G1352" t="s">
        <v>2289</v>
      </c>
      <c r="H1352" t="s">
        <v>1723</v>
      </c>
      <c r="I1352" s="11">
        <v>46277</v>
      </c>
      <c r="J1352" s="12">
        <v>46266</v>
      </c>
      <c r="K1352" s="13">
        <f>INDEX(Assumptions!$B$4:$B$23,MATCH(F1352,Assumptions!$A$4:$A$23,0))</f>
        <v>1</v>
      </c>
      <c r="L1352" s="14">
        <f t="shared" si="42"/>
        <v>19.989999999999998</v>
      </c>
      <c r="M1352" t="str">
        <f t="shared" si="43"/>
        <v>No</v>
      </c>
    </row>
    <row r="1353" spans="1:13" x14ac:dyDescent="0.25">
      <c r="A1353">
        <v>338280</v>
      </c>
      <c r="B1353" t="s">
        <v>4209</v>
      </c>
      <c r="C1353" t="s">
        <v>4210</v>
      </c>
      <c r="D1353" t="s">
        <v>6220</v>
      </c>
      <c r="E1353">
        <v>16.989999999999998</v>
      </c>
      <c r="F1353" t="s">
        <v>1722</v>
      </c>
      <c r="G1353" t="s">
        <v>2289</v>
      </c>
      <c r="H1353" t="s">
        <v>1723</v>
      </c>
      <c r="I1353" s="11">
        <v>46277</v>
      </c>
      <c r="J1353" s="12">
        <v>46266</v>
      </c>
      <c r="K1353" s="13">
        <f>INDEX(Assumptions!$B$4:$B$23,MATCH(F1353,Assumptions!$A$4:$A$23,0))</f>
        <v>1</v>
      </c>
      <c r="L1353" s="14">
        <f t="shared" si="42"/>
        <v>16.989999999999998</v>
      </c>
      <c r="M1353" t="str">
        <f t="shared" si="43"/>
        <v>No</v>
      </c>
    </row>
    <row r="1354" spans="1:13" x14ac:dyDescent="0.25">
      <c r="A1354">
        <v>338278</v>
      </c>
      <c r="B1354" t="s">
        <v>4212</v>
      </c>
      <c r="C1354" t="s">
        <v>4213</v>
      </c>
      <c r="D1354" t="s">
        <v>6220</v>
      </c>
      <c r="E1354">
        <v>19.989999999999998</v>
      </c>
      <c r="F1354" t="s">
        <v>1722</v>
      </c>
      <c r="G1354" t="s">
        <v>2289</v>
      </c>
      <c r="H1354" t="s">
        <v>1723</v>
      </c>
      <c r="I1354" s="11">
        <v>46277</v>
      </c>
      <c r="J1354" s="12">
        <v>46266</v>
      </c>
      <c r="K1354" s="13">
        <f>INDEX(Assumptions!$B$4:$B$23,MATCH(F1354,Assumptions!$A$4:$A$23,0))</f>
        <v>1</v>
      </c>
      <c r="L1354" s="14">
        <f t="shared" si="42"/>
        <v>19.989999999999998</v>
      </c>
      <c r="M1354" t="str">
        <f t="shared" si="43"/>
        <v>No</v>
      </c>
    </row>
    <row r="1355" spans="1:13" x14ac:dyDescent="0.25">
      <c r="A1355">
        <v>338279</v>
      </c>
      <c r="B1355" t="s">
        <v>4215</v>
      </c>
      <c r="C1355" t="s">
        <v>4216</v>
      </c>
      <c r="D1355" t="s">
        <v>6220</v>
      </c>
      <c r="E1355">
        <v>19.989999999999998</v>
      </c>
      <c r="F1355" t="s">
        <v>1722</v>
      </c>
      <c r="G1355" t="s">
        <v>2289</v>
      </c>
      <c r="H1355" t="s">
        <v>1723</v>
      </c>
      <c r="I1355" s="11">
        <v>46277</v>
      </c>
      <c r="J1355" s="12">
        <v>46266</v>
      </c>
      <c r="K1355" s="13">
        <f>INDEX(Assumptions!$B$4:$B$23,MATCH(F1355,Assumptions!$A$4:$A$23,0))</f>
        <v>1</v>
      </c>
      <c r="L1355" s="14">
        <f t="shared" si="42"/>
        <v>19.989999999999998</v>
      </c>
      <c r="M1355" t="str">
        <f t="shared" si="43"/>
        <v>No</v>
      </c>
    </row>
    <row r="1356" spans="1:13" x14ac:dyDescent="0.25">
      <c r="A1356">
        <v>338276</v>
      </c>
      <c r="B1356" t="s">
        <v>4218</v>
      </c>
      <c r="C1356" t="s">
        <v>4219</v>
      </c>
      <c r="D1356" t="s">
        <v>6220</v>
      </c>
      <c r="E1356">
        <v>19.989999999999998</v>
      </c>
      <c r="F1356" t="s">
        <v>1722</v>
      </c>
      <c r="G1356" t="s">
        <v>2289</v>
      </c>
      <c r="H1356" t="s">
        <v>1723</v>
      </c>
      <c r="I1356" s="11">
        <v>46277</v>
      </c>
      <c r="J1356" s="12">
        <v>46266</v>
      </c>
      <c r="K1356" s="13">
        <f>INDEX(Assumptions!$B$4:$B$23,MATCH(F1356,Assumptions!$A$4:$A$23,0))</f>
        <v>1</v>
      </c>
      <c r="L1356" s="14">
        <f t="shared" si="42"/>
        <v>19.989999999999998</v>
      </c>
      <c r="M1356" t="str">
        <f t="shared" si="43"/>
        <v>No</v>
      </c>
    </row>
    <row r="1357" spans="1:13" x14ac:dyDescent="0.25">
      <c r="A1357">
        <v>338277</v>
      </c>
      <c r="B1357" t="s">
        <v>4196</v>
      </c>
      <c r="C1357" t="s">
        <v>4221</v>
      </c>
      <c r="D1357" t="s">
        <v>6220</v>
      </c>
      <c r="E1357">
        <v>21.99</v>
      </c>
      <c r="F1357" t="s">
        <v>1722</v>
      </c>
      <c r="G1357" t="s">
        <v>2289</v>
      </c>
      <c r="H1357" t="s">
        <v>1723</v>
      </c>
      <c r="I1357" s="11">
        <v>46277</v>
      </c>
      <c r="J1357" s="12">
        <v>46266</v>
      </c>
      <c r="K1357" s="13">
        <f>INDEX(Assumptions!$B$4:$B$23,MATCH(F1357,Assumptions!$A$4:$A$23,0))</f>
        <v>1</v>
      </c>
      <c r="L1357" s="14">
        <f t="shared" si="42"/>
        <v>21.99</v>
      </c>
      <c r="M1357" t="str">
        <f t="shared" si="43"/>
        <v>No</v>
      </c>
    </row>
    <row r="1358" spans="1:13" x14ac:dyDescent="0.25">
      <c r="A1358">
        <v>338275</v>
      </c>
      <c r="B1358" t="s">
        <v>4223</v>
      </c>
      <c r="C1358" t="s">
        <v>4224</v>
      </c>
      <c r="D1358" t="s">
        <v>6220</v>
      </c>
      <c r="E1358">
        <v>19.989999999999998</v>
      </c>
      <c r="F1358" t="s">
        <v>1722</v>
      </c>
      <c r="G1358" t="s">
        <v>2289</v>
      </c>
      <c r="H1358" t="s">
        <v>1723</v>
      </c>
      <c r="I1358" s="11">
        <v>46277</v>
      </c>
      <c r="J1358" s="12">
        <v>46266</v>
      </c>
      <c r="K1358" s="13">
        <f>INDEX(Assumptions!$B$4:$B$23,MATCH(F1358,Assumptions!$A$4:$A$23,0))</f>
        <v>1</v>
      </c>
      <c r="L1358" s="14">
        <f t="shared" si="42"/>
        <v>19.989999999999998</v>
      </c>
      <c r="M1358" t="str">
        <f t="shared" si="43"/>
        <v>No</v>
      </c>
    </row>
    <row r="1359" spans="1:13" x14ac:dyDescent="0.25">
      <c r="A1359">
        <v>338273</v>
      </c>
      <c r="B1359" t="s">
        <v>4226</v>
      </c>
      <c r="C1359" t="s">
        <v>4227</v>
      </c>
      <c r="D1359" t="s">
        <v>6220</v>
      </c>
      <c r="E1359">
        <v>19.989999999999998</v>
      </c>
      <c r="F1359" t="s">
        <v>1722</v>
      </c>
      <c r="G1359" t="s">
        <v>2289</v>
      </c>
      <c r="H1359" t="s">
        <v>1723</v>
      </c>
      <c r="I1359" s="11">
        <v>46277</v>
      </c>
      <c r="J1359" s="12">
        <v>46266</v>
      </c>
      <c r="K1359" s="13">
        <f>INDEX(Assumptions!$B$4:$B$23,MATCH(F1359,Assumptions!$A$4:$A$23,0))</f>
        <v>1</v>
      </c>
      <c r="L1359" s="14">
        <f t="shared" si="42"/>
        <v>19.989999999999998</v>
      </c>
      <c r="M1359" t="str">
        <f t="shared" si="43"/>
        <v>No</v>
      </c>
    </row>
    <row r="1360" spans="1:13" x14ac:dyDescent="0.25">
      <c r="A1360">
        <v>338274</v>
      </c>
      <c r="B1360" t="s">
        <v>4229</v>
      </c>
      <c r="C1360" t="s">
        <v>4230</v>
      </c>
      <c r="D1360" t="s">
        <v>6220</v>
      </c>
      <c r="E1360">
        <v>19.989999999999998</v>
      </c>
      <c r="F1360" t="s">
        <v>1722</v>
      </c>
      <c r="G1360" t="s">
        <v>2289</v>
      </c>
      <c r="H1360" t="s">
        <v>1723</v>
      </c>
      <c r="I1360" s="11">
        <v>46277</v>
      </c>
      <c r="J1360" s="12">
        <v>46266</v>
      </c>
      <c r="K1360" s="13">
        <f>INDEX(Assumptions!$B$4:$B$23,MATCH(F1360,Assumptions!$A$4:$A$23,0))</f>
        <v>1</v>
      </c>
      <c r="L1360" s="14">
        <f t="shared" si="42"/>
        <v>19.989999999999998</v>
      </c>
      <c r="M1360" t="str">
        <f t="shared" si="43"/>
        <v>No</v>
      </c>
    </row>
    <row r="1361" spans="1:13" x14ac:dyDescent="0.25">
      <c r="A1361">
        <v>338271</v>
      </c>
      <c r="B1361" t="s">
        <v>4232</v>
      </c>
      <c r="C1361" t="s">
        <v>4233</v>
      </c>
      <c r="D1361" t="s">
        <v>6220</v>
      </c>
      <c r="E1361">
        <v>19.989999999999998</v>
      </c>
      <c r="F1361" t="s">
        <v>1722</v>
      </c>
      <c r="G1361" t="s">
        <v>2289</v>
      </c>
      <c r="H1361" t="s">
        <v>1723</v>
      </c>
      <c r="I1361" s="11">
        <v>46277</v>
      </c>
      <c r="J1361" s="12">
        <v>46266</v>
      </c>
      <c r="K1361" s="13">
        <f>INDEX(Assumptions!$B$4:$B$23,MATCH(F1361,Assumptions!$A$4:$A$23,0))</f>
        <v>1</v>
      </c>
      <c r="L1361" s="14">
        <f t="shared" si="42"/>
        <v>19.989999999999998</v>
      </c>
      <c r="M1361" t="str">
        <f t="shared" si="43"/>
        <v>No</v>
      </c>
    </row>
    <row r="1362" spans="1:13" x14ac:dyDescent="0.25">
      <c r="A1362">
        <v>338272</v>
      </c>
      <c r="B1362" t="s">
        <v>4235</v>
      </c>
      <c r="C1362" t="s">
        <v>4236</v>
      </c>
      <c r="D1362" t="s">
        <v>6220</v>
      </c>
      <c r="E1362">
        <v>19.989999999999998</v>
      </c>
      <c r="F1362" t="s">
        <v>1722</v>
      </c>
      <c r="G1362" t="s">
        <v>2289</v>
      </c>
      <c r="H1362" t="s">
        <v>1723</v>
      </c>
      <c r="I1362" s="11">
        <v>46277</v>
      </c>
      <c r="J1362" s="12">
        <v>46266</v>
      </c>
      <c r="K1362" s="13">
        <f>INDEX(Assumptions!$B$4:$B$23,MATCH(F1362,Assumptions!$A$4:$A$23,0))</f>
        <v>1</v>
      </c>
      <c r="L1362" s="14">
        <f t="shared" si="42"/>
        <v>19.989999999999998</v>
      </c>
      <c r="M1362" t="str">
        <f t="shared" si="43"/>
        <v>No</v>
      </c>
    </row>
    <row r="1363" spans="1:13" x14ac:dyDescent="0.25">
      <c r="A1363">
        <v>338270</v>
      </c>
      <c r="B1363" t="s">
        <v>4238</v>
      </c>
      <c r="C1363" t="s">
        <v>4239</v>
      </c>
      <c r="D1363" t="s">
        <v>6220</v>
      </c>
      <c r="E1363">
        <v>6.49</v>
      </c>
      <c r="F1363" t="s">
        <v>1722</v>
      </c>
      <c r="G1363" t="s">
        <v>2289</v>
      </c>
      <c r="H1363" t="s">
        <v>1723</v>
      </c>
      <c r="I1363" s="11">
        <v>46277</v>
      </c>
      <c r="J1363" s="12">
        <v>46266</v>
      </c>
      <c r="K1363" s="13">
        <f>INDEX(Assumptions!$B$4:$B$23,MATCH(F1363,Assumptions!$A$4:$A$23,0))</f>
        <v>1</v>
      </c>
      <c r="L1363" s="14">
        <f t="shared" si="42"/>
        <v>6.49</v>
      </c>
      <c r="M1363" t="str">
        <f t="shared" si="43"/>
        <v>No</v>
      </c>
    </row>
    <row r="1364" spans="1:13" x14ac:dyDescent="0.25">
      <c r="A1364">
        <v>338269</v>
      </c>
      <c r="B1364" t="s">
        <v>4242</v>
      </c>
      <c r="C1364" t="s">
        <v>4243</v>
      </c>
      <c r="D1364" t="s">
        <v>6220</v>
      </c>
      <c r="E1364">
        <v>19.989999999999998</v>
      </c>
      <c r="F1364" t="s">
        <v>1722</v>
      </c>
      <c r="G1364" t="s">
        <v>2289</v>
      </c>
      <c r="H1364" t="s">
        <v>1723</v>
      </c>
      <c r="I1364" s="11">
        <v>46277</v>
      </c>
      <c r="J1364" s="12">
        <v>46266</v>
      </c>
      <c r="K1364" s="13">
        <f>INDEX(Assumptions!$B$4:$B$23,MATCH(F1364,Assumptions!$A$4:$A$23,0))</f>
        <v>1</v>
      </c>
      <c r="L1364" s="14">
        <f t="shared" si="42"/>
        <v>19.989999999999998</v>
      </c>
      <c r="M1364" t="str">
        <f t="shared" si="43"/>
        <v>No</v>
      </c>
    </row>
    <row r="1365" spans="1:13" x14ac:dyDescent="0.25">
      <c r="A1365">
        <v>338268</v>
      </c>
      <c r="B1365" t="s">
        <v>4245</v>
      </c>
      <c r="C1365" t="s">
        <v>4246</v>
      </c>
      <c r="D1365" t="s">
        <v>6220</v>
      </c>
      <c r="E1365">
        <v>19.989999999999998</v>
      </c>
      <c r="F1365" t="s">
        <v>1722</v>
      </c>
      <c r="G1365" t="s">
        <v>2289</v>
      </c>
      <c r="H1365" t="s">
        <v>1723</v>
      </c>
      <c r="I1365" s="11">
        <v>46277</v>
      </c>
      <c r="J1365" s="12">
        <v>46266</v>
      </c>
      <c r="K1365" s="13">
        <f>INDEX(Assumptions!$B$4:$B$23,MATCH(F1365,Assumptions!$A$4:$A$23,0))</f>
        <v>1</v>
      </c>
      <c r="L1365" s="14">
        <f t="shared" si="42"/>
        <v>19.989999999999998</v>
      </c>
      <c r="M1365" t="str">
        <f t="shared" si="43"/>
        <v>No</v>
      </c>
    </row>
    <row r="1366" spans="1:13" x14ac:dyDescent="0.25">
      <c r="A1366">
        <v>338266</v>
      </c>
      <c r="B1366" t="s">
        <v>4248</v>
      </c>
      <c r="C1366" t="s">
        <v>4249</v>
      </c>
      <c r="D1366" t="s">
        <v>6220</v>
      </c>
      <c r="E1366">
        <v>19.989999999999998</v>
      </c>
      <c r="F1366" t="s">
        <v>1722</v>
      </c>
      <c r="G1366" t="s">
        <v>2289</v>
      </c>
      <c r="H1366" t="s">
        <v>1723</v>
      </c>
      <c r="I1366" s="11">
        <v>46277</v>
      </c>
      <c r="J1366" s="12">
        <v>46266</v>
      </c>
      <c r="K1366" s="13">
        <f>INDEX(Assumptions!$B$4:$B$23,MATCH(F1366,Assumptions!$A$4:$A$23,0))</f>
        <v>1</v>
      </c>
      <c r="L1366" s="14">
        <f t="shared" si="42"/>
        <v>19.989999999999998</v>
      </c>
      <c r="M1366" t="str">
        <f t="shared" si="43"/>
        <v>No</v>
      </c>
    </row>
    <row r="1367" spans="1:13" x14ac:dyDescent="0.25">
      <c r="A1367">
        <v>338265</v>
      </c>
      <c r="B1367" t="s">
        <v>4251</v>
      </c>
      <c r="C1367" t="s">
        <v>4252</v>
      </c>
      <c r="D1367" t="s">
        <v>6220</v>
      </c>
      <c r="E1367">
        <v>19.989999999999998</v>
      </c>
      <c r="F1367" t="s">
        <v>1722</v>
      </c>
      <c r="G1367" t="s">
        <v>2289</v>
      </c>
      <c r="H1367" t="s">
        <v>1723</v>
      </c>
      <c r="I1367" s="11">
        <v>46277</v>
      </c>
      <c r="J1367" s="12">
        <v>46266</v>
      </c>
      <c r="K1367" s="13">
        <f>INDEX(Assumptions!$B$4:$B$23,MATCH(F1367,Assumptions!$A$4:$A$23,0))</f>
        <v>1</v>
      </c>
      <c r="L1367" s="14">
        <f t="shared" si="42"/>
        <v>19.989999999999998</v>
      </c>
      <c r="M1367" t="str">
        <f t="shared" si="43"/>
        <v>No</v>
      </c>
    </row>
    <row r="1368" spans="1:13" x14ac:dyDescent="0.25">
      <c r="A1368">
        <v>338267</v>
      </c>
      <c r="B1368" t="s">
        <v>4254</v>
      </c>
      <c r="C1368" t="s">
        <v>4255</v>
      </c>
      <c r="D1368" t="s">
        <v>6220</v>
      </c>
      <c r="E1368">
        <v>6.49</v>
      </c>
      <c r="F1368" t="s">
        <v>1722</v>
      </c>
      <c r="G1368" t="s">
        <v>2289</v>
      </c>
      <c r="H1368" t="s">
        <v>1723</v>
      </c>
      <c r="I1368" s="11">
        <v>46277</v>
      </c>
      <c r="J1368" s="12">
        <v>46266</v>
      </c>
      <c r="K1368" s="13">
        <f>INDEX(Assumptions!$B$4:$B$23,MATCH(F1368,Assumptions!$A$4:$A$23,0))</f>
        <v>1</v>
      </c>
      <c r="L1368" s="14">
        <f t="shared" si="42"/>
        <v>6.49</v>
      </c>
      <c r="M1368" t="str">
        <f t="shared" si="43"/>
        <v>No</v>
      </c>
    </row>
    <row r="1369" spans="1:13" x14ac:dyDescent="0.25">
      <c r="A1369">
        <v>338264</v>
      </c>
      <c r="B1369" t="s">
        <v>4257</v>
      </c>
      <c r="C1369" t="s">
        <v>4258</v>
      </c>
      <c r="D1369" t="s">
        <v>6220</v>
      </c>
      <c r="E1369">
        <v>4.99</v>
      </c>
      <c r="F1369" t="s">
        <v>1722</v>
      </c>
      <c r="G1369" t="s">
        <v>2289</v>
      </c>
      <c r="H1369" t="s">
        <v>1723</v>
      </c>
      <c r="I1369" s="11">
        <v>46277</v>
      </c>
      <c r="J1369" s="12">
        <v>46266</v>
      </c>
      <c r="K1369" s="13">
        <f>INDEX(Assumptions!$B$4:$B$23,MATCH(F1369,Assumptions!$A$4:$A$23,0))</f>
        <v>1</v>
      </c>
      <c r="L1369" s="14">
        <f t="shared" si="42"/>
        <v>4.99</v>
      </c>
      <c r="M1369" t="str">
        <f t="shared" si="43"/>
        <v>No</v>
      </c>
    </row>
    <row r="1370" spans="1:13" x14ac:dyDescent="0.25">
      <c r="A1370">
        <v>338263</v>
      </c>
      <c r="B1370" t="s">
        <v>4260</v>
      </c>
      <c r="C1370" t="s">
        <v>4261</v>
      </c>
      <c r="D1370" t="s">
        <v>6220</v>
      </c>
      <c r="E1370">
        <v>7.49</v>
      </c>
      <c r="F1370" t="s">
        <v>1722</v>
      </c>
      <c r="G1370" t="s">
        <v>2289</v>
      </c>
      <c r="H1370" t="s">
        <v>1723</v>
      </c>
      <c r="I1370" s="11">
        <v>46277</v>
      </c>
      <c r="J1370" s="12">
        <v>46266</v>
      </c>
      <c r="K1370" s="13">
        <f>INDEX(Assumptions!$B$4:$B$23,MATCH(F1370,Assumptions!$A$4:$A$23,0))</f>
        <v>1</v>
      </c>
      <c r="L1370" s="14">
        <f t="shared" si="42"/>
        <v>7.49</v>
      </c>
      <c r="M1370" t="str">
        <f t="shared" si="43"/>
        <v>No</v>
      </c>
    </row>
    <row r="1371" spans="1:13" x14ac:dyDescent="0.25">
      <c r="A1371">
        <v>338262</v>
      </c>
      <c r="B1371" t="s">
        <v>4263</v>
      </c>
      <c r="C1371" t="s">
        <v>4264</v>
      </c>
      <c r="D1371" t="s">
        <v>6220</v>
      </c>
      <c r="E1371">
        <v>7.49</v>
      </c>
      <c r="F1371" t="s">
        <v>1722</v>
      </c>
      <c r="G1371" t="s">
        <v>2289</v>
      </c>
      <c r="H1371" t="s">
        <v>1723</v>
      </c>
      <c r="I1371" s="11">
        <v>46277</v>
      </c>
      <c r="J1371" s="12">
        <v>46266</v>
      </c>
      <c r="K1371" s="13">
        <f>INDEX(Assumptions!$B$4:$B$23,MATCH(F1371,Assumptions!$A$4:$A$23,0))</f>
        <v>1</v>
      </c>
      <c r="L1371" s="14">
        <f t="shared" si="42"/>
        <v>7.49</v>
      </c>
      <c r="M1371" t="str">
        <f t="shared" si="43"/>
        <v>No</v>
      </c>
    </row>
    <row r="1372" spans="1:13" x14ac:dyDescent="0.25">
      <c r="A1372">
        <v>338261</v>
      </c>
      <c r="B1372" t="s">
        <v>4266</v>
      </c>
      <c r="C1372" t="s">
        <v>4267</v>
      </c>
      <c r="D1372" t="s">
        <v>6220</v>
      </c>
      <c r="E1372">
        <v>7.99</v>
      </c>
      <c r="F1372" t="s">
        <v>1722</v>
      </c>
      <c r="G1372" t="s">
        <v>2289</v>
      </c>
      <c r="H1372" t="s">
        <v>1723</v>
      </c>
      <c r="I1372" s="11">
        <v>46277</v>
      </c>
      <c r="J1372" s="12">
        <v>46266</v>
      </c>
      <c r="K1372" s="13">
        <f>INDEX(Assumptions!$B$4:$B$23,MATCH(F1372,Assumptions!$A$4:$A$23,0))</f>
        <v>1</v>
      </c>
      <c r="L1372" s="14">
        <f t="shared" si="42"/>
        <v>7.99</v>
      </c>
      <c r="M1372" t="str">
        <f t="shared" si="43"/>
        <v>No</v>
      </c>
    </row>
    <row r="1373" spans="1:13" x14ac:dyDescent="0.25">
      <c r="A1373">
        <v>338260</v>
      </c>
      <c r="B1373" t="s">
        <v>4269</v>
      </c>
      <c r="C1373" t="s">
        <v>4270</v>
      </c>
      <c r="D1373" t="s">
        <v>6220</v>
      </c>
      <c r="E1373">
        <v>4.99</v>
      </c>
      <c r="F1373" t="s">
        <v>1722</v>
      </c>
      <c r="G1373" t="s">
        <v>2289</v>
      </c>
      <c r="H1373" t="s">
        <v>1723</v>
      </c>
      <c r="I1373" s="11">
        <v>46277</v>
      </c>
      <c r="J1373" s="12">
        <v>46266</v>
      </c>
      <c r="K1373" s="13">
        <f>INDEX(Assumptions!$B$4:$B$23,MATCH(F1373,Assumptions!$A$4:$A$23,0))</f>
        <v>1</v>
      </c>
      <c r="L1373" s="14">
        <f t="shared" si="42"/>
        <v>4.99</v>
      </c>
      <c r="M1373" t="str">
        <f t="shared" si="43"/>
        <v>No</v>
      </c>
    </row>
    <row r="1374" spans="1:13" x14ac:dyDescent="0.25">
      <c r="A1374">
        <v>338259</v>
      </c>
      <c r="B1374" t="s">
        <v>4272</v>
      </c>
      <c r="C1374" t="s">
        <v>4273</v>
      </c>
      <c r="D1374" t="s">
        <v>6220</v>
      </c>
      <c r="E1374">
        <v>9.99</v>
      </c>
      <c r="F1374" t="s">
        <v>1722</v>
      </c>
      <c r="G1374" t="s">
        <v>2289</v>
      </c>
      <c r="H1374" t="s">
        <v>1723</v>
      </c>
      <c r="I1374" s="11">
        <v>46277</v>
      </c>
      <c r="J1374" s="12">
        <v>46266</v>
      </c>
      <c r="K1374" s="13">
        <f>INDEX(Assumptions!$B$4:$B$23,MATCH(F1374,Assumptions!$A$4:$A$23,0))</f>
        <v>1</v>
      </c>
      <c r="L1374" s="14">
        <f t="shared" si="42"/>
        <v>9.99</v>
      </c>
      <c r="M1374" t="str">
        <f t="shared" si="43"/>
        <v>No</v>
      </c>
    </row>
    <row r="1375" spans="1:13" x14ac:dyDescent="0.25">
      <c r="A1375">
        <v>338258</v>
      </c>
      <c r="B1375" t="s">
        <v>4275</v>
      </c>
      <c r="C1375" t="s">
        <v>4276</v>
      </c>
      <c r="D1375" t="s">
        <v>6220</v>
      </c>
      <c r="E1375">
        <v>7.49</v>
      </c>
      <c r="F1375" t="s">
        <v>1722</v>
      </c>
      <c r="G1375" t="s">
        <v>2289</v>
      </c>
      <c r="H1375" t="s">
        <v>1723</v>
      </c>
      <c r="I1375" s="11">
        <v>46277</v>
      </c>
      <c r="J1375" s="12">
        <v>46266</v>
      </c>
      <c r="K1375" s="13">
        <f>INDEX(Assumptions!$B$4:$B$23,MATCH(F1375,Assumptions!$A$4:$A$23,0))</f>
        <v>1</v>
      </c>
      <c r="L1375" s="14">
        <f t="shared" si="42"/>
        <v>7.49</v>
      </c>
      <c r="M1375" t="str">
        <f t="shared" si="43"/>
        <v>No</v>
      </c>
    </row>
    <row r="1376" spans="1:13" x14ac:dyDescent="0.25">
      <c r="A1376">
        <v>338257</v>
      </c>
      <c r="B1376" t="s">
        <v>4278</v>
      </c>
      <c r="C1376" t="s">
        <v>4279</v>
      </c>
      <c r="D1376" t="s">
        <v>6220</v>
      </c>
      <c r="E1376">
        <v>4.99</v>
      </c>
      <c r="F1376" t="s">
        <v>1722</v>
      </c>
      <c r="G1376" t="s">
        <v>2289</v>
      </c>
      <c r="H1376" t="s">
        <v>1723</v>
      </c>
      <c r="I1376" s="11">
        <v>46277</v>
      </c>
      <c r="J1376" s="12">
        <v>46266</v>
      </c>
      <c r="K1376" s="13">
        <f>INDEX(Assumptions!$B$4:$B$23,MATCH(F1376,Assumptions!$A$4:$A$23,0))</f>
        <v>1</v>
      </c>
      <c r="L1376" s="14">
        <f t="shared" si="42"/>
        <v>4.99</v>
      </c>
      <c r="M1376" t="str">
        <f t="shared" si="43"/>
        <v>No</v>
      </c>
    </row>
    <row r="1377" spans="1:13" x14ac:dyDescent="0.25">
      <c r="A1377">
        <v>338256</v>
      </c>
      <c r="B1377" t="s">
        <v>4281</v>
      </c>
      <c r="C1377" t="s">
        <v>4282</v>
      </c>
      <c r="D1377" t="s">
        <v>6220</v>
      </c>
      <c r="E1377">
        <v>4.99</v>
      </c>
      <c r="F1377" t="s">
        <v>1722</v>
      </c>
      <c r="G1377" t="s">
        <v>2289</v>
      </c>
      <c r="H1377" t="s">
        <v>1723</v>
      </c>
      <c r="I1377" s="11">
        <v>46277</v>
      </c>
      <c r="J1377" s="12">
        <v>46266</v>
      </c>
      <c r="K1377" s="13">
        <f>INDEX(Assumptions!$B$4:$B$23,MATCH(F1377,Assumptions!$A$4:$A$23,0))</f>
        <v>1</v>
      </c>
      <c r="L1377" s="14">
        <f t="shared" si="42"/>
        <v>4.99</v>
      </c>
      <c r="M1377" t="str">
        <f t="shared" si="43"/>
        <v>No</v>
      </c>
    </row>
    <row r="1378" spans="1:13" x14ac:dyDescent="0.25">
      <c r="A1378">
        <v>338255</v>
      </c>
      <c r="B1378" t="s">
        <v>4284</v>
      </c>
      <c r="C1378" t="s">
        <v>4285</v>
      </c>
      <c r="D1378" t="s">
        <v>6220</v>
      </c>
      <c r="E1378">
        <v>7.49</v>
      </c>
      <c r="F1378" t="s">
        <v>1722</v>
      </c>
      <c r="G1378" t="s">
        <v>2289</v>
      </c>
      <c r="H1378" t="s">
        <v>1723</v>
      </c>
      <c r="I1378" s="11">
        <v>46277</v>
      </c>
      <c r="J1378" s="12">
        <v>46266</v>
      </c>
      <c r="K1378" s="13">
        <f>INDEX(Assumptions!$B$4:$B$23,MATCH(F1378,Assumptions!$A$4:$A$23,0))</f>
        <v>1</v>
      </c>
      <c r="L1378" s="14">
        <f t="shared" si="42"/>
        <v>7.49</v>
      </c>
      <c r="M1378" t="str">
        <f t="shared" si="43"/>
        <v>No</v>
      </c>
    </row>
    <row r="1379" spans="1:13" x14ac:dyDescent="0.25">
      <c r="A1379">
        <v>338254</v>
      </c>
      <c r="B1379" t="s">
        <v>4287</v>
      </c>
      <c r="C1379" t="s">
        <v>4288</v>
      </c>
      <c r="D1379" t="s">
        <v>6220</v>
      </c>
      <c r="E1379">
        <v>2.99</v>
      </c>
      <c r="F1379" t="s">
        <v>1722</v>
      </c>
      <c r="G1379" t="s">
        <v>2289</v>
      </c>
      <c r="H1379" t="s">
        <v>1723</v>
      </c>
      <c r="I1379" s="11">
        <v>46277</v>
      </c>
      <c r="J1379" s="12">
        <v>46266</v>
      </c>
      <c r="K1379" s="13">
        <f>INDEX(Assumptions!$B$4:$B$23,MATCH(F1379,Assumptions!$A$4:$A$23,0))</f>
        <v>1</v>
      </c>
      <c r="L1379" s="14">
        <f t="shared" si="42"/>
        <v>2.99</v>
      </c>
      <c r="M1379" t="str">
        <f t="shared" si="43"/>
        <v>No</v>
      </c>
    </row>
    <row r="1380" spans="1:13" x14ac:dyDescent="0.25">
      <c r="A1380">
        <v>338253</v>
      </c>
      <c r="B1380" t="s">
        <v>4290</v>
      </c>
      <c r="C1380" t="s">
        <v>4291</v>
      </c>
      <c r="D1380" t="s">
        <v>6220</v>
      </c>
      <c r="E1380">
        <v>9.99</v>
      </c>
      <c r="F1380" t="s">
        <v>1722</v>
      </c>
      <c r="G1380" t="s">
        <v>2289</v>
      </c>
      <c r="H1380" t="s">
        <v>1723</v>
      </c>
      <c r="I1380" s="11">
        <v>46277</v>
      </c>
      <c r="J1380" s="12">
        <v>46266</v>
      </c>
      <c r="K1380" s="13">
        <f>INDEX(Assumptions!$B$4:$B$23,MATCH(F1380,Assumptions!$A$4:$A$23,0))</f>
        <v>1</v>
      </c>
      <c r="L1380" s="14">
        <f t="shared" si="42"/>
        <v>9.99</v>
      </c>
      <c r="M1380" t="str">
        <f t="shared" si="43"/>
        <v>No</v>
      </c>
    </row>
    <row r="1381" spans="1:13" x14ac:dyDescent="0.25">
      <c r="A1381">
        <v>338252</v>
      </c>
      <c r="B1381" t="s">
        <v>4293</v>
      </c>
      <c r="C1381" t="s">
        <v>4294</v>
      </c>
      <c r="D1381" t="s">
        <v>6220</v>
      </c>
      <c r="E1381">
        <v>9.99</v>
      </c>
      <c r="F1381" t="s">
        <v>1722</v>
      </c>
      <c r="G1381" t="s">
        <v>2289</v>
      </c>
      <c r="H1381" t="s">
        <v>1723</v>
      </c>
      <c r="I1381" s="11">
        <v>46277</v>
      </c>
      <c r="J1381" s="12">
        <v>46266</v>
      </c>
      <c r="K1381" s="13">
        <f>INDEX(Assumptions!$B$4:$B$23,MATCH(F1381,Assumptions!$A$4:$A$23,0))</f>
        <v>1</v>
      </c>
      <c r="L1381" s="14">
        <f t="shared" si="42"/>
        <v>9.99</v>
      </c>
      <c r="M1381" t="str">
        <f t="shared" si="43"/>
        <v>No</v>
      </c>
    </row>
    <row r="1382" spans="1:13" x14ac:dyDescent="0.25">
      <c r="A1382">
        <v>338251</v>
      </c>
      <c r="B1382" t="s">
        <v>4296</v>
      </c>
      <c r="C1382" t="s">
        <v>4297</v>
      </c>
      <c r="D1382" t="s">
        <v>6220</v>
      </c>
      <c r="E1382">
        <v>2.99</v>
      </c>
      <c r="F1382" t="s">
        <v>1722</v>
      </c>
      <c r="G1382" t="s">
        <v>2289</v>
      </c>
      <c r="H1382" t="s">
        <v>1723</v>
      </c>
      <c r="I1382" s="11">
        <v>46277</v>
      </c>
      <c r="J1382" s="12">
        <v>46266</v>
      </c>
      <c r="K1382" s="13">
        <f>INDEX(Assumptions!$B$4:$B$23,MATCH(F1382,Assumptions!$A$4:$A$23,0))</f>
        <v>1</v>
      </c>
      <c r="L1382" s="14">
        <f t="shared" si="42"/>
        <v>2.99</v>
      </c>
      <c r="M1382" t="str">
        <f t="shared" si="43"/>
        <v>No</v>
      </c>
    </row>
    <row r="1383" spans="1:13" x14ac:dyDescent="0.25">
      <c r="A1383">
        <v>338250</v>
      </c>
      <c r="B1383" t="s">
        <v>4299</v>
      </c>
      <c r="C1383" t="s">
        <v>4300</v>
      </c>
      <c r="D1383" t="s">
        <v>6220</v>
      </c>
      <c r="E1383">
        <v>4.49</v>
      </c>
      <c r="F1383" t="s">
        <v>1722</v>
      </c>
      <c r="G1383" t="s">
        <v>2289</v>
      </c>
      <c r="H1383" t="s">
        <v>1723</v>
      </c>
      <c r="I1383" s="11">
        <v>46277</v>
      </c>
      <c r="J1383" s="12">
        <v>46266</v>
      </c>
      <c r="K1383" s="13">
        <f>INDEX(Assumptions!$B$4:$B$23,MATCH(F1383,Assumptions!$A$4:$A$23,0))</f>
        <v>1</v>
      </c>
      <c r="L1383" s="14">
        <f t="shared" si="42"/>
        <v>4.49</v>
      </c>
      <c r="M1383" t="str">
        <f t="shared" si="43"/>
        <v>No</v>
      </c>
    </row>
    <row r="1384" spans="1:13" x14ac:dyDescent="0.25">
      <c r="A1384">
        <v>338249</v>
      </c>
      <c r="B1384" t="s">
        <v>4302</v>
      </c>
      <c r="C1384" t="s">
        <v>4303</v>
      </c>
      <c r="D1384" t="s">
        <v>6220</v>
      </c>
      <c r="E1384">
        <v>10.99</v>
      </c>
      <c r="F1384" t="s">
        <v>1722</v>
      </c>
      <c r="G1384" t="s">
        <v>2289</v>
      </c>
      <c r="H1384" t="s">
        <v>1723</v>
      </c>
      <c r="I1384" s="11">
        <v>46277</v>
      </c>
      <c r="J1384" s="12">
        <v>46266</v>
      </c>
      <c r="K1384" s="13">
        <f>INDEX(Assumptions!$B$4:$B$23,MATCH(F1384,Assumptions!$A$4:$A$23,0))</f>
        <v>1</v>
      </c>
      <c r="L1384" s="14">
        <f t="shared" si="42"/>
        <v>10.99</v>
      </c>
      <c r="M1384" t="str">
        <f t="shared" si="43"/>
        <v>No</v>
      </c>
    </row>
    <row r="1385" spans="1:13" x14ac:dyDescent="0.25">
      <c r="A1385">
        <v>338248</v>
      </c>
      <c r="B1385" t="s">
        <v>4305</v>
      </c>
      <c r="C1385" t="s">
        <v>4306</v>
      </c>
      <c r="D1385" t="s">
        <v>6220</v>
      </c>
      <c r="E1385">
        <v>10.99</v>
      </c>
      <c r="F1385" t="s">
        <v>1722</v>
      </c>
      <c r="G1385" t="s">
        <v>2289</v>
      </c>
      <c r="H1385" t="s">
        <v>1723</v>
      </c>
      <c r="I1385" s="11">
        <v>46277</v>
      </c>
      <c r="J1385" s="12">
        <v>46266</v>
      </c>
      <c r="K1385" s="13">
        <f>INDEX(Assumptions!$B$4:$B$23,MATCH(F1385,Assumptions!$A$4:$A$23,0))</f>
        <v>1</v>
      </c>
      <c r="L1385" s="14">
        <f t="shared" si="42"/>
        <v>10.99</v>
      </c>
      <c r="M1385" t="str">
        <f t="shared" si="43"/>
        <v>No</v>
      </c>
    </row>
    <row r="1386" spans="1:13" x14ac:dyDescent="0.25">
      <c r="A1386">
        <v>338247</v>
      </c>
      <c r="B1386" t="s">
        <v>4308</v>
      </c>
      <c r="C1386" t="s">
        <v>4309</v>
      </c>
      <c r="D1386" t="s">
        <v>6220</v>
      </c>
      <c r="E1386">
        <v>10.49</v>
      </c>
      <c r="F1386" t="s">
        <v>1722</v>
      </c>
      <c r="G1386" t="s">
        <v>2289</v>
      </c>
      <c r="H1386" t="s">
        <v>1723</v>
      </c>
      <c r="I1386" s="11">
        <v>46277</v>
      </c>
      <c r="J1386" s="12">
        <v>46266</v>
      </c>
      <c r="K1386" s="13">
        <f>INDEX(Assumptions!$B$4:$B$23,MATCH(F1386,Assumptions!$A$4:$A$23,0))</f>
        <v>1</v>
      </c>
      <c r="L1386" s="14">
        <f t="shared" si="42"/>
        <v>10.49</v>
      </c>
      <c r="M1386" t="str">
        <f t="shared" si="43"/>
        <v>No</v>
      </c>
    </row>
    <row r="1387" spans="1:13" x14ac:dyDescent="0.25">
      <c r="A1387">
        <v>338246</v>
      </c>
      <c r="B1387" t="s">
        <v>4311</v>
      </c>
      <c r="C1387" t="s">
        <v>4312</v>
      </c>
      <c r="D1387" t="s">
        <v>6220</v>
      </c>
      <c r="E1387">
        <v>11.49</v>
      </c>
      <c r="F1387" t="s">
        <v>1722</v>
      </c>
      <c r="G1387" t="s">
        <v>2289</v>
      </c>
      <c r="H1387" t="s">
        <v>1723</v>
      </c>
      <c r="I1387" s="11">
        <v>46277</v>
      </c>
      <c r="J1387" s="12">
        <v>46266</v>
      </c>
      <c r="K1387" s="13">
        <f>INDEX(Assumptions!$B$4:$B$23,MATCH(F1387,Assumptions!$A$4:$A$23,0))</f>
        <v>1</v>
      </c>
      <c r="L1387" s="14">
        <f t="shared" si="42"/>
        <v>11.49</v>
      </c>
      <c r="M1387" t="str">
        <f t="shared" si="43"/>
        <v>No</v>
      </c>
    </row>
    <row r="1388" spans="1:13" x14ac:dyDescent="0.25">
      <c r="A1388">
        <v>338245</v>
      </c>
      <c r="B1388" t="s">
        <v>4315</v>
      </c>
      <c r="C1388" t="s">
        <v>4316</v>
      </c>
      <c r="D1388" t="s">
        <v>6220</v>
      </c>
      <c r="E1388">
        <v>11.99</v>
      </c>
      <c r="F1388" t="s">
        <v>1722</v>
      </c>
      <c r="G1388" t="s">
        <v>2289</v>
      </c>
      <c r="H1388" t="s">
        <v>1723</v>
      </c>
      <c r="I1388" s="11">
        <v>46277</v>
      </c>
      <c r="J1388" s="12">
        <v>46266</v>
      </c>
      <c r="K1388" s="13">
        <f>INDEX(Assumptions!$B$4:$B$23,MATCH(F1388,Assumptions!$A$4:$A$23,0))</f>
        <v>1</v>
      </c>
      <c r="L1388" s="14">
        <f t="shared" si="42"/>
        <v>11.99</v>
      </c>
      <c r="M1388" t="str">
        <f t="shared" si="43"/>
        <v>No</v>
      </c>
    </row>
    <row r="1389" spans="1:13" x14ac:dyDescent="0.25">
      <c r="A1389">
        <v>338244</v>
      </c>
      <c r="B1389" t="s">
        <v>4318</v>
      </c>
      <c r="C1389" t="s">
        <v>4319</v>
      </c>
      <c r="D1389" t="s">
        <v>6220</v>
      </c>
      <c r="E1389">
        <v>4.49</v>
      </c>
      <c r="F1389" t="s">
        <v>1722</v>
      </c>
      <c r="G1389" t="s">
        <v>2289</v>
      </c>
      <c r="H1389" t="s">
        <v>1723</v>
      </c>
      <c r="I1389" s="11">
        <v>46277</v>
      </c>
      <c r="J1389" s="12">
        <v>46266</v>
      </c>
      <c r="K1389" s="13">
        <f>INDEX(Assumptions!$B$4:$B$23,MATCH(F1389,Assumptions!$A$4:$A$23,0))</f>
        <v>1</v>
      </c>
      <c r="L1389" s="14">
        <f t="shared" si="42"/>
        <v>4.49</v>
      </c>
      <c r="M1389" t="str">
        <f t="shared" si="43"/>
        <v>No</v>
      </c>
    </row>
    <row r="1390" spans="1:13" x14ac:dyDescent="0.25">
      <c r="A1390">
        <v>338243</v>
      </c>
      <c r="B1390" t="s">
        <v>4321</v>
      </c>
      <c r="C1390" t="s">
        <v>4322</v>
      </c>
      <c r="D1390" t="s">
        <v>6220</v>
      </c>
      <c r="E1390">
        <v>12.49</v>
      </c>
      <c r="F1390" t="s">
        <v>1722</v>
      </c>
      <c r="G1390" t="s">
        <v>2289</v>
      </c>
      <c r="H1390" t="s">
        <v>1723</v>
      </c>
      <c r="I1390" s="11">
        <v>46277</v>
      </c>
      <c r="J1390" s="12">
        <v>46266</v>
      </c>
      <c r="K1390" s="13">
        <f>INDEX(Assumptions!$B$4:$B$23,MATCH(F1390,Assumptions!$A$4:$A$23,0))</f>
        <v>1</v>
      </c>
      <c r="L1390" s="14">
        <f t="shared" si="42"/>
        <v>12.49</v>
      </c>
      <c r="M1390" t="str">
        <f t="shared" si="43"/>
        <v>No</v>
      </c>
    </row>
    <row r="1391" spans="1:13" x14ac:dyDescent="0.25">
      <c r="A1391">
        <v>338242</v>
      </c>
      <c r="B1391" t="s">
        <v>4324</v>
      </c>
      <c r="C1391" t="s">
        <v>4325</v>
      </c>
      <c r="D1391" t="s">
        <v>6220</v>
      </c>
      <c r="E1391">
        <v>10.49</v>
      </c>
      <c r="F1391" t="s">
        <v>1722</v>
      </c>
      <c r="G1391" t="s">
        <v>2289</v>
      </c>
      <c r="H1391" t="s">
        <v>1723</v>
      </c>
      <c r="I1391" s="11">
        <v>46277</v>
      </c>
      <c r="J1391" s="12">
        <v>46266</v>
      </c>
      <c r="K1391" s="13">
        <f>INDEX(Assumptions!$B$4:$B$23,MATCH(F1391,Assumptions!$A$4:$A$23,0))</f>
        <v>1</v>
      </c>
      <c r="L1391" s="14">
        <f t="shared" si="42"/>
        <v>10.49</v>
      </c>
      <c r="M1391" t="str">
        <f t="shared" si="43"/>
        <v>No</v>
      </c>
    </row>
    <row r="1392" spans="1:13" x14ac:dyDescent="0.25">
      <c r="A1392">
        <v>338241</v>
      </c>
      <c r="B1392" t="s">
        <v>4327</v>
      </c>
      <c r="C1392" t="s">
        <v>4328</v>
      </c>
      <c r="D1392" t="s">
        <v>6220</v>
      </c>
      <c r="E1392">
        <v>5.99</v>
      </c>
      <c r="F1392" t="s">
        <v>1722</v>
      </c>
      <c r="G1392" t="s">
        <v>2289</v>
      </c>
      <c r="H1392" t="s">
        <v>1723</v>
      </c>
      <c r="I1392" s="11">
        <v>46277</v>
      </c>
      <c r="J1392" s="12">
        <v>46266</v>
      </c>
      <c r="K1392" s="13">
        <f>INDEX(Assumptions!$B$4:$B$23,MATCH(F1392,Assumptions!$A$4:$A$23,0))</f>
        <v>1</v>
      </c>
      <c r="L1392" s="14">
        <f t="shared" si="42"/>
        <v>5.99</v>
      </c>
      <c r="M1392" t="str">
        <f t="shared" si="43"/>
        <v>No</v>
      </c>
    </row>
    <row r="1393" spans="1:13" x14ac:dyDescent="0.25">
      <c r="A1393">
        <v>338239</v>
      </c>
      <c r="B1393" t="s">
        <v>4330</v>
      </c>
      <c r="C1393" t="s">
        <v>4331</v>
      </c>
      <c r="D1393" t="s">
        <v>6220</v>
      </c>
      <c r="E1393">
        <v>3.99</v>
      </c>
      <c r="F1393" t="s">
        <v>1722</v>
      </c>
      <c r="G1393" t="s">
        <v>2289</v>
      </c>
      <c r="H1393" t="s">
        <v>1723</v>
      </c>
      <c r="I1393" s="11">
        <v>46277</v>
      </c>
      <c r="J1393" s="12">
        <v>46266</v>
      </c>
      <c r="K1393" s="13">
        <f>INDEX(Assumptions!$B$4:$B$23,MATCH(F1393,Assumptions!$A$4:$A$23,0))</f>
        <v>1</v>
      </c>
      <c r="L1393" s="14">
        <f t="shared" si="42"/>
        <v>3.99</v>
      </c>
      <c r="M1393" t="str">
        <f t="shared" si="43"/>
        <v>No</v>
      </c>
    </row>
    <row r="1394" spans="1:13" x14ac:dyDescent="0.25">
      <c r="A1394">
        <v>338240</v>
      </c>
      <c r="B1394" t="s">
        <v>4333</v>
      </c>
      <c r="C1394" t="s">
        <v>4334</v>
      </c>
      <c r="D1394" t="s">
        <v>6220</v>
      </c>
      <c r="E1394">
        <v>4.99</v>
      </c>
      <c r="F1394" t="s">
        <v>1722</v>
      </c>
      <c r="G1394" t="s">
        <v>2289</v>
      </c>
      <c r="H1394" t="s">
        <v>1723</v>
      </c>
      <c r="I1394" s="11">
        <v>46277</v>
      </c>
      <c r="J1394" s="12">
        <v>46266</v>
      </c>
      <c r="K1394" s="13">
        <f>INDEX(Assumptions!$B$4:$B$23,MATCH(F1394,Assumptions!$A$4:$A$23,0))</f>
        <v>1</v>
      </c>
      <c r="L1394" s="14">
        <f t="shared" si="42"/>
        <v>4.99</v>
      </c>
      <c r="M1394" t="str">
        <f t="shared" si="43"/>
        <v>No</v>
      </c>
    </row>
    <row r="1395" spans="1:13" x14ac:dyDescent="0.25">
      <c r="A1395">
        <v>338238</v>
      </c>
      <c r="B1395" t="s">
        <v>4336</v>
      </c>
      <c r="C1395" t="s">
        <v>4337</v>
      </c>
      <c r="D1395" t="s">
        <v>6220</v>
      </c>
      <c r="E1395">
        <v>6.99</v>
      </c>
      <c r="F1395" t="s">
        <v>1722</v>
      </c>
      <c r="G1395" t="s">
        <v>2289</v>
      </c>
      <c r="H1395" t="s">
        <v>1723</v>
      </c>
      <c r="I1395" s="11">
        <v>46277</v>
      </c>
      <c r="J1395" s="12">
        <v>46266</v>
      </c>
      <c r="K1395" s="13">
        <f>INDEX(Assumptions!$B$4:$B$23,MATCH(F1395,Assumptions!$A$4:$A$23,0))</f>
        <v>1</v>
      </c>
      <c r="L1395" s="14">
        <f t="shared" si="42"/>
        <v>6.99</v>
      </c>
      <c r="M1395" t="str">
        <f t="shared" si="43"/>
        <v>No</v>
      </c>
    </row>
    <row r="1396" spans="1:13" x14ac:dyDescent="0.25">
      <c r="A1396">
        <v>338237</v>
      </c>
      <c r="B1396" t="s">
        <v>4339</v>
      </c>
      <c r="C1396" t="s">
        <v>4340</v>
      </c>
      <c r="D1396" t="s">
        <v>6220</v>
      </c>
      <c r="E1396">
        <v>9.99</v>
      </c>
      <c r="F1396" t="s">
        <v>1722</v>
      </c>
      <c r="G1396" t="s">
        <v>2289</v>
      </c>
      <c r="H1396" t="s">
        <v>1723</v>
      </c>
      <c r="I1396" s="11">
        <v>46277</v>
      </c>
      <c r="J1396" s="12">
        <v>46266</v>
      </c>
      <c r="K1396" s="13">
        <f>INDEX(Assumptions!$B$4:$B$23,MATCH(F1396,Assumptions!$A$4:$A$23,0))</f>
        <v>1</v>
      </c>
      <c r="L1396" s="14">
        <f t="shared" si="42"/>
        <v>9.99</v>
      </c>
      <c r="M1396" t="str">
        <f t="shared" si="43"/>
        <v>No</v>
      </c>
    </row>
    <row r="1397" spans="1:13" x14ac:dyDescent="0.25">
      <c r="A1397">
        <v>338236</v>
      </c>
      <c r="B1397" t="s">
        <v>4342</v>
      </c>
      <c r="C1397" t="s">
        <v>4343</v>
      </c>
      <c r="D1397" t="s">
        <v>6220</v>
      </c>
      <c r="E1397">
        <v>3.49</v>
      </c>
      <c r="F1397" t="s">
        <v>1722</v>
      </c>
      <c r="G1397" t="s">
        <v>2289</v>
      </c>
      <c r="H1397" t="s">
        <v>1723</v>
      </c>
      <c r="I1397" s="11">
        <v>46277</v>
      </c>
      <c r="J1397" s="12">
        <v>46266</v>
      </c>
      <c r="K1397" s="13">
        <f>INDEX(Assumptions!$B$4:$B$23,MATCH(F1397,Assumptions!$A$4:$A$23,0))</f>
        <v>1</v>
      </c>
      <c r="L1397" s="14">
        <f t="shared" si="42"/>
        <v>3.49</v>
      </c>
      <c r="M1397" t="str">
        <f t="shared" si="43"/>
        <v>No</v>
      </c>
    </row>
    <row r="1398" spans="1:13" x14ac:dyDescent="0.25">
      <c r="A1398">
        <v>338234</v>
      </c>
      <c r="B1398" t="s">
        <v>4345</v>
      </c>
      <c r="C1398" t="s">
        <v>4346</v>
      </c>
      <c r="D1398" t="s">
        <v>6220</v>
      </c>
      <c r="E1398">
        <v>5.99</v>
      </c>
      <c r="F1398" t="s">
        <v>1722</v>
      </c>
      <c r="G1398" t="s">
        <v>2289</v>
      </c>
      <c r="H1398" t="s">
        <v>1723</v>
      </c>
      <c r="I1398" s="11">
        <v>46277</v>
      </c>
      <c r="J1398" s="12">
        <v>46266</v>
      </c>
      <c r="K1398" s="13">
        <f>INDEX(Assumptions!$B$4:$B$23,MATCH(F1398,Assumptions!$A$4:$A$23,0))</f>
        <v>1</v>
      </c>
      <c r="L1398" s="14">
        <f t="shared" si="42"/>
        <v>5.99</v>
      </c>
      <c r="M1398" t="str">
        <f t="shared" si="43"/>
        <v>No</v>
      </c>
    </row>
    <row r="1399" spans="1:13" x14ac:dyDescent="0.25">
      <c r="A1399">
        <v>338233</v>
      </c>
      <c r="B1399" t="s">
        <v>4348</v>
      </c>
      <c r="C1399" t="s">
        <v>4349</v>
      </c>
      <c r="D1399" t="s">
        <v>6220</v>
      </c>
      <c r="E1399">
        <v>11.99</v>
      </c>
      <c r="F1399" t="s">
        <v>1722</v>
      </c>
      <c r="G1399" t="s">
        <v>2289</v>
      </c>
      <c r="H1399" t="s">
        <v>1723</v>
      </c>
      <c r="I1399" s="11">
        <v>46277</v>
      </c>
      <c r="J1399" s="12">
        <v>46266</v>
      </c>
      <c r="K1399" s="13">
        <f>INDEX(Assumptions!$B$4:$B$23,MATCH(F1399,Assumptions!$A$4:$A$23,0))</f>
        <v>1</v>
      </c>
      <c r="L1399" s="14">
        <f t="shared" si="42"/>
        <v>11.99</v>
      </c>
      <c r="M1399" t="str">
        <f t="shared" si="43"/>
        <v>No</v>
      </c>
    </row>
    <row r="1400" spans="1:13" x14ac:dyDescent="0.25">
      <c r="A1400">
        <v>338232</v>
      </c>
      <c r="B1400" t="s">
        <v>4159</v>
      </c>
      <c r="C1400" t="s">
        <v>4160</v>
      </c>
      <c r="D1400" t="s">
        <v>6220</v>
      </c>
      <c r="E1400">
        <v>6.99</v>
      </c>
      <c r="F1400" t="s">
        <v>1722</v>
      </c>
      <c r="G1400" t="s">
        <v>2289</v>
      </c>
      <c r="H1400" t="s">
        <v>1723</v>
      </c>
      <c r="I1400" s="11">
        <v>46277</v>
      </c>
      <c r="J1400" s="12">
        <v>46266</v>
      </c>
      <c r="K1400" s="13">
        <f>INDEX(Assumptions!$B$4:$B$23,MATCH(F1400,Assumptions!$A$4:$A$23,0))</f>
        <v>1</v>
      </c>
      <c r="L1400" s="14">
        <f t="shared" si="42"/>
        <v>6.99</v>
      </c>
      <c r="M1400" t="str">
        <f t="shared" si="43"/>
        <v>No</v>
      </c>
    </row>
    <row r="1401" spans="1:13" x14ac:dyDescent="0.25">
      <c r="A1401">
        <v>338231</v>
      </c>
      <c r="B1401" t="s">
        <v>4352</v>
      </c>
      <c r="C1401" t="s">
        <v>4353</v>
      </c>
      <c r="D1401" t="s">
        <v>6220</v>
      </c>
      <c r="E1401">
        <v>6.99</v>
      </c>
      <c r="F1401" t="s">
        <v>1722</v>
      </c>
      <c r="G1401" t="s">
        <v>2289</v>
      </c>
      <c r="H1401" t="s">
        <v>1723</v>
      </c>
      <c r="I1401" s="11">
        <v>46277</v>
      </c>
      <c r="J1401" s="12">
        <v>46266</v>
      </c>
      <c r="K1401" s="13">
        <f>INDEX(Assumptions!$B$4:$B$23,MATCH(F1401,Assumptions!$A$4:$A$23,0))</f>
        <v>1</v>
      </c>
      <c r="L1401" s="14">
        <f t="shared" si="42"/>
        <v>6.99</v>
      </c>
      <c r="M1401" t="str">
        <f t="shared" si="43"/>
        <v>No</v>
      </c>
    </row>
    <row r="1402" spans="1:13" x14ac:dyDescent="0.25">
      <c r="A1402">
        <v>338230</v>
      </c>
      <c r="B1402" t="s">
        <v>4355</v>
      </c>
      <c r="C1402" t="s">
        <v>4356</v>
      </c>
      <c r="D1402" t="s">
        <v>6220</v>
      </c>
      <c r="E1402">
        <v>10.99</v>
      </c>
      <c r="F1402" t="s">
        <v>1722</v>
      </c>
      <c r="G1402" t="s">
        <v>2289</v>
      </c>
      <c r="H1402" t="s">
        <v>1723</v>
      </c>
      <c r="I1402" s="11">
        <v>46277</v>
      </c>
      <c r="J1402" s="12">
        <v>46266</v>
      </c>
      <c r="K1402" s="13">
        <f>INDEX(Assumptions!$B$4:$B$23,MATCH(F1402,Assumptions!$A$4:$A$23,0))</f>
        <v>1</v>
      </c>
      <c r="L1402" s="14">
        <f t="shared" si="42"/>
        <v>10.99</v>
      </c>
      <c r="M1402" t="str">
        <f t="shared" si="43"/>
        <v>No</v>
      </c>
    </row>
    <row r="1403" spans="1:13" x14ac:dyDescent="0.25">
      <c r="A1403">
        <v>338229</v>
      </c>
      <c r="B1403" t="s">
        <v>4358</v>
      </c>
      <c r="C1403" t="s">
        <v>4359</v>
      </c>
      <c r="D1403" t="s">
        <v>6220</v>
      </c>
      <c r="E1403">
        <v>6.99</v>
      </c>
      <c r="F1403" t="s">
        <v>1722</v>
      </c>
      <c r="G1403" t="s">
        <v>2289</v>
      </c>
      <c r="H1403" t="s">
        <v>1723</v>
      </c>
      <c r="I1403" s="11">
        <v>46277</v>
      </c>
      <c r="J1403" s="12">
        <v>46266</v>
      </c>
      <c r="K1403" s="13">
        <f>INDEX(Assumptions!$B$4:$B$23,MATCH(F1403,Assumptions!$A$4:$A$23,0))</f>
        <v>1</v>
      </c>
      <c r="L1403" s="14">
        <f t="shared" si="42"/>
        <v>6.99</v>
      </c>
      <c r="M1403" t="str">
        <f t="shared" si="43"/>
        <v>No</v>
      </c>
    </row>
    <row r="1404" spans="1:13" x14ac:dyDescent="0.25">
      <c r="A1404">
        <v>338228</v>
      </c>
      <c r="B1404" t="s">
        <v>4361</v>
      </c>
      <c r="C1404" t="s">
        <v>4362</v>
      </c>
      <c r="D1404" t="s">
        <v>6220</v>
      </c>
      <c r="E1404">
        <v>10.49</v>
      </c>
      <c r="F1404" t="s">
        <v>1722</v>
      </c>
      <c r="G1404" t="s">
        <v>2289</v>
      </c>
      <c r="H1404" t="s">
        <v>1723</v>
      </c>
      <c r="I1404" s="11">
        <v>46277</v>
      </c>
      <c r="J1404" s="12">
        <v>46266</v>
      </c>
      <c r="K1404" s="13">
        <f>INDEX(Assumptions!$B$4:$B$23,MATCH(F1404,Assumptions!$A$4:$A$23,0))</f>
        <v>1</v>
      </c>
      <c r="L1404" s="14">
        <f t="shared" si="42"/>
        <v>10.49</v>
      </c>
      <c r="M1404" t="str">
        <f t="shared" si="43"/>
        <v>No</v>
      </c>
    </row>
    <row r="1405" spans="1:13" x14ac:dyDescent="0.25">
      <c r="A1405">
        <v>338227</v>
      </c>
      <c r="B1405" t="s">
        <v>4364</v>
      </c>
      <c r="C1405" t="s">
        <v>4365</v>
      </c>
      <c r="D1405" t="s">
        <v>6220</v>
      </c>
      <c r="E1405">
        <v>6.99</v>
      </c>
      <c r="F1405" t="s">
        <v>1722</v>
      </c>
      <c r="G1405" t="s">
        <v>2289</v>
      </c>
      <c r="H1405" t="s">
        <v>1723</v>
      </c>
      <c r="I1405" s="11">
        <v>46277</v>
      </c>
      <c r="J1405" s="12">
        <v>46266</v>
      </c>
      <c r="K1405" s="13">
        <f>INDEX(Assumptions!$B$4:$B$23,MATCH(F1405,Assumptions!$A$4:$A$23,0))</f>
        <v>1</v>
      </c>
      <c r="L1405" s="14">
        <f t="shared" si="42"/>
        <v>6.99</v>
      </c>
      <c r="M1405" t="str">
        <f t="shared" si="43"/>
        <v>No</v>
      </c>
    </row>
    <row r="1406" spans="1:13" x14ac:dyDescent="0.25">
      <c r="A1406">
        <v>338226</v>
      </c>
      <c r="B1406" t="s">
        <v>4367</v>
      </c>
      <c r="C1406" t="s">
        <v>4368</v>
      </c>
      <c r="D1406" t="s">
        <v>6220</v>
      </c>
      <c r="E1406">
        <v>10.99</v>
      </c>
      <c r="F1406" t="s">
        <v>1722</v>
      </c>
      <c r="G1406" t="s">
        <v>2289</v>
      </c>
      <c r="H1406" t="s">
        <v>1723</v>
      </c>
      <c r="I1406" s="11">
        <v>46277</v>
      </c>
      <c r="J1406" s="12">
        <v>46266</v>
      </c>
      <c r="K1406" s="13">
        <f>INDEX(Assumptions!$B$4:$B$23,MATCH(F1406,Assumptions!$A$4:$A$23,0))</f>
        <v>1</v>
      </c>
      <c r="L1406" s="14">
        <f t="shared" si="42"/>
        <v>10.99</v>
      </c>
      <c r="M1406" t="str">
        <f t="shared" si="43"/>
        <v>No</v>
      </c>
    </row>
    <row r="1407" spans="1:13" x14ac:dyDescent="0.25">
      <c r="A1407">
        <v>338235</v>
      </c>
      <c r="B1407" t="s">
        <v>4370</v>
      </c>
      <c r="C1407" t="s">
        <v>4371</v>
      </c>
      <c r="D1407" t="s">
        <v>6220</v>
      </c>
      <c r="E1407">
        <v>10.99</v>
      </c>
      <c r="F1407" t="s">
        <v>1722</v>
      </c>
      <c r="G1407" t="s">
        <v>2289</v>
      </c>
      <c r="H1407" t="s">
        <v>1723</v>
      </c>
      <c r="I1407" s="11">
        <v>46277</v>
      </c>
      <c r="J1407" s="12">
        <v>46266</v>
      </c>
      <c r="K1407" s="13">
        <f>INDEX(Assumptions!$B$4:$B$23,MATCH(F1407,Assumptions!$A$4:$A$23,0))</f>
        <v>1</v>
      </c>
      <c r="L1407" s="14">
        <f t="shared" si="42"/>
        <v>10.99</v>
      </c>
      <c r="M1407" t="str">
        <f t="shared" si="43"/>
        <v>No</v>
      </c>
    </row>
    <row r="1408" spans="1:13" x14ac:dyDescent="0.25">
      <c r="A1408">
        <v>338225</v>
      </c>
      <c r="B1408" t="s">
        <v>4373</v>
      </c>
      <c r="C1408" t="s">
        <v>4374</v>
      </c>
      <c r="D1408" t="s">
        <v>6220</v>
      </c>
      <c r="E1408">
        <v>16.489999999999998</v>
      </c>
      <c r="F1408" t="s">
        <v>1722</v>
      </c>
      <c r="G1408" t="s">
        <v>2289</v>
      </c>
      <c r="H1408" t="s">
        <v>1723</v>
      </c>
      <c r="I1408" s="11">
        <v>46277</v>
      </c>
      <c r="J1408" s="12">
        <v>46266</v>
      </c>
      <c r="K1408" s="13">
        <f>INDEX(Assumptions!$B$4:$B$23,MATCH(F1408,Assumptions!$A$4:$A$23,0))</f>
        <v>1</v>
      </c>
      <c r="L1408" s="14">
        <f t="shared" si="42"/>
        <v>16.489999999999998</v>
      </c>
      <c r="M1408" t="str">
        <f t="shared" si="43"/>
        <v>No</v>
      </c>
    </row>
    <row r="1409" spans="1:13" x14ac:dyDescent="0.25">
      <c r="A1409">
        <v>338224</v>
      </c>
      <c r="B1409" t="s">
        <v>4377</v>
      </c>
      <c r="C1409" t="s">
        <v>4378</v>
      </c>
      <c r="D1409" t="s">
        <v>6220</v>
      </c>
      <c r="E1409">
        <v>12.99</v>
      </c>
      <c r="F1409" t="s">
        <v>1722</v>
      </c>
      <c r="G1409" t="s">
        <v>2289</v>
      </c>
      <c r="H1409" t="s">
        <v>1723</v>
      </c>
      <c r="I1409" s="11">
        <v>46277</v>
      </c>
      <c r="J1409" s="12">
        <v>46266</v>
      </c>
      <c r="K1409" s="13">
        <f>INDEX(Assumptions!$B$4:$B$23,MATCH(F1409,Assumptions!$A$4:$A$23,0))</f>
        <v>1</v>
      </c>
      <c r="L1409" s="14">
        <f t="shared" si="42"/>
        <v>12.99</v>
      </c>
      <c r="M1409" t="str">
        <f t="shared" si="43"/>
        <v>No</v>
      </c>
    </row>
    <row r="1410" spans="1:13" x14ac:dyDescent="0.25">
      <c r="A1410">
        <v>338223</v>
      </c>
      <c r="B1410" t="s">
        <v>4380</v>
      </c>
      <c r="C1410" t="s">
        <v>4381</v>
      </c>
      <c r="D1410" t="s">
        <v>6220</v>
      </c>
      <c r="E1410">
        <v>12.99</v>
      </c>
      <c r="F1410" t="s">
        <v>1722</v>
      </c>
      <c r="G1410" t="s">
        <v>2289</v>
      </c>
      <c r="H1410" t="s">
        <v>1723</v>
      </c>
      <c r="I1410" s="11">
        <v>46277</v>
      </c>
      <c r="J1410" s="12">
        <v>46266</v>
      </c>
      <c r="K1410" s="13">
        <f>INDEX(Assumptions!$B$4:$B$23,MATCH(F1410,Assumptions!$A$4:$A$23,0))</f>
        <v>1</v>
      </c>
      <c r="L1410" s="14">
        <f t="shared" ref="L1410:L1473" si="44">E1410*K1410</f>
        <v>12.99</v>
      </c>
      <c r="M1410" t="str">
        <f t="shared" ref="M1410:M1473" si="45">IF(C1410="Unnamed product","Yes","No")</f>
        <v>No</v>
      </c>
    </row>
    <row r="1411" spans="1:13" x14ac:dyDescent="0.25">
      <c r="A1411">
        <v>338222</v>
      </c>
      <c r="B1411" t="s">
        <v>4383</v>
      </c>
      <c r="C1411" t="s">
        <v>4384</v>
      </c>
      <c r="D1411" t="s">
        <v>6220</v>
      </c>
      <c r="E1411">
        <v>5.99</v>
      </c>
      <c r="F1411" t="s">
        <v>1722</v>
      </c>
      <c r="G1411" t="s">
        <v>2289</v>
      </c>
      <c r="H1411" t="s">
        <v>1723</v>
      </c>
      <c r="I1411" s="11">
        <v>46277</v>
      </c>
      <c r="J1411" s="12">
        <v>46266</v>
      </c>
      <c r="K1411" s="13">
        <f>INDEX(Assumptions!$B$4:$B$23,MATCH(F1411,Assumptions!$A$4:$A$23,0))</f>
        <v>1</v>
      </c>
      <c r="L1411" s="14">
        <f t="shared" si="44"/>
        <v>5.99</v>
      </c>
      <c r="M1411" t="str">
        <f t="shared" si="45"/>
        <v>No</v>
      </c>
    </row>
    <row r="1412" spans="1:13" x14ac:dyDescent="0.25">
      <c r="A1412">
        <v>338221</v>
      </c>
      <c r="B1412" t="s">
        <v>4386</v>
      </c>
      <c r="C1412" t="s">
        <v>4387</v>
      </c>
      <c r="D1412" t="s">
        <v>6220</v>
      </c>
      <c r="E1412">
        <v>7.49</v>
      </c>
      <c r="F1412" t="s">
        <v>1722</v>
      </c>
      <c r="G1412" t="s">
        <v>2289</v>
      </c>
      <c r="H1412" t="s">
        <v>1723</v>
      </c>
      <c r="I1412" s="11">
        <v>46277</v>
      </c>
      <c r="J1412" s="12">
        <v>46266</v>
      </c>
      <c r="K1412" s="13">
        <f>INDEX(Assumptions!$B$4:$B$23,MATCH(F1412,Assumptions!$A$4:$A$23,0))</f>
        <v>1</v>
      </c>
      <c r="L1412" s="14">
        <f t="shared" si="44"/>
        <v>7.49</v>
      </c>
      <c r="M1412" t="str">
        <f t="shared" si="45"/>
        <v>No</v>
      </c>
    </row>
    <row r="1413" spans="1:13" x14ac:dyDescent="0.25">
      <c r="A1413">
        <v>338220</v>
      </c>
      <c r="B1413" t="s">
        <v>4389</v>
      </c>
      <c r="C1413" t="s">
        <v>4390</v>
      </c>
      <c r="D1413" t="s">
        <v>6220</v>
      </c>
      <c r="E1413">
        <v>6.49</v>
      </c>
      <c r="F1413" t="s">
        <v>1722</v>
      </c>
      <c r="G1413" t="s">
        <v>2289</v>
      </c>
      <c r="H1413" t="s">
        <v>1723</v>
      </c>
      <c r="I1413" s="11">
        <v>46277</v>
      </c>
      <c r="J1413" s="12">
        <v>46266</v>
      </c>
      <c r="K1413" s="13">
        <f>INDEX(Assumptions!$B$4:$B$23,MATCH(F1413,Assumptions!$A$4:$A$23,0))</f>
        <v>1</v>
      </c>
      <c r="L1413" s="14">
        <f t="shared" si="44"/>
        <v>6.49</v>
      </c>
      <c r="M1413" t="str">
        <f t="shared" si="45"/>
        <v>No</v>
      </c>
    </row>
    <row r="1414" spans="1:13" x14ac:dyDescent="0.25">
      <c r="A1414">
        <v>338219</v>
      </c>
      <c r="B1414" t="s">
        <v>4392</v>
      </c>
      <c r="C1414" t="s">
        <v>4393</v>
      </c>
      <c r="D1414" t="s">
        <v>6220</v>
      </c>
      <c r="E1414">
        <v>12.99</v>
      </c>
      <c r="F1414" t="s">
        <v>1722</v>
      </c>
      <c r="G1414" t="s">
        <v>2289</v>
      </c>
      <c r="H1414" t="s">
        <v>1723</v>
      </c>
      <c r="I1414" s="11">
        <v>46277</v>
      </c>
      <c r="J1414" s="12">
        <v>46266</v>
      </c>
      <c r="K1414" s="13">
        <f>INDEX(Assumptions!$B$4:$B$23,MATCH(F1414,Assumptions!$A$4:$A$23,0))</f>
        <v>1</v>
      </c>
      <c r="L1414" s="14">
        <f t="shared" si="44"/>
        <v>12.99</v>
      </c>
      <c r="M1414" t="str">
        <f t="shared" si="45"/>
        <v>No</v>
      </c>
    </row>
    <row r="1415" spans="1:13" x14ac:dyDescent="0.25">
      <c r="A1415">
        <v>338218</v>
      </c>
      <c r="B1415" t="s">
        <v>4395</v>
      </c>
      <c r="C1415" t="s">
        <v>4396</v>
      </c>
      <c r="D1415" t="s">
        <v>6220</v>
      </c>
      <c r="E1415">
        <v>14.99</v>
      </c>
      <c r="F1415" t="s">
        <v>1722</v>
      </c>
      <c r="G1415" t="s">
        <v>2289</v>
      </c>
      <c r="H1415" t="s">
        <v>1723</v>
      </c>
      <c r="I1415" s="11">
        <v>46277</v>
      </c>
      <c r="J1415" s="12">
        <v>46266</v>
      </c>
      <c r="K1415" s="13">
        <f>INDEX(Assumptions!$B$4:$B$23,MATCH(F1415,Assumptions!$A$4:$A$23,0))</f>
        <v>1</v>
      </c>
      <c r="L1415" s="14">
        <f t="shared" si="44"/>
        <v>14.99</v>
      </c>
      <c r="M1415" t="str">
        <f t="shared" si="45"/>
        <v>No</v>
      </c>
    </row>
    <row r="1416" spans="1:13" x14ac:dyDescent="0.25">
      <c r="A1416">
        <v>338217</v>
      </c>
      <c r="B1416" t="s">
        <v>2398</v>
      </c>
      <c r="C1416" t="s">
        <v>4398</v>
      </c>
      <c r="D1416" t="s">
        <v>6220</v>
      </c>
      <c r="E1416">
        <v>12.99</v>
      </c>
      <c r="F1416" t="s">
        <v>1722</v>
      </c>
      <c r="G1416" t="s">
        <v>2289</v>
      </c>
      <c r="H1416" t="s">
        <v>1723</v>
      </c>
      <c r="I1416" s="11">
        <v>46277</v>
      </c>
      <c r="J1416" s="12">
        <v>46266</v>
      </c>
      <c r="K1416" s="13">
        <f>INDEX(Assumptions!$B$4:$B$23,MATCH(F1416,Assumptions!$A$4:$A$23,0))</f>
        <v>1</v>
      </c>
      <c r="L1416" s="14">
        <f t="shared" si="44"/>
        <v>12.99</v>
      </c>
      <c r="M1416" t="str">
        <f t="shared" si="45"/>
        <v>No</v>
      </c>
    </row>
    <row r="1417" spans="1:13" x14ac:dyDescent="0.25">
      <c r="A1417">
        <v>338216</v>
      </c>
      <c r="B1417" t="s">
        <v>2411</v>
      </c>
      <c r="C1417" t="s">
        <v>4400</v>
      </c>
      <c r="D1417" t="s">
        <v>6220</v>
      </c>
      <c r="E1417">
        <v>12.99</v>
      </c>
      <c r="F1417" t="s">
        <v>1722</v>
      </c>
      <c r="G1417" t="s">
        <v>2289</v>
      </c>
      <c r="H1417" t="s">
        <v>1723</v>
      </c>
      <c r="I1417" s="11">
        <v>46277</v>
      </c>
      <c r="J1417" s="12">
        <v>46266</v>
      </c>
      <c r="K1417" s="13">
        <f>INDEX(Assumptions!$B$4:$B$23,MATCH(F1417,Assumptions!$A$4:$A$23,0))</f>
        <v>1</v>
      </c>
      <c r="L1417" s="14">
        <f t="shared" si="44"/>
        <v>12.99</v>
      </c>
      <c r="M1417" t="str">
        <f t="shared" si="45"/>
        <v>No</v>
      </c>
    </row>
    <row r="1418" spans="1:13" x14ac:dyDescent="0.25">
      <c r="A1418">
        <v>338215</v>
      </c>
      <c r="B1418" t="s">
        <v>4402</v>
      </c>
      <c r="C1418" t="s">
        <v>4403</v>
      </c>
      <c r="D1418" t="s">
        <v>6220</v>
      </c>
      <c r="E1418">
        <v>12.99</v>
      </c>
      <c r="F1418" t="s">
        <v>1722</v>
      </c>
      <c r="G1418" t="s">
        <v>2289</v>
      </c>
      <c r="H1418" t="s">
        <v>1723</v>
      </c>
      <c r="I1418" s="11">
        <v>46277</v>
      </c>
      <c r="J1418" s="12">
        <v>46266</v>
      </c>
      <c r="K1418" s="13">
        <f>INDEX(Assumptions!$B$4:$B$23,MATCH(F1418,Assumptions!$A$4:$A$23,0))</f>
        <v>1</v>
      </c>
      <c r="L1418" s="14">
        <f t="shared" si="44"/>
        <v>12.99</v>
      </c>
      <c r="M1418" t="str">
        <f t="shared" si="45"/>
        <v>No</v>
      </c>
    </row>
    <row r="1419" spans="1:13" x14ac:dyDescent="0.25">
      <c r="A1419">
        <v>338214</v>
      </c>
      <c r="B1419" t="s">
        <v>4405</v>
      </c>
      <c r="C1419" t="s">
        <v>4406</v>
      </c>
      <c r="D1419" t="s">
        <v>6220</v>
      </c>
      <c r="E1419">
        <v>12.99</v>
      </c>
      <c r="F1419" t="s">
        <v>1722</v>
      </c>
      <c r="G1419" t="s">
        <v>2289</v>
      </c>
      <c r="H1419" t="s">
        <v>1723</v>
      </c>
      <c r="I1419" s="11">
        <v>46277</v>
      </c>
      <c r="J1419" s="12">
        <v>46266</v>
      </c>
      <c r="K1419" s="13">
        <f>INDEX(Assumptions!$B$4:$B$23,MATCH(F1419,Assumptions!$A$4:$A$23,0))</f>
        <v>1</v>
      </c>
      <c r="L1419" s="14">
        <f t="shared" si="44"/>
        <v>12.99</v>
      </c>
      <c r="M1419" t="str">
        <f t="shared" si="45"/>
        <v>No</v>
      </c>
    </row>
    <row r="1420" spans="1:13" x14ac:dyDescent="0.25">
      <c r="A1420">
        <v>338213</v>
      </c>
      <c r="B1420" t="s">
        <v>4408</v>
      </c>
      <c r="C1420" t="s">
        <v>4409</v>
      </c>
      <c r="D1420" t="s">
        <v>6220</v>
      </c>
      <c r="E1420">
        <v>5.99</v>
      </c>
      <c r="F1420" t="s">
        <v>1722</v>
      </c>
      <c r="G1420" t="s">
        <v>2289</v>
      </c>
      <c r="H1420" t="s">
        <v>1723</v>
      </c>
      <c r="I1420" s="11">
        <v>46277</v>
      </c>
      <c r="J1420" s="12">
        <v>46266</v>
      </c>
      <c r="K1420" s="13">
        <f>INDEX(Assumptions!$B$4:$B$23,MATCH(F1420,Assumptions!$A$4:$A$23,0))</f>
        <v>1</v>
      </c>
      <c r="L1420" s="14">
        <f t="shared" si="44"/>
        <v>5.99</v>
      </c>
      <c r="M1420" t="str">
        <f t="shared" si="45"/>
        <v>No</v>
      </c>
    </row>
    <row r="1421" spans="1:13" x14ac:dyDescent="0.25">
      <c r="A1421">
        <v>338212</v>
      </c>
      <c r="B1421" t="s">
        <v>4411</v>
      </c>
      <c r="C1421" t="s">
        <v>4412</v>
      </c>
      <c r="D1421" t="s">
        <v>6220</v>
      </c>
      <c r="E1421">
        <v>5.99</v>
      </c>
      <c r="F1421" t="s">
        <v>1722</v>
      </c>
      <c r="G1421" t="s">
        <v>2289</v>
      </c>
      <c r="H1421" t="s">
        <v>1723</v>
      </c>
      <c r="I1421" s="11">
        <v>46277</v>
      </c>
      <c r="J1421" s="12">
        <v>46266</v>
      </c>
      <c r="K1421" s="13">
        <f>INDEX(Assumptions!$B$4:$B$23,MATCH(F1421,Assumptions!$A$4:$A$23,0))</f>
        <v>1</v>
      </c>
      <c r="L1421" s="14">
        <f t="shared" si="44"/>
        <v>5.99</v>
      </c>
      <c r="M1421" t="str">
        <f t="shared" si="45"/>
        <v>No</v>
      </c>
    </row>
    <row r="1422" spans="1:13" x14ac:dyDescent="0.25">
      <c r="A1422">
        <v>338211</v>
      </c>
      <c r="B1422" t="s">
        <v>4414</v>
      </c>
      <c r="C1422" t="s">
        <v>4415</v>
      </c>
      <c r="D1422" t="s">
        <v>6220</v>
      </c>
      <c r="E1422">
        <v>7.49</v>
      </c>
      <c r="F1422" t="s">
        <v>1722</v>
      </c>
      <c r="G1422" t="s">
        <v>2289</v>
      </c>
      <c r="H1422" t="s">
        <v>1723</v>
      </c>
      <c r="I1422" s="11">
        <v>46277</v>
      </c>
      <c r="J1422" s="12">
        <v>46266</v>
      </c>
      <c r="K1422" s="13">
        <f>INDEX(Assumptions!$B$4:$B$23,MATCH(F1422,Assumptions!$A$4:$A$23,0))</f>
        <v>1</v>
      </c>
      <c r="L1422" s="14">
        <f t="shared" si="44"/>
        <v>7.49</v>
      </c>
      <c r="M1422" t="str">
        <f t="shared" si="45"/>
        <v>No</v>
      </c>
    </row>
    <row r="1423" spans="1:13" x14ac:dyDescent="0.25">
      <c r="A1423">
        <v>338210</v>
      </c>
      <c r="B1423" t="s">
        <v>4417</v>
      </c>
      <c r="C1423" t="s">
        <v>4418</v>
      </c>
      <c r="D1423" t="s">
        <v>6220</v>
      </c>
      <c r="E1423">
        <v>14.99</v>
      </c>
      <c r="F1423" t="s">
        <v>1722</v>
      </c>
      <c r="G1423" t="s">
        <v>2289</v>
      </c>
      <c r="H1423" t="s">
        <v>1723</v>
      </c>
      <c r="I1423" s="11">
        <v>46277</v>
      </c>
      <c r="J1423" s="12">
        <v>46266</v>
      </c>
      <c r="K1423" s="13">
        <f>INDEX(Assumptions!$B$4:$B$23,MATCH(F1423,Assumptions!$A$4:$A$23,0))</f>
        <v>1</v>
      </c>
      <c r="L1423" s="14">
        <f t="shared" si="44"/>
        <v>14.99</v>
      </c>
      <c r="M1423" t="str">
        <f t="shared" si="45"/>
        <v>No</v>
      </c>
    </row>
    <row r="1424" spans="1:13" x14ac:dyDescent="0.25">
      <c r="A1424">
        <v>338209</v>
      </c>
      <c r="B1424" t="s">
        <v>4420</v>
      </c>
      <c r="C1424" t="s">
        <v>4421</v>
      </c>
      <c r="D1424" t="s">
        <v>6220</v>
      </c>
      <c r="E1424">
        <v>10.99</v>
      </c>
      <c r="F1424" t="s">
        <v>1722</v>
      </c>
      <c r="G1424" t="s">
        <v>2289</v>
      </c>
      <c r="H1424" t="s">
        <v>1723</v>
      </c>
      <c r="I1424" s="11">
        <v>46277</v>
      </c>
      <c r="J1424" s="12">
        <v>46266</v>
      </c>
      <c r="K1424" s="13">
        <f>INDEX(Assumptions!$B$4:$B$23,MATCH(F1424,Assumptions!$A$4:$A$23,0))</f>
        <v>1</v>
      </c>
      <c r="L1424" s="14">
        <f t="shared" si="44"/>
        <v>10.99</v>
      </c>
      <c r="M1424" t="str">
        <f t="shared" si="45"/>
        <v>No</v>
      </c>
    </row>
    <row r="1425" spans="1:13" x14ac:dyDescent="0.25">
      <c r="A1425">
        <v>338207</v>
      </c>
      <c r="B1425" t="s">
        <v>4423</v>
      </c>
      <c r="C1425" t="s">
        <v>4424</v>
      </c>
      <c r="D1425" t="s">
        <v>6220</v>
      </c>
      <c r="E1425">
        <v>15.99</v>
      </c>
      <c r="F1425" t="s">
        <v>1722</v>
      </c>
      <c r="G1425" t="s">
        <v>2289</v>
      </c>
      <c r="H1425" t="s">
        <v>1723</v>
      </c>
      <c r="I1425" s="11">
        <v>46277</v>
      </c>
      <c r="J1425" s="12">
        <v>46266</v>
      </c>
      <c r="K1425" s="13">
        <f>INDEX(Assumptions!$B$4:$B$23,MATCH(F1425,Assumptions!$A$4:$A$23,0))</f>
        <v>1</v>
      </c>
      <c r="L1425" s="14">
        <f t="shared" si="44"/>
        <v>15.99</v>
      </c>
      <c r="M1425" t="str">
        <f t="shared" si="45"/>
        <v>No</v>
      </c>
    </row>
    <row r="1426" spans="1:13" x14ac:dyDescent="0.25">
      <c r="A1426">
        <v>338208</v>
      </c>
      <c r="B1426" t="s">
        <v>4426</v>
      </c>
      <c r="C1426" t="s">
        <v>4427</v>
      </c>
      <c r="D1426" t="s">
        <v>6220</v>
      </c>
      <c r="E1426">
        <v>11.99</v>
      </c>
      <c r="F1426" t="s">
        <v>1722</v>
      </c>
      <c r="G1426" t="s">
        <v>2289</v>
      </c>
      <c r="H1426" t="s">
        <v>1723</v>
      </c>
      <c r="I1426" s="11">
        <v>46277</v>
      </c>
      <c r="J1426" s="12">
        <v>46266</v>
      </c>
      <c r="K1426" s="13">
        <f>INDEX(Assumptions!$B$4:$B$23,MATCH(F1426,Assumptions!$A$4:$A$23,0))</f>
        <v>1</v>
      </c>
      <c r="L1426" s="14">
        <f t="shared" si="44"/>
        <v>11.99</v>
      </c>
      <c r="M1426" t="str">
        <f t="shared" si="45"/>
        <v>No</v>
      </c>
    </row>
    <row r="1427" spans="1:13" x14ac:dyDescent="0.25">
      <c r="A1427">
        <v>338206</v>
      </c>
      <c r="B1427" t="s">
        <v>4429</v>
      </c>
      <c r="C1427" t="s">
        <v>4430</v>
      </c>
      <c r="D1427" t="s">
        <v>6220</v>
      </c>
      <c r="E1427">
        <v>6.99</v>
      </c>
      <c r="F1427" t="s">
        <v>1722</v>
      </c>
      <c r="G1427" t="s">
        <v>2289</v>
      </c>
      <c r="H1427" t="s">
        <v>1723</v>
      </c>
      <c r="I1427" s="11">
        <v>46277</v>
      </c>
      <c r="J1427" s="12">
        <v>46266</v>
      </c>
      <c r="K1427" s="13">
        <f>INDEX(Assumptions!$B$4:$B$23,MATCH(F1427,Assumptions!$A$4:$A$23,0))</f>
        <v>1</v>
      </c>
      <c r="L1427" s="14">
        <f t="shared" si="44"/>
        <v>6.99</v>
      </c>
      <c r="M1427" t="str">
        <f t="shared" si="45"/>
        <v>No</v>
      </c>
    </row>
    <row r="1428" spans="1:13" x14ac:dyDescent="0.25">
      <c r="A1428">
        <v>338205</v>
      </c>
      <c r="B1428" t="s">
        <v>4432</v>
      </c>
      <c r="C1428" t="s">
        <v>4433</v>
      </c>
      <c r="D1428" t="s">
        <v>6220</v>
      </c>
      <c r="E1428">
        <v>14.99</v>
      </c>
      <c r="F1428" t="s">
        <v>1722</v>
      </c>
      <c r="G1428" t="s">
        <v>2289</v>
      </c>
      <c r="H1428" t="s">
        <v>1723</v>
      </c>
      <c r="I1428" s="11">
        <v>46277</v>
      </c>
      <c r="J1428" s="12">
        <v>46266</v>
      </c>
      <c r="K1428" s="13">
        <f>INDEX(Assumptions!$B$4:$B$23,MATCH(F1428,Assumptions!$A$4:$A$23,0))</f>
        <v>1</v>
      </c>
      <c r="L1428" s="14">
        <f t="shared" si="44"/>
        <v>14.99</v>
      </c>
      <c r="M1428" t="str">
        <f t="shared" si="45"/>
        <v>No</v>
      </c>
    </row>
    <row r="1429" spans="1:13" x14ac:dyDescent="0.25">
      <c r="A1429">
        <v>338204</v>
      </c>
      <c r="B1429" t="s">
        <v>4435</v>
      </c>
      <c r="C1429" t="s">
        <v>4436</v>
      </c>
      <c r="D1429" t="s">
        <v>6220</v>
      </c>
      <c r="E1429">
        <v>7.99</v>
      </c>
      <c r="F1429" t="s">
        <v>1722</v>
      </c>
      <c r="G1429" t="s">
        <v>2289</v>
      </c>
      <c r="H1429" t="s">
        <v>1723</v>
      </c>
      <c r="I1429" s="11">
        <v>46277</v>
      </c>
      <c r="J1429" s="12">
        <v>46266</v>
      </c>
      <c r="K1429" s="13">
        <f>INDEX(Assumptions!$B$4:$B$23,MATCH(F1429,Assumptions!$A$4:$A$23,0))</f>
        <v>1</v>
      </c>
      <c r="L1429" s="14">
        <f t="shared" si="44"/>
        <v>7.99</v>
      </c>
      <c r="M1429" t="str">
        <f t="shared" si="45"/>
        <v>No</v>
      </c>
    </row>
    <row r="1430" spans="1:13" x14ac:dyDescent="0.25">
      <c r="A1430">
        <v>338203</v>
      </c>
      <c r="B1430" t="s">
        <v>4438</v>
      </c>
      <c r="C1430" t="s">
        <v>4439</v>
      </c>
      <c r="D1430" t="s">
        <v>6220</v>
      </c>
      <c r="E1430">
        <v>3.49</v>
      </c>
      <c r="F1430" t="s">
        <v>1722</v>
      </c>
      <c r="G1430" t="s">
        <v>2289</v>
      </c>
      <c r="H1430" t="s">
        <v>1723</v>
      </c>
      <c r="I1430" s="11">
        <v>46277</v>
      </c>
      <c r="J1430" s="12">
        <v>46266</v>
      </c>
      <c r="K1430" s="13">
        <f>INDEX(Assumptions!$B$4:$B$23,MATCH(F1430,Assumptions!$A$4:$A$23,0))</f>
        <v>1</v>
      </c>
      <c r="L1430" s="14">
        <f t="shared" si="44"/>
        <v>3.49</v>
      </c>
      <c r="M1430" t="str">
        <f t="shared" si="45"/>
        <v>No</v>
      </c>
    </row>
    <row r="1431" spans="1:13" x14ac:dyDescent="0.25">
      <c r="A1431">
        <v>338202</v>
      </c>
      <c r="B1431" t="s">
        <v>4441</v>
      </c>
      <c r="C1431" t="s">
        <v>4442</v>
      </c>
      <c r="D1431" t="s">
        <v>6220</v>
      </c>
      <c r="E1431">
        <v>10.99</v>
      </c>
      <c r="F1431" t="s">
        <v>1722</v>
      </c>
      <c r="G1431" t="s">
        <v>2289</v>
      </c>
      <c r="H1431" t="s">
        <v>1723</v>
      </c>
      <c r="I1431" s="11">
        <v>46277</v>
      </c>
      <c r="J1431" s="12">
        <v>46266</v>
      </c>
      <c r="K1431" s="13">
        <f>INDEX(Assumptions!$B$4:$B$23,MATCH(F1431,Assumptions!$A$4:$A$23,0))</f>
        <v>1</v>
      </c>
      <c r="L1431" s="14">
        <f t="shared" si="44"/>
        <v>10.99</v>
      </c>
      <c r="M1431" t="str">
        <f t="shared" si="45"/>
        <v>No</v>
      </c>
    </row>
    <row r="1432" spans="1:13" x14ac:dyDescent="0.25">
      <c r="A1432">
        <v>338200</v>
      </c>
      <c r="B1432" t="s">
        <v>4444</v>
      </c>
      <c r="C1432" t="s">
        <v>4445</v>
      </c>
      <c r="D1432" t="s">
        <v>6220</v>
      </c>
      <c r="E1432">
        <v>13.99</v>
      </c>
      <c r="F1432" t="s">
        <v>1722</v>
      </c>
      <c r="G1432" t="s">
        <v>2289</v>
      </c>
      <c r="H1432" t="s">
        <v>1723</v>
      </c>
      <c r="I1432" s="11">
        <v>46277</v>
      </c>
      <c r="J1432" s="12">
        <v>46266</v>
      </c>
      <c r="K1432" s="13">
        <f>INDEX(Assumptions!$B$4:$B$23,MATCH(F1432,Assumptions!$A$4:$A$23,0))</f>
        <v>1</v>
      </c>
      <c r="L1432" s="14">
        <f t="shared" si="44"/>
        <v>13.99</v>
      </c>
      <c r="M1432" t="str">
        <f t="shared" si="45"/>
        <v>No</v>
      </c>
    </row>
    <row r="1433" spans="1:13" x14ac:dyDescent="0.25">
      <c r="A1433">
        <v>338201</v>
      </c>
      <c r="B1433" t="s">
        <v>4447</v>
      </c>
      <c r="C1433" t="s">
        <v>4448</v>
      </c>
      <c r="D1433" t="s">
        <v>6220</v>
      </c>
      <c r="E1433">
        <v>16.989999999999998</v>
      </c>
      <c r="F1433" t="s">
        <v>1722</v>
      </c>
      <c r="G1433" t="s">
        <v>2289</v>
      </c>
      <c r="H1433" t="s">
        <v>1723</v>
      </c>
      <c r="I1433" s="11">
        <v>46277</v>
      </c>
      <c r="J1433" s="12">
        <v>46266</v>
      </c>
      <c r="K1433" s="13">
        <f>INDEX(Assumptions!$B$4:$B$23,MATCH(F1433,Assumptions!$A$4:$A$23,0))</f>
        <v>1</v>
      </c>
      <c r="L1433" s="14">
        <f t="shared" si="44"/>
        <v>16.989999999999998</v>
      </c>
      <c r="M1433" t="str">
        <f t="shared" si="45"/>
        <v>No</v>
      </c>
    </row>
    <row r="1434" spans="1:13" x14ac:dyDescent="0.25">
      <c r="A1434">
        <v>338199</v>
      </c>
      <c r="B1434" t="s">
        <v>4450</v>
      </c>
      <c r="C1434" t="s">
        <v>4451</v>
      </c>
      <c r="D1434" t="s">
        <v>6220</v>
      </c>
      <c r="E1434">
        <v>16.489999999999998</v>
      </c>
      <c r="F1434" t="s">
        <v>1722</v>
      </c>
      <c r="G1434" t="s">
        <v>2289</v>
      </c>
      <c r="H1434" t="s">
        <v>1723</v>
      </c>
      <c r="I1434" s="11">
        <v>46277</v>
      </c>
      <c r="J1434" s="12">
        <v>46266</v>
      </c>
      <c r="K1434" s="13">
        <f>INDEX(Assumptions!$B$4:$B$23,MATCH(F1434,Assumptions!$A$4:$A$23,0))</f>
        <v>1</v>
      </c>
      <c r="L1434" s="14">
        <f t="shared" si="44"/>
        <v>16.489999999999998</v>
      </c>
      <c r="M1434" t="str">
        <f t="shared" si="45"/>
        <v>No</v>
      </c>
    </row>
    <row r="1435" spans="1:13" x14ac:dyDescent="0.25">
      <c r="A1435">
        <v>338198</v>
      </c>
      <c r="B1435" t="s">
        <v>4453</v>
      </c>
      <c r="C1435" t="s">
        <v>4454</v>
      </c>
      <c r="D1435" t="s">
        <v>6220</v>
      </c>
      <c r="E1435">
        <v>4.99</v>
      </c>
      <c r="F1435" t="s">
        <v>1722</v>
      </c>
      <c r="G1435" t="s">
        <v>2289</v>
      </c>
      <c r="H1435" t="s">
        <v>1723</v>
      </c>
      <c r="I1435" s="11">
        <v>46277</v>
      </c>
      <c r="J1435" s="12">
        <v>46266</v>
      </c>
      <c r="K1435" s="13">
        <f>INDEX(Assumptions!$B$4:$B$23,MATCH(F1435,Assumptions!$A$4:$A$23,0))</f>
        <v>1</v>
      </c>
      <c r="L1435" s="14">
        <f t="shared" si="44"/>
        <v>4.99</v>
      </c>
      <c r="M1435" t="str">
        <f t="shared" si="45"/>
        <v>No</v>
      </c>
    </row>
    <row r="1436" spans="1:13" x14ac:dyDescent="0.25">
      <c r="A1436">
        <v>338197</v>
      </c>
      <c r="B1436" t="s">
        <v>4456</v>
      </c>
      <c r="C1436" t="s">
        <v>4457</v>
      </c>
      <c r="D1436" t="s">
        <v>6220</v>
      </c>
      <c r="E1436">
        <v>7.99</v>
      </c>
      <c r="F1436" t="s">
        <v>1722</v>
      </c>
      <c r="G1436" t="s">
        <v>2289</v>
      </c>
      <c r="H1436" t="s">
        <v>1723</v>
      </c>
      <c r="I1436" s="11">
        <v>46277</v>
      </c>
      <c r="J1436" s="12">
        <v>46266</v>
      </c>
      <c r="K1436" s="13">
        <f>INDEX(Assumptions!$B$4:$B$23,MATCH(F1436,Assumptions!$A$4:$A$23,0))</f>
        <v>1</v>
      </c>
      <c r="L1436" s="14">
        <f t="shared" si="44"/>
        <v>7.99</v>
      </c>
      <c r="M1436" t="str">
        <f t="shared" si="45"/>
        <v>No</v>
      </c>
    </row>
    <row r="1437" spans="1:13" x14ac:dyDescent="0.25">
      <c r="A1437">
        <v>338196</v>
      </c>
      <c r="B1437" t="s">
        <v>4459</v>
      </c>
      <c r="C1437" t="s">
        <v>4460</v>
      </c>
      <c r="D1437" t="s">
        <v>6220</v>
      </c>
      <c r="E1437">
        <v>2.99</v>
      </c>
      <c r="F1437" t="s">
        <v>1722</v>
      </c>
      <c r="G1437" t="s">
        <v>2289</v>
      </c>
      <c r="H1437" t="s">
        <v>1723</v>
      </c>
      <c r="I1437" s="11">
        <v>46277</v>
      </c>
      <c r="J1437" s="12">
        <v>46266</v>
      </c>
      <c r="K1437" s="13">
        <f>INDEX(Assumptions!$B$4:$B$23,MATCH(F1437,Assumptions!$A$4:$A$23,0))</f>
        <v>1</v>
      </c>
      <c r="L1437" s="14">
        <f t="shared" si="44"/>
        <v>2.99</v>
      </c>
      <c r="M1437" t="str">
        <f t="shared" si="45"/>
        <v>No</v>
      </c>
    </row>
    <row r="1438" spans="1:13" x14ac:dyDescent="0.25">
      <c r="A1438">
        <v>338195</v>
      </c>
      <c r="B1438" t="s">
        <v>4462</v>
      </c>
      <c r="C1438" t="s">
        <v>4463</v>
      </c>
      <c r="D1438" t="s">
        <v>6220</v>
      </c>
      <c r="E1438">
        <v>2.99</v>
      </c>
      <c r="F1438" t="s">
        <v>1722</v>
      </c>
      <c r="G1438" t="s">
        <v>2289</v>
      </c>
      <c r="H1438" t="s">
        <v>1723</v>
      </c>
      <c r="I1438" s="11">
        <v>46277</v>
      </c>
      <c r="J1438" s="12">
        <v>46266</v>
      </c>
      <c r="K1438" s="13">
        <f>INDEX(Assumptions!$B$4:$B$23,MATCH(F1438,Assumptions!$A$4:$A$23,0))</f>
        <v>1</v>
      </c>
      <c r="L1438" s="14">
        <f t="shared" si="44"/>
        <v>2.99</v>
      </c>
      <c r="M1438" t="str">
        <f t="shared" si="45"/>
        <v>No</v>
      </c>
    </row>
    <row r="1439" spans="1:13" x14ac:dyDescent="0.25">
      <c r="A1439">
        <v>338194</v>
      </c>
      <c r="B1439" t="s">
        <v>4465</v>
      </c>
      <c r="C1439" t="s">
        <v>4466</v>
      </c>
      <c r="D1439" t="s">
        <v>6220</v>
      </c>
      <c r="E1439">
        <v>7.49</v>
      </c>
      <c r="F1439" t="s">
        <v>1722</v>
      </c>
      <c r="G1439" t="s">
        <v>2289</v>
      </c>
      <c r="H1439" t="s">
        <v>1723</v>
      </c>
      <c r="I1439" s="11">
        <v>46277</v>
      </c>
      <c r="J1439" s="12">
        <v>46266</v>
      </c>
      <c r="K1439" s="13">
        <f>INDEX(Assumptions!$B$4:$B$23,MATCH(F1439,Assumptions!$A$4:$A$23,0))</f>
        <v>1</v>
      </c>
      <c r="L1439" s="14">
        <f t="shared" si="44"/>
        <v>7.49</v>
      </c>
      <c r="M1439" t="str">
        <f t="shared" si="45"/>
        <v>No</v>
      </c>
    </row>
    <row r="1440" spans="1:13" x14ac:dyDescent="0.25">
      <c r="A1440">
        <v>338193</v>
      </c>
      <c r="B1440" t="s">
        <v>4468</v>
      </c>
      <c r="C1440" t="s">
        <v>4469</v>
      </c>
      <c r="D1440" t="s">
        <v>6220</v>
      </c>
      <c r="E1440">
        <v>6.49</v>
      </c>
      <c r="F1440" t="s">
        <v>1722</v>
      </c>
      <c r="G1440" t="s">
        <v>2289</v>
      </c>
      <c r="H1440" t="s">
        <v>1723</v>
      </c>
      <c r="I1440" s="11">
        <v>46277</v>
      </c>
      <c r="J1440" s="12">
        <v>46266</v>
      </c>
      <c r="K1440" s="13">
        <f>INDEX(Assumptions!$B$4:$B$23,MATCH(F1440,Assumptions!$A$4:$A$23,0))</f>
        <v>1</v>
      </c>
      <c r="L1440" s="14">
        <f t="shared" si="44"/>
        <v>6.49</v>
      </c>
      <c r="M1440" t="str">
        <f t="shared" si="45"/>
        <v>No</v>
      </c>
    </row>
    <row r="1441" spans="1:13" x14ac:dyDescent="0.25">
      <c r="A1441">
        <v>338192</v>
      </c>
      <c r="B1441" t="s">
        <v>4471</v>
      </c>
      <c r="C1441" t="s">
        <v>4472</v>
      </c>
      <c r="D1441" t="s">
        <v>6220</v>
      </c>
      <c r="E1441">
        <v>7.49</v>
      </c>
      <c r="F1441" t="s">
        <v>1722</v>
      </c>
      <c r="G1441" t="s">
        <v>2289</v>
      </c>
      <c r="H1441" t="s">
        <v>1723</v>
      </c>
      <c r="I1441" s="11">
        <v>46277</v>
      </c>
      <c r="J1441" s="12">
        <v>46266</v>
      </c>
      <c r="K1441" s="13">
        <f>INDEX(Assumptions!$B$4:$B$23,MATCH(F1441,Assumptions!$A$4:$A$23,0))</f>
        <v>1</v>
      </c>
      <c r="L1441" s="14">
        <f t="shared" si="44"/>
        <v>7.49</v>
      </c>
      <c r="M1441" t="str">
        <f t="shared" si="45"/>
        <v>No</v>
      </c>
    </row>
    <row r="1442" spans="1:13" x14ac:dyDescent="0.25">
      <c r="A1442">
        <v>338191</v>
      </c>
      <c r="B1442" t="s">
        <v>4474</v>
      </c>
      <c r="C1442" t="s">
        <v>4475</v>
      </c>
      <c r="D1442" t="s">
        <v>6220</v>
      </c>
      <c r="E1442">
        <v>6.49</v>
      </c>
      <c r="F1442" t="s">
        <v>1722</v>
      </c>
      <c r="G1442" t="s">
        <v>2289</v>
      </c>
      <c r="H1442" t="s">
        <v>1723</v>
      </c>
      <c r="I1442" s="11">
        <v>46277</v>
      </c>
      <c r="J1442" s="12">
        <v>46266</v>
      </c>
      <c r="K1442" s="13">
        <f>INDEX(Assumptions!$B$4:$B$23,MATCH(F1442,Assumptions!$A$4:$A$23,0))</f>
        <v>1</v>
      </c>
      <c r="L1442" s="14">
        <f t="shared" si="44"/>
        <v>6.49</v>
      </c>
      <c r="M1442" t="str">
        <f t="shared" si="45"/>
        <v>No</v>
      </c>
    </row>
    <row r="1443" spans="1:13" x14ac:dyDescent="0.25">
      <c r="A1443">
        <v>338190</v>
      </c>
      <c r="B1443" t="s">
        <v>4477</v>
      </c>
      <c r="C1443" t="s">
        <v>4478</v>
      </c>
      <c r="D1443" t="s">
        <v>6220</v>
      </c>
      <c r="E1443">
        <v>6.49</v>
      </c>
      <c r="F1443" t="s">
        <v>1722</v>
      </c>
      <c r="G1443" t="s">
        <v>2289</v>
      </c>
      <c r="H1443" t="s">
        <v>1723</v>
      </c>
      <c r="I1443" s="11">
        <v>46277</v>
      </c>
      <c r="J1443" s="12">
        <v>46266</v>
      </c>
      <c r="K1443" s="13">
        <f>INDEX(Assumptions!$B$4:$B$23,MATCH(F1443,Assumptions!$A$4:$A$23,0))</f>
        <v>1</v>
      </c>
      <c r="L1443" s="14">
        <f t="shared" si="44"/>
        <v>6.49</v>
      </c>
      <c r="M1443" t="str">
        <f t="shared" si="45"/>
        <v>No</v>
      </c>
    </row>
    <row r="1444" spans="1:13" x14ac:dyDescent="0.25">
      <c r="A1444">
        <v>338187</v>
      </c>
      <c r="B1444" t="s">
        <v>4480</v>
      </c>
      <c r="C1444" t="s">
        <v>4481</v>
      </c>
      <c r="D1444" t="s">
        <v>6220</v>
      </c>
      <c r="E1444">
        <v>6.49</v>
      </c>
      <c r="F1444" t="s">
        <v>1722</v>
      </c>
      <c r="G1444" t="s">
        <v>2289</v>
      </c>
      <c r="H1444" t="s">
        <v>1723</v>
      </c>
      <c r="I1444" s="11">
        <v>46277</v>
      </c>
      <c r="J1444" s="12">
        <v>46266</v>
      </c>
      <c r="K1444" s="13">
        <f>INDEX(Assumptions!$B$4:$B$23,MATCH(F1444,Assumptions!$A$4:$A$23,0))</f>
        <v>1</v>
      </c>
      <c r="L1444" s="14">
        <f t="shared" si="44"/>
        <v>6.49</v>
      </c>
      <c r="M1444" t="str">
        <f t="shared" si="45"/>
        <v>No</v>
      </c>
    </row>
    <row r="1445" spans="1:13" x14ac:dyDescent="0.25">
      <c r="A1445">
        <v>338188</v>
      </c>
      <c r="B1445" t="s">
        <v>4483</v>
      </c>
      <c r="C1445" t="s">
        <v>4484</v>
      </c>
      <c r="D1445" t="s">
        <v>6220</v>
      </c>
      <c r="E1445">
        <v>7.99</v>
      </c>
      <c r="F1445" t="s">
        <v>1722</v>
      </c>
      <c r="G1445" t="s">
        <v>2289</v>
      </c>
      <c r="H1445" t="s">
        <v>1723</v>
      </c>
      <c r="I1445" s="11">
        <v>46277</v>
      </c>
      <c r="J1445" s="12">
        <v>46266</v>
      </c>
      <c r="K1445" s="13">
        <f>INDEX(Assumptions!$B$4:$B$23,MATCH(F1445,Assumptions!$A$4:$A$23,0))</f>
        <v>1</v>
      </c>
      <c r="L1445" s="14">
        <f t="shared" si="44"/>
        <v>7.99</v>
      </c>
      <c r="M1445" t="str">
        <f t="shared" si="45"/>
        <v>No</v>
      </c>
    </row>
    <row r="1446" spans="1:13" x14ac:dyDescent="0.25">
      <c r="A1446">
        <v>338189</v>
      </c>
      <c r="B1446" t="s">
        <v>4486</v>
      </c>
      <c r="C1446" t="s">
        <v>4487</v>
      </c>
      <c r="D1446" t="s">
        <v>6220</v>
      </c>
      <c r="E1446">
        <v>6.49</v>
      </c>
      <c r="F1446" t="s">
        <v>1722</v>
      </c>
      <c r="G1446" t="s">
        <v>2289</v>
      </c>
      <c r="H1446" t="s">
        <v>1723</v>
      </c>
      <c r="I1446" s="11">
        <v>46277</v>
      </c>
      <c r="J1446" s="12">
        <v>46266</v>
      </c>
      <c r="K1446" s="13">
        <f>INDEX(Assumptions!$B$4:$B$23,MATCH(F1446,Assumptions!$A$4:$A$23,0))</f>
        <v>1</v>
      </c>
      <c r="L1446" s="14">
        <f t="shared" si="44"/>
        <v>6.49</v>
      </c>
      <c r="M1446" t="str">
        <f t="shared" si="45"/>
        <v>No</v>
      </c>
    </row>
    <row r="1447" spans="1:13" x14ac:dyDescent="0.25">
      <c r="A1447">
        <v>338185</v>
      </c>
      <c r="B1447" t="s">
        <v>4489</v>
      </c>
      <c r="C1447" t="s">
        <v>4490</v>
      </c>
      <c r="D1447" t="s">
        <v>6220</v>
      </c>
      <c r="E1447">
        <v>9.99</v>
      </c>
      <c r="F1447" t="s">
        <v>1722</v>
      </c>
      <c r="G1447" t="s">
        <v>2289</v>
      </c>
      <c r="H1447" t="s">
        <v>1723</v>
      </c>
      <c r="I1447" s="11">
        <v>46277</v>
      </c>
      <c r="J1447" s="12">
        <v>46266</v>
      </c>
      <c r="K1447" s="13">
        <f>INDEX(Assumptions!$B$4:$B$23,MATCH(F1447,Assumptions!$A$4:$A$23,0))</f>
        <v>1</v>
      </c>
      <c r="L1447" s="14">
        <f t="shared" si="44"/>
        <v>9.99</v>
      </c>
      <c r="M1447" t="str">
        <f t="shared" si="45"/>
        <v>No</v>
      </c>
    </row>
    <row r="1448" spans="1:13" x14ac:dyDescent="0.25">
      <c r="A1448">
        <v>338184</v>
      </c>
      <c r="B1448" t="s">
        <v>4492</v>
      </c>
      <c r="C1448" t="s">
        <v>4493</v>
      </c>
      <c r="D1448" t="s">
        <v>6220</v>
      </c>
      <c r="E1448">
        <v>26.99</v>
      </c>
      <c r="F1448" t="s">
        <v>1722</v>
      </c>
      <c r="G1448" t="s">
        <v>2289</v>
      </c>
      <c r="H1448" t="s">
        <v>1723</v>
      </c>
      <c r="I1448" s="11">
        <v>46277</v>
      </c>
      <c r="J1448" s="12">
        <v>46266</v>
      </c>
      <c r="K1448" s="13">
        <f>INDEX(Assumptions!$B$4:$B$23,MATCH(F1448,Assumptions!$A$4:$A$23,0))</f>
        <v>1</v>
      </c>
      <c r="L1448" s="14">
        <f t="shared" si="44"/>
        <v>26.99</v>
      </c>
      <c r="M1448" t="str">
        <f t="shared" si="45"/>
        <v>No</v>
      </c>
    </row>
    <row r="1449" spans="1:13" x14ac:dyDescent="0.25">
      <c r="A1449">
        <v>338183</v>
      </c>
      <c r="B1449" t="s">
        <v>4496</v>
      </c>
      <c r="C1449" t="s">
        <v>4497</v>
      </c>
      <c r="D1449" t="s">
        <v>6220</v>
      </c>
      <c r="E1449">
        <v>18.989999999999998</v>
      </c>
      <c r="F1449" t="s">
        <v>1722</v>
      </c>
      <c r="G1449" t="s">
        <v>2289</v>
      </c>
      <c r="H1449" t="s">
        <v>1723</v>
      </c>
      <c r="I1449" s="11">
        <v>46277</v>
      </c>
      <c r="J1449" s="12">
        <v>46266</v>
      </c>
      <c r="K1449" s="13">
        <f>INDEX(Assumptions!$B$4:$B$23,MATCH(F1449,Assumptions!$A$4:$A$23,0))</f>
        <v>1</v>
      </c>
      <c r="L1449" s="14">
        <f t="shared" si="44"/>
        <v>18.989999999999998</v>
      </c>
      <c r="M1449" t="str">
        <f t="shared" si="45"/>
        <v>No</v>
      </c>
    </row>
    <row r="1450" spans="1:13" x14ac:dyDescent="0.25">
      <c r="A1450">
        <v>338182</v>
      </c>
      <c r="B1450" t="s">
        <v>4499</v>
      </c>
      <c r="C1450" t="s">
        <v>4500</v>
      </c>
      <c r="D1450" t="s">
        <v>6220</v>
      </c>
      <c r="E1450">
        <v>19.989999999999998</v>
      </c>
      <c r="F1450" t="s">
        <v>1722</v>
      </c>
      <c r="G1450" t="s">
        <v>2289</v>
      </c>
      <c r="H1450" t="s">
        <v>1723</v>
      </c>
      <c r="I1450" s="11">
        <v>46277</v>
      </c>
      <c r="J1450" s="12">
        <v>46266</v>
      </c>
      <c r="K1450" s="13">
        <f>INDEX(Assumptions!$B$4:$B$23,MATCH(F1450,Assumptions!$A$4:$A$23,0))</f>
        <v>1</v>
      </c>
      <c r="L1450" s="14">
        <f t="shared" si="44"/>
        <v>19.989999999999998</v>
      </c>
      <c r="M1450" t="str">
        <f t="shared" si="45"/>
        <v>No</v>
      </c>
    </row>
    <row r="1451" spans="1:13" x14ac:dyDescent="0.25">
      <c r="A1451">
        <v>338181</v>
      </c>
      <c r="B1451" t="s">
        <v>4502</v>
      </c>
      <c r="C1451" t="s">
        <v>4503</v>
      </c>
      <c r="D1451" t="s">
        <v>6220</v>
      </c>
      <c r="E1451">
        <v>27.99</v>
      </c>
      <c r="F1451" t="s">
        <v>1722</v>
      </c>
      <c r="G1451" t="s">
        <v>2289</v>
      </c>
      <c r="H1451" t="s">
        <v>1723</v>
      </c>
      <c r="I1451" s="11">
        <v>46277</v>
      </c>
      <c r="J1451" s="12">
        <v>46266</v>
      </c>
      <c r="K1451" s="13">
        <f>INDEX(Assumptions!$B$4:$B$23,MATCH(F1451,Assumptions!$A$4:$A$23,0))</f>
        <v>1</v>
      </c>
      <c r="L1451" s="14">
        <f t="shared" si="44"/>
        <v>27.99</v>
      </c>
      <c r="M1451" t="str">
        <f t="shared" si="45"/>
        <v>No</v>
      </c>
    </row>
    <row r="1452" spans="1:13" x14ac:dyDescent="0.25">
      <c r="A1452">
        <v>338180</v>
      </c>
      <c r="B1452" t="s">
        <v>4505</v>
      </c>
      <c r="C1452" t="s">
        <v>4506</v>
      </c>
      <c r="D1452" t="s">
        <v>6220</v>
      </c>
      <c r="E1452">
        <v>19.989999999999998</v>
      </c>
      <c r="F1452" t="s">
        <v>1722</v>
      </c>
      <c r="G1452" t="s">
        <v>2289</v>
      </c>
      <c r="H1452" t="s">
        <v>1723</v>
      </c>
      <c r="I1452" s="11">
        <v>46277</v>
      </c>
      <c r="J1452" s="12">
        <v>46266</v>
      </c>
      <c r="K1452" s="13">
        <f>INDEX(Assumptions!$B$4:$B$23,MATCH(F1452,Assumptions!$A$4:$A$23,0))</f>
        <v>1</v>
      </c>
      <c r="L1452" s="14">
        <f t="shared" si="44"/>
        <v>19.989999999999998</v>
      </c>
      <c r="M1452" t="str">
        <f t="shared" si="45"/>
        <v>No</v>
      </c>
    </row>
    <row r="1453" spans="1:13" x14ac:dyDescent="0.25">
      <c r="A1453">
        <v>338179</v>
      </c>
      <c r="B1453" t="s">
        <v>4508</v>
      </c>
      <c r="C1453" t="s">
        <v>4509</v>
      </c>
      <c r="D1453" t="s">
        <v>6220</v>
      </c>
      <c r="E1453">
        <v>13</v>
      </c>
      <c r="F1453" t="s">
        <v>1722</v>
      </c>
      <c r="G1453" t="s">
        <v>2289</v>
      </c>
      <c r="H1453" t="s">
        <v>1723</v>
      </c>
      <c r="I1453" s="11">
        <v>46277</v>
      </c>
      <c r="J1453" s="12">
        <v>46266</v>
      </c>
      <c r="K1453" s="13">
        <f>INDEX(Assumptions!$B$4:$B$23,MATCH(F1453,Assumptions!$A$4:$A$23,0))</f>
        <v>1</v>
      </c>
      <c r="L1453" s="14">
        <f t="shared" si="44"/>
        <v>13</v>
      </c>
      <c r="M1453" t="str">
        <f t="shared" si="45"/>
        <v>No</v>
      </c>
    </row>
    <row r="1454" spans="1:13" x14ac:dyDescent="0.25">
      <c r="A1454">
        <v>338178</v>
      </c>
      <c r="B1454" t="s">
        <v>4512</v>
      </c>
      <c r="C1454" t="s">
        <v>4513</v>
      </c>
      <c r="D1454" t="s">
        <v>6220</v>
      </c>
      <c r="E1454">
        <v>21.99</v>
      </c>
      <c r="F1454" t="s">
        <v>1722</v>
      </c>
      <c r="G1454" t="s">
        <v>2289</v>
      </c>
      <c r="H1454" t="s">
        <v>1723</v>
      </c>
      <c r="I1454" s="11">
        <v>46277</v>
      </c>
      <c r="J1454" s="12">
        <v>46266</v>
      </c>
      <c r="K1454" s="13">
        <f>INDEX(Assumptions!$B$4:$B$23,MATCH(F1454,Assumptions!$A$4:$A$23,0))</f>
        <v>1</v>
      </c>
      <c r="L1454" s="14">
        <f t="shared" si="44"/>
        <v>21.99</v>
      </c>
      <c r="M1454" t="str">
        <f t="shared" si="45"/>
        <v>No</v>
      </c>
    </row>
    <row r="1455" spans="1:13" x14ac:dyDescent="0.25">
      <c r="A1455">
        <v>338177</v>
      </c>
      <c r="B1455" t="s">
        <v>4515</v>
      </c>
      <c r="C1455" t="s">
        <v>4516</v>
      </c>
      <c r="D1455" t="s">
        <v>6220</v>
      </c>
      <c r="E1455">
        <v>7.99</v>
      </c>
      <c r="F1455" t="s">
        <v>1722</v>
      </c>
      <c r="G1455" t="s">
        <v>2289</v>
      </c>
      <c r="H1455" t="s">
        <v>1723</v>
      </c>
      <c r="I1455" s="11">
        <v>46277</v>
      </c>
      <c r="J1455" s="12">
        <v>46266</v>
      </c>
      <c r="K1455" s="13">
        <f>INDEX(Assumptions!$B$4:$B$23,MATCH(F1455,Assumptions!$A$4:$A$23,0))</f>
        <v>1</v>
      </c>
      <c r="L1455" s="14">
        <f t="shared" si="44"/>
        <v>7.99</v>
      </c>
      <c r="M1455" t="str">
        <f t="shared" si="45"/>
        <v>No</v>
      </c>
    </row>
    <row r="1456" spans="1:13" x14ac:dyDescent="0.25">
      <c r="A1456">
        <v>338176</v>
      </c>
      <c r="B1456" t="s">
        <v>4518</v>
      </c>
      <c r="C1456" t="s">
        <v>4519</v>
      </c>
      <c r="D1456" t="s">
        <v>6220</v>
      </c>
      <c r="E1456">
        <v>12.99</v>
      </c>
      <c r="F1456" t="s">
        <v>1722</v>
      </c>
      <c r="G1456" t="s">
        <v>2289</v>
      </c>
      <c r="H1456" t="s">
        <v>1723</v>
      </c>
      <c r="I1456" s="11">
        <v>46277</v>
      </c>
      <c r="J1456" s="12">
        <v>46266</v>
      </c>
      <c r="K1456" s="13">
        <f>INDEX(Assumptions!$B$4:$B$23,MATCH(F1456,Assumptions!$A$4:$A$23,0))</f>
        <v>1</v>
      </c>
      <c r="L1456" s="14">
        <f t="shared" si="44"/>
        <v>12.99</v>
      </c>
      <c r="M1456" t="str">
        <f t="shared" si="45"/>
        <v>No</v>
      </c>
    </row>
    <row r="1457" spans="1:13" x14ac:dyDescent="0.25">
      <c r="A1457">
        <v>338175</v>
      </c>
      <c r="B1457" t="s">
        <v>4521</v>
      </c>
      <c r="C1457" t="s">
        <v>4522</v>
      </c>
      <c r="D1457" t="s">
        <v>6220</v>
      </c>
      <c r="E1457">
        <v>24.99</v>
      </c>
      <c r="F1457" t="s">
        <v>1722</v>
      </c>
      <c r="G1457" t="s">
        <v>2289</v>
      </c>
      <c r="H1457" t="s">
        <v>1723</v>
      </c>
      <c r="I1457" s="11">
        <v>46277</v>
      </c>
      <c r="J1457" s="12">
        <v>46266</v>
      </c>
      <c r="K1457" s="13">
        <f>INDEX(Assumptions!$B$4:$B$23,MATCH(F1457,Assumptions!$A$4:$A$23,0))</f>
        <v>1</v>
      </c>
      <c r="L1457" s="14">
        <f t="shared" si="44"/>
        <v>24.99</v>
      </c>
      <c r="M1457" t="str">
        <f t="shared" si="45"/>
        <v>No</v>
      </c>
    </row>
    <row r="1458" spans="1:13" x14ac:dyDescent="0.25">
      <c r="A1458">
        <v>338174</v>
      </c>
      <c r="B1458" t="s">
        <v>4515</v>
      </c>
      <c r="C1458" t="s">
        <v>4525</v>
      </c>
      <c r="D1458" t="s">
        <v>6220</v>
      </c>
      <c r="E1458">
        <v>7.99</v>
      </c>
      <c r="F1458" t="s">
        <v>1722</v>
      </c>
      <c r="G1458" t="s">
        <v>2289</v>
      </c>
      <c r="H1458" t="s">
        <v>1723</v>
      </c>
      <c r="I1458" s="11">
        <v>46277</v>
      </c>
      <c r="J1458" s="12">
        <v>46266</v>
      </c>
      <c r="K1458" s="13">
        <f>INDEX(Assumptions!$B$4:$B$23,MATCH(F1458,Assumptions!$A$4:$A$23,0))</f>
        <v>1</v>
      </c>
      <c r="L1458" s="14">
        <f t="shared" si="44"/>
        <v>7.99</v>
      </c>
      <c r="M1458" t="str">
        <f t="shared" si="45"/>
        <v>No</v>
      </c>
    </row>
    <row r="1459" spans="1:13" x14ac:dyDescent="0.25">
      <c r="A1459">
        <v>338173</v>
      </c>
      <c r="B1459" t="s">
        <v>4527</v>
      </c>
      <c r="C1459" t="s">
        <v>4528</v>
      </c>
      <c r="D1459" t="s">
        <v>6220</v>
      </c>
      <c r="E1459">
        <v>10.99</v>
      </c>
      <c r="F1459" t="s">
        <v>1722</v>
      </c>
      <c r="G1459" t="s">
        <v>2289</v>
      </c>
      <c r="H1459" t="s">
        <v>1723</v>
      </c>
      <c r="I1459" s="11">
        <v>46277</v>
      </c>
      <c r="J1459" s="12">
        <v>46266</v>
      </c>
      <c r="K1459" s="13">
        <f>INDEX(Assumptions!$B$4:$B$23,MATCH(F1459,Assumptions!$A$4:$A$23,0))</f>
        <v>1</v>
      </c>
      <c r="L1459" s="14">
        <f t="shared" si="44"/>
        <v>10.99</v>
      </c>
      <c r="M1459" t="str">
        <f t="shared" si="45"/>
        <v>No</v>
      </c>
    </row>
    <row r="1460" spans="1:13" x14ac:dyDescent="0.25">
      <c r="A1460">
        <v>338172</v>
      </c>
      <c r="B1460" t="s">
        <v>4530</v>
      </c>
      <c r="C1460" t="s">
        <v>4531</v>
      </c>
      <c r="D1460" t="s">
        <v>6220</v>
      </c>
      <c r="E1460">
        <v>9.49</v>
      </c>
      <c r="F1460" t="s">
        <v>1722</v>
      </c>
      <c r="G1460" t="s">
        <v>2289</v>
      </c>
      <c r="H1460" t="s">
        <v>1723</v>
      </c>
      <c r="I1460" s="11">
        <v>46277</v>
      </c>
      <c r="J1460" s="12">
        <v>46266</v>
      </c>
      <c r="K1460" s="13">
        <f>INDEX(Assumptions!$B$4:$B$23,MATCH(F1460,Assumptions!$A$4:$A$23,0))</f>
        <v>1</v>
      </c>
      <c r="L1460" s="14">
        <f t="shared" si="44"/>
        <v>9.49</v>
      </c>
      <c r="M1460" t="str">
        <f t="shared" si="45"/>
        <v>No</v>
      </c>
    </row>
    <row r="1461" spans="1:13" x14ac:dyDescent="0.25">
      <c r="A1461">
        <v>338171</v>
      </c>
      <c r="B1461" t="s">
        <v>4533</v>
      </c>
      <c r="C1461" t="s">
        <v>4534</v>
      </c>
      <c r="D1461" t="s">
        <v>6220</v>
      </c>
      <c r="E1461">
        <v>7.99</v>
      </c>
      <c r="F1461" t="s">
        <v>1722</v>
      </c>
      <c r="G1461" t="s">
        <v>2289</v>
      </c>
      <c r="H1461" t="s">
        <v>1723</v>
      </c>
      <c r="I1461" s="11">
        <v>46277</v>
      </c>
      <c r="J1461" s="12">
        <v>46266</v>
      </c>
      <c r="K1461" s="13">
        <f>INDEX(Assumptions!$B$4:$B$23,MATCH(F1461,Assumptions!$A$4:$A$23,0))</f>
        <v>1</v>
      </c>
      <c r="L1461" s="14">
        <f t="shared" si="44"/>
        <v>7.99</v>
      </c>
      <c r="M1461" t="str">
        <f t="shared" si="45"/>
        <v>No</v>
      </c>
    </row>
    <row r="1462" spans="1:13" x14ac:dyDescent="0.25">
      <c r="A1462">
        <v>338170</v>
      </c>
      <c r="B1462" t="s">
        <v>4536</v>
      </c>
      <c r="C1462" t="s">
        <v>4537</v>
      </c>
      <c r="D1462" t="s">
        <v>6220</v>
      </c>
      <c r="E1462">
        <v>9.49</v>
      </c>
      <c r="F1462" t="s">
        <v>1722</v>
      </c>
      <c r="G1462" t="s">
        <v>2289</v>
      </c>
      <c r="H1462" t="s">
        <v>1723</v>
      </c>
      <c r="I1462" s="11">
        <v>46277</v>
      </c>
      <c r="J1462" s="12">
        <v>46266</v>
      </c>
      <c r="K1462" s="13">
        <f>INDEX(Assumptions!$B$4:$B$23,MATCH(F1462,Assumptions!$A$4:$A$23,0))</f>
        <v>1</v>
      </c>
      <c r="L1462" s="14">
        <f t="shared" si="44"/>
        <v>9.49</v>
      </c>
      <c r="M1462" t="str">
        <f t="shared" si="45"/>
        <v>No</v>
      </c>
    </row>
    <row r="1463" spans="1:13" x14ac:dyDescent="0.25">
      <c r="A1463">
        <v>338169</v>
      </c>
      <c r="B1463" t="s">
        <v>4539</v>
      </c>
      <c r="C1463" t="s">
        <v>4540</v>
      </c>
      <c r="D1463" t="s">
        <v>6220</v>
      </c>
      <c r="E1463">
        <v>7.99</v>
      </c>
      <c r="F1463" t="s">
        <v>1722</v>
      </c>
      <c r="G1463" t="s">
        <v>2289</v>
      </c>
      <c r="H1463" t="s">
        <v>1723</v>
      </c>
      <c r="I1463" s="11">
        <v>46277</v>
      </c>
      <c r="J1463" s="12">
        <v>46266</v>
      </c>
      <c r="K1463" s="13">
        <f>INDEX(Assumptions!$B$4:$B$23,MATCH(F1463,Assumptions!$A$4:$A$23,0))</f>
        <v>1</v>
      </c>
      <c r="L1463" s="14">
        <f t="shared" si="44"/>
        <v>7.99</v>
      </c>
      <c r="M1463" t="str">
        <f t="shared" si="45"/>
        <v>No</v>
      </c>
    </row>
    <row r="1464" spans="1:13" x14ac:dyDescent="0.25">
      <c r="A1464">
        <v>338168</v>
      </c>
      <c r="B1464" t="s">
        <v>4542</v>
      </c>
      <c r="C1464" t="s">
        <v>4543</v>
      </c>
      <c r="D1464" t="s">
        <v>6220</v>
      </c>
      <c r="E1464">
        <v>9.99</v>
      </c>
      <c r="F1464" t="s">
        <v>1722</v>
      </c>
      <c r="G1464" t="s">
        <v>2289</v>
      </c>
      <c r="H1464" t="s">
        <v>1723</v>
      </c>
      <c r="I1464" s="11">
        <v>46277</v>
      </c>
      <c r="J1464" s="12">
        <v>46266</v>
      </c>
      <c r="K1464" s="13">
        <f>INDEX(Assumptions!$B$4:$B$23,MATCH(F1464,Assumptions!$A$4:$A$23,0))</f>
        <v>1</v>
      </c>
      <c r="L1464" s="14">
        <f t="shared" si="44"/>
        <v>9.99</v>
      </c>
      <c r="M1464" t="str">
        <f t="shared" si="45"/>
        <v>No</v>
      </c>
    </row>
    <row r="1465" spans="1:13" x14ac:dyDescent="0.25">
      <c r="A1465">
        <v>338167</v>
      </c>
      <c r="B1465" t="s">
        <v>4545</v>
      </c>
      <c r="C1465" t="s">
        <v>4546</v>
      </c>
      <c r="D1465" t="s">
        <v>6220</v>
      </c>
      <c r="E1465">
        <v>10.99</v>
      </c>
      <c r="F1465" t="s">
        <v>1722</v>
      </c>
      <c r="G1465" t="s">
        <v>2289</v>
      </c>
      <c r="H1465" t="s">
        <v>1723</v>
      </c>
      <c r="I1465" s="11">
        <v>46277</v>
      </c>
      <c r="J1465" s="12">
        <v>46266</v>
      </c>
      <c r="K1465" s="13">
        <f>INDEX(Assumptions!$B$4:$B$23,MATCH(F1465,Assumptions!$A$4:$A$23,0))</f>
        <v>1</v>
      </c>
      <c r="L1465" s="14">
        <f t="shared" si="44"/>
        <v>10.99</v>
      </c>
      <c r="M1465" t="str">
        <f t="shared" si="45"/>
        <v>No</v>
      </c>
    </row>
    <row r="1466" spans="1:13" x14ac:dyDescent="0.25">
      <c r="A1466">
        <v>338166</v>
      </c>
      <c r="B1466" t="s">
        <v>4548</v>
      </c>
      <c r="C1466" t="s">
        <v>4549</v>
      </c>
      <c r="D1466" t="s">
        <v>6220</v>
      </c>
      <c r="E1466">
        <v>9.49</v>
      </c>
      <c r="F1466" t="s">
        <v>1722</v>
      </c>
      <c r="G1466" t="s">
        <v>2289</v>
      </c>
      <c r="H1466" t="s">
        <v>1723</v>
      </c>
      <c r="I1466" s="11">
        <v>46277</v>
      </c>
      <c r="J1466" s="12">
        <v>46266</v>
      </c>
      <c r="K1466" s="13">
        <f>INDEX(Assumptions!$B$4:$B$23,MATCH(F1466,Assumptions!$A$4:$A$23,0))</f>
        <v>1</v>
      </c>
      <c r="L1466" s="14">
        <f t="shared" si="44"/>
        <v>9.49</v>
      </c>
      <c r="M1466" t="str">
        <f t="shared" si="45"/>
        <v>No</v>
      </c>
    </row>
    <row r="1467" spans="1:13" x14ac:dyDescent="0.25">
      <c r="A1467">
        <v>338165</v>
      </c>
      <c r="B1467" t="s">
        <v>4551</v>
      </c>
      <c r="C1467" t="s">
        <v>4552</v>
      </c>
      <c r="D1467" t="s">
        <v>6220</v>
      </c>
      <c r="E1467">
        <v>10.99</v>
      </c>
      <c r="F1467" t="s">
        <v>1722</v>
      </c>
      <c r="G1467" t="s">
        <v>2289</v>
      </c>
      <c r="H1467" t="s">
        <v>1723</v>
      </c>
      <c r="I1467" s="11">
        <v>46277</v>
      </c>
      <c r="J1467" s="12">
        <v>46266</v>
      </c>
      <c r="K1467" s="13">
        <f>INDEX(Assumptions!$B$4:$B$23,MATCH(F1467,Assumptions!$A$4:$A$23,0))</f>
        <v>1</v>
      </c>
      <c r="L1467" s="14">
        <f t="shared" si="44"/>
        <v>10.99</v>
      </c>
      <c r="M1467" t="str">
        <f t="shared" si="45"/>
        <v>No</v>
      </c>
    </row>
    <row r="1468" spans="1:13" x14ac:dyDescent="0.25">
      <c r="A1468">
        <v>338164</v>
      </c>
      <c r="B1468" t="s">
        <v>4554</v>
      </c>
      <c r="C1468" t="s">
        <v>4555</v>
      </c>
      <c r="D1468" t="s">
        <v>6220</v>
      </c>
      <c r="E1468">
        <v>10.99</v>
      </c>
      <c r="F1468" t="s">
        <v>1722</v>
      </c>
      <c r="G1468" t="s">
        <v>2289</v>
      </c>
      <c r="H1468" t="s">
        <v>1723</v>
      </c>
      <c r="I1468" s="11">
        <v>46277</v>
      </c>
      <c r="J1468" s="12">
        <v>46266</v>
      </c>
      <c r="K1468" s="13">
        <f>INDEX(Assumptions!$B$4:$B$23,MATCH(F1468,Assumptions!$A$4:$A$23,0))</f>
        <v>1</v>
      </c>
      <c r="L1468" s="14">
        <f t="shared" si="44"/>
        <v>10.99</v>
      </c>
      <c r="M1468" t="str">
        <f t="shared" si="45"/>
        <v>No</v>
      </c>
    </row>
    <row r="1469" spans="1:13" x14ac:dyDescent="0.25">
      <c r="A1469">
        <v>338163</v>
      </c>
      <c r="B1469" t="s">
        <v>4557</v>
      </c>
      <c r="C1469" t="s">
        <v>4558</v>
      </c>
      <c r="D1469" t="s">
        <v>6220</v>
      </c>
      <c r="E1469">
        <v>10.99</v>
      </c>
      <c r="F1469" t="s">
        <v>1722</v>
      </c>
      <c r="G1469" t="s">
        <v>2289</v>
      </c>
      <c r="H1469" t="s">
        <v>1723</v>
      </c>
      <c r="I1469" s="11">
        <v>46277</v>
      </c>
      <c r="J1469" s="12">
        <v>46266</v>
      </c>
      <c r="K1469" s="13">
        <f>INDEX(Assumptions!$B$4:$B$23,MATCH(F1469,Assumptions!$A$4:$A$23,0))</f>
        <v>1</v>
      </c>
      <c r="L1469" s="14">
        <f t="shared" si="44"/>
        <v>10.99</v>
      </c>
      <c r="M1469" t="str">
        <f t="shared" si="45"/>
        <v>No</v>
      </c>
    </row>
    <row r="1470" spans="1:13" x14ac:dyDescent="0.25">
      <c r="A1470">
        <v>338161</v>
      </c>
      <c r="B1470" t="s">
        <v>4560</v>
      </c>
      <c r="C1470" t="s">
        <v>4561</v>
      </c>
      <c r="D1470" t="s">
        <v>6220</v>
      </c>
      <c r="E1470">
        <v>10.99</v>
      </c>
      <c r="F1470" t="s">
        <v>1722</v>
      </c>
      <c r="G1470" t="s">
        <v>2289</v>
      </c>
      <c r="H1470" t="s">
        <v>1723</v>
      </c>
      <c r="I1470" s="11">
        <v>46277</v>
      </c>
      <c r="J1470" s="12">
        <v>46266</v>
      </c>
      <c r="K1470" s="13">
        <f>INDEX(Assumptions!$B$4:$B$23,MATCH(F1470,Assumptions!$A$4:$A$23,0))</f>
        <v>1</v>
      </c>
      <c r="L1470" s="14">
        <f t="shared" si="44"/>
        <v>10.99</v>
      </c>
      <c r="M1470" t="str">
        <f t="shared" si="45"/>
        <v>No</v>
      </c>
    </row>
    <row r="1471" spans="1:13" x14ac:dyDescent="0.25">
      <c r="A1471">
        <v>338159</v>
      </c>
      <c r="B1471" t="s">
        <v>4563</v>
      </c>
      <c r="C1471" t="s">
        <v>4564</v>
      </c>
      <c r="D1471" t="s">
        <v>6220</v>
      </c>
      <c r="E1471">
        <v>10.49</v>
      </c>
      <c r="F1471" t="s">
        <v>1722</v>
      </c>
      <c r="G1471" t="s">
        <v>2289</v>
      </c>
      <c r="H1471" t="s">
        <v>1723</v>
      </c>
      <c r="I1471" s="11">
        <v>46277</v>
      </c>
      <c r="J1471" s="12">
        <v>46266</v>
      </c>
      <c r="K1471" s="13">
        <f>INDEX(Assumptions!$B$4:$B$23,MATCH(F1471,Assumptions!$A$4:$A$23,0))</f>
        <v>1</v>
      </c>
      <c r="L1471" s="14">
        <f t="shared" si="44"/>
        <v>10.49</v>
      </c>
      <c r="M1471" t="str">
        <f t="shared" si="45"/>
        <v>No</v>
      </c>
    </row>
    <row r="1472" spans="1:13" x14ac:dyDescent="0.25">
      <c r="A1472">
        <v>338158</v>
      </c>
      <c r="B1472" t="s">
        <v>4566</v>
      </c>
      <c r="C1472" t="s">
        <v>4567</v>
      </c>
      <c r="D1472" t="s">
        <v>6220</v>
      </c>
      <c r="E1472">
        <v>14.99</v>
      </c>
      <c r="F1472" t="s">
        <v>1722</v>
      </c>
      <c r="G1472" t="s">
        <v>2289</v>
      </c>
      <c r="H1472" t="s">
        <v>1723</v>
      </c>
      <c r="I1472" s="11">
        <v>46277</v>
      </c>
      <c r="J1472" s="12">
        <v>46266</v>
      </c>
      <c r="K1472" s="13">
        <f>INDEX(Assumptions!$B$4:$B$23,MATCH(F1472,Assumptions!$A$4:$A$23,0))</f>
        <v>1</v>
      </c>
      <c r="L1472" s="14">
        <f t="shared" si="44"/>
        <v>14.99</v>
      </c>
      <c r="M1472" t="str">
        <f t="shared" si="45"/>
        <v>No</v>
      </c>
    </row>
    <row r="1473" spans="1:13" x14ac:dyDescent="0.25">
      <c r="A1473">
        <v>338155</v>
      </c>
      <c r="B1473" t="s">
        <v>4569</v>
      </c>
      <c r="C1473" t="s">
        <v>4570</v>
      </c>
      <c r="D1473" t="s">
        <v>6220</v>
      </c>
      <c r="E1473">
        <v>15.99</v>
      </c>
      <c r="F1473" t="s">
        <v>1722</v>
      </c>
      <c r="G1473" t="s">
        <v>2289</v>
      </c>
      <c r="H1473" t="s">
        <v>1723</v>
      </c>
      <c r="I1473" s="11">
        <v>46277</v>
      </c>
      <c r="J1473" s="12">
        <v>46266</v>
      </c>
      <c r="K1473" s="13">
        <f>INDEX(Assumptions!$B$4:$B$23,MATCH(F1473,Assumptions!$A$4:$A$23,0))</f>
        <v>1</v>
      </c>
      <c r="L1473" s="14">
        <f t="shared" si="44"/>
        <v>15.99</v>
      </c>
      <c r="M1473" t="str">
        <f t="shared" si="45"/>
        <v>No</v>
      </c>
    </row>
    <row r="1474" spans="1:13" x14ac:dyDescent="0.25">
      <c r="A1474">
        <v>338153</v>
      </c>
      <c r="B1474" t="s">
        <v>4572</v>
      </c>
      <c r="C1474" t="s">
        <v>4573</v>
      </c>
      <c r="D1474" t="s">
        <v>6220</v>
      </c>
      <c r="E1474">
        <v>20.99</v>
      </c>
      <c r="F1474" t="s">
        <v>1722</v>
      </c>
      <c r="G1474" t="s">
        <v>2289</v>
      </c>
      <c r="H1474" t="s">
        <v>1723</v>
      </c>
      <c r="I1474" s="11">
        <v>46277</v>
      </c>
      <c r="J1474" s="12">
        <v>46266</v>
      </c>
      <c r="K1474" s="13">
        <f>INDEX(Assumptions!$B$4:$B$23,MATCH(F1474,Assumptions!$A$4:$A$23,0))</f>
        <v>1</v>
      </c>
      <c r="L1474" s="14">
        <f t="shared" ref="L1474:L1537" si="46">E1474*K1474</f>
        <v>20.99</v>
      </c>
      <c r="M1474" t="str">
        <f t="shared" ref="M1474:M1537" si="47">IF(C1474="Unnamed product","Yes","No")</f>
        <v>No</v>
      </c>
    </row>
    <row r="1475" spans="1:13" x14ac:dyDescent="0.25">
      <c r="A1475">
        <v>338152</v>
      </c>
      <c r="B1475" t="s">
        <v>4575</v>
      </c>
      <c r="C1475" t="s">
        <v>4576</v>
      </c>
      <c r="D1475" t="s">
        <v>6220</v>
      </c>
      <c r="E1475">
        <v>6.99</v>
      </c>
      <c r="F1475" t="s">
        <v>1722</v>
      </c>
      <c r="G1475" t="s">
        <v>2289</v>
      </c>
      <c r="H1475" t="s">
        <v>1723</v>
      </c>
      <c r="I1475" s="11">
        <v>46277</v>
      </c>
      <c r="J1475" s="12">
        <v>46266</v>
      </c>
      <c r="K1475" s="13">
        <f>INDEX(Assumptions!$B$4:$B$23,MATCH(F1475,Assumptions!$A$4:$A$23,0))</f>
        <v>1</v>
      </c>
      <c r="L1475" s="14">
        <f t="shared" si="46"/>
        <v>6.99</v>
      </c>
      <c r="M1475" t="str">
        <f t="shared" si="47"/>
        <v>No</v>
      </c>
    </row>
    <row r="1476" spans="1:13" x14ac:dyDescent="0.25">
      <c r="A1476">
        <v>338151</v>
      </c>
      <c r="B1476" t="s">
        <v>4578</v>
      </c>
      <c r="C1476" t="s">
        <v>4579</v>
      </c>
      <c r="D1476" t="s">
        <v>6220</v>
      </c>
      <c r="E1476">
        <v>6.99</v>
      </c>
      <c r="F1476" t="s">
        <v>1722</v>
      </c>
      <c r="G1476" t="s">
        <v>2289</v>
      </c>
      <c r="H1476" t="s">
        <v>1723</v>
      </c>
      <c r="I1476" s="11">
        <v>46277</v>
      </c>
      <c r="J1476" s="12">
        <v>46266</v>
      </c>
      <c r="K1476" s="13">
        <f>INDEX(Assumptions!$B$4:$B$23,MATCH(F1476,Assumptions!$A$4:$A$23,0))</f>
        <v>1</v>
      </c>
      <c r="L1476" s="14">
        <f t="shared" si="46"/>
        <v>6.99</v>
      </c>
      <c r="M1476" t="str">
        <f t="shared" si="47"/>
        <v>No</v>
      </c>
    </row>
    <row r="1477" spans="1:13" x14ac:dyDescent="0.25">
      <c r="A1477">
        <v>338149</v>
      </c>
      <c r="B1477" t="s">
        <v>4581</v>
      </c>
      <c r="C1477" t="s">
        <v>4582</v>
      </c>
      <c r="D1477" t="s">
        <v>6220</v>
      </c>
      <c r="E1477">
        <v>4.99</v>
      </c>
      <c r="F1477" t="s">
        <v>1722</v>
      </c>
      <c r="G1477" t="s">
        <v>2289</v>
      </c>
      <c r="H1477" t="s">
        <v>1723</v>
      </c>
      <c r="I1477" s="11">
        <v>46277</v>
      </c>
      <c r="J1477" s="12">
        <v>46266</v>
      </c>
      <c r="K1477" s="13">
        <f>INDEX(Assumptions!$B$4:$B$23,MATCH(F1477,Assumptions!$A$4:$A$23,0))</f>
        <v>1</v>
      </c>
      <c r="L1477" s="14">
        <f t="shared" si="46"/>
        <v>4.99</v>
      </c>
      <c r="M1477" t="str">
        <f t="shared" si="47"/>
        <v>No</v>
      </c>
    </row>
    <row r="1478" spans="1:13" x14ac:dyDescent="0.25">
      <c r="A1478">
        <v>338150</v>
      </c>
      <c r="B1478" t="s">
        <v>4584</v>
      </c>
      <c r="C1478" t="s">
        <v>4585</v>
      </c>
      <c r="D1478" t="s">
        <v>6220</v>
      </c>
      <c r="E1478">
        <v>16.489999999999998</v>
      </c>
      <c r="F1478" t="s">
        <v>1722</v>
      </c>
      <c r="G1478" t="s">
        <v>2289</v>
      </c>
      <c r="H1478" t="s">
        <v>1723</v>
      </c>
      <c r="I1478" s="11">
        <v>46277</v>
      </c>
      <c r="J1478" s="12">
        <v>46266</v>
      </c>
      <c r="K1478" s="13">
        <f>INDEX(Assumptions!$B$4:$B$23,MATCH(F1478,Assumptions!$A$4:$A$23,0))</f>
        <v>1</v>
      </c>
      <c r="L1478" s="14">
        <f t="shared" si="46"/>
        <v>16.489999999999998</v>
      </c>
      <c r="M1478" t="str">
        <f t="shared" si="47"/>
        <v>No</v>
      </c>
    </row>
    <row r="1479" spans="1:13" x14ac:dyDescent="0.25">
      <c r="A1479">
        <v>338148</v>
      </c>
      <c r="B1479" t="s">
        <v>4587</v>
      </c>
      <c r="C1479" t="s">
        <v>4588</v>
      </c>
      <c r="D1479" t="s">
        <v>6220</v>
      </c>
      <c r="E1479">
        <v>9.99</v>
      </c>
      <c r="F1479" t="s">
        <v>1722</v>
      </c>
      <c r="G1479" t="s">
        <v>2289</v>
      </c>
      <c r="H1479" t="s">
        <v>1723</v>
      </c>
      <c r="I1479" s="11">
        <v>46277</v>
      </c>
      <c r="J1479" s="12">
        <v>46266</v>
      </c>
      <c r="K1479" s="13">
        <f>INDEX(Assumptions!$B$4:$B$23,MATCH(F1479,Assumptions!$A$4:$A$23,0))</f>
        <v>1</v>
      </c>
      <c r="L1479" s="14">
        <f t="shared" si="46"/>
        <v>9.99</v>
      </c>
      <c r="M1479" t="str">
        <f t="shared" si="47"/>
        <v>No</v>
      </c>
    </row>
    <row r="1480" spans="1:13" x14ac:dyDescent="0.25">
      <c r="A1480">
        <v>338147</v>
      </c>
      <c r="B1480" t="s">
        <v>4590</v>
      </c>
      <c r="C1480" t="s">
        <v>4591</v>
      </c>
      <c r="D1480" t="s">
        <v>6220</v>
      </c>
      <c r="E1480">
        <v>9.99</v>
      </c>
      <c r="F1480" t="s">
        <v>1722</v>
      </c>
      <c r="G1480" t="s">
        <v>2289</v>
      </c>
      <c r="H1480" t="s">
        <v>1723</v>
      </c>
      <c r="I1480" s="11">
        <v>46277</v>
      </c>
      <c r="J1480" s="12">
        <v>46266</v>
      </c>
      <c r="K1480" s="13">
        <f>INDEX(Assumptions!$B$4:$B$23,MATCH(F1480,Assumptions!$A$4:$A$23,0))</f>
        <v>1</v>
      </c>
      <c r="L1480" s="14">
        <f t="shared" si="46"/>
        <v>9.99</v>
      </c>
      <c r="M1480" t="str">
        <f t="shared" si="47"/>
        <v>No</v>
      </c>
    </row>
    <row r="1481" spans="1:13" x14ac:dyDescent="0.25">
      <c r="A1481">
        <v>338146</v>
      </c>
      <c r="B1481" t="s">
        <v>4593</v>
      </c>
      <c r="C1481" t="s">
        <v>4594</v>
      </c>
      <c r="D1481" t="s">
        <v>6220</v>
      </c>
      <c r="E1481">
        <v>11.99</v>
      </c>
      <c r="F1481" t="s">
        <v>1722</v>
      </c>
      <c r="G1481" t="s">
        <v>2289</v>
      </c>
      <c r="H1481" t="s">
        <v>1723</v>
      </c>
      <c r="I1481" s="11">
        <v>46277</v>
      </c>
      <c r="J1481" s="12">
        <v>46266</v>
      </c>
      <c r="K1481" s="13">
        <f>INDEX(Assumptions!$B$4:$B$23,MATCH(F1481,Assumptions!$A$4:$A$23,0))</f>
        <v>1</v>
      </c>
      <c r="L1481" s="14">
        <f t="shared" si="46"/>
        <v>11.99</v>
      </c>
      <c r="M1481" t="str">
        <f t="shared" si="47"/>
        <v>No</v>
      </c>
    </row>
    <row r="1482" spans="1:13" x14ac:dyDescent="0.25">
      <c r="A1482">
        <v>338145</v>
      </c>
      <c r="B1482" t="s">
        <v>4596</v>
      </c>
      <c r="C1482" t="s">
        <v>4597</v>
      </c>
      <c r="D1482" t="s">
        <v>6220</v>
      </c>
      <c r="E1482">
        <v>11.99</v>
      </c>
      <c r="F1482" t="s">
        <v>1722</v>
      </c>
      <c r="G1482" t="s">
        <v>2289</v>
      </c>
      <c r="H1482" t="s">
        <v>1723</v>
      </c>
      <c r="I1482" s="11">
        <v>46277</v>
      </c>
      <c r="J1482" s="12">
        <v>46266</v>
      </c>
      <c r="K1482" s="13">
        <f>INDEX(Assumptions!$B$4:$B$23,MATCH(F1482,Assumptions!$A$4:$A$23,0))</f>
        <v>1</v>
      </c>
      <c r="L1482" s="14">
        <f t="shared" si="46"/>
        <v>11.99</v>
      </c>
      <c r="M1482" t="str">
        <f t="shared" si="47"/>
        <v>No</v>
      </c>
    </row>
    <row r="1483" spans="1:13" x14ac:dyDescent="0.25">
      <c r="A1483">
        <v>338144</v>
      </c>
      <c r="B1483" t="s">
        <v>4599</v>
      </c>
      <c r="C1483" t="s">
        <v>4600</v>
      </c>
      <c r="D1483" t="s">
        <v>6220</v>
      </c>
      <c r="E1483">
        <v>8.49</v>
      </c>
      <c r="F1483" t="s">
        <v>1722</v>
      </c>
      <c r="G1483" t="s">
        <v>2289</v>
      </c>
      <c r="H1483" t="s">
        <v>1723</v>
      </c>
      <c r="I1483" s="11">
        <v>46277</v>
      </c>
      <c r="J1483" s="12">
        <v>46266</v>
      </c>
      <c r="K1483" s="13">
        <f>INDEX(Assumptions!$B$4:$B$23,MATCH(F1483,Assumptions!$A$4:$A$23,0))</f>
        <v>1</v>
      </c>
      <c r="L1483" s="14">
        <f t="shared" si="46"/>
        <v>8.49</v>
      </c>
      <c r="M1483" t="str">
        <f t="shared" si="47"/>
        <v>No</v>
      </c>
    </row>
    <row r="1484" spans="1:13" x14ac:dyDescent="0.25">
      <c r="A1484">
        <v>338143</v>
      </c>
      <c r="B1484" t="s">
        <v>4602</v>
      </c>
      <c r="C1484" t="s">
        <v>4603</v>
      </c>
      <c r="D1484" t="s">
        <v>6220</v>
      </c>
      <c r="E1484">
        <v>9.99</v>
      </c>
      <c r="F1484" t="s">
        <v>1722</v>
      </c>
      <c r="G1484" t="s">
        <v>2289</v>
      </c>
      <c r="H1484" t="s">
        <v>1723</v>
      </c>
      <c r="I1484" s="11">
        <v>46277</v>
      </c>
      <c r="J1484" s="12">
        <v>46266</v>
      </c>
      <c r="K1484" s="13">
        <f>INDEX(Assumptions!$B$4:$B$23,MATCH(F1484,Assumptions!$A$4:$A$23,0))</f>
        <v>1</v>
      </c>
      <c r="L1484" s="14">
        <f t="shared" si="46"/>
        <v>9.99</v>
      </c>
      <c r="M1484" t="str">
        <f t="shared" si="47"/>
        <v>No</v>
      </c>
    </row>
    <row r="1485" spans="1:13" x14ac:dyDescent="0.25">
      <c r="A1485">
        <v>338142</v>
      </c>
      <c r="B1485" t="s">
        <v>4605</v>
      </c>
      <c r="C1485" t="s">
        <v>4606</v>
      </c>
      <c r="D1485" t="s">
        <v>6220</v>
      </c>
      <c r="E1485">
        <v>7.99</v>
      </c>
      <c r="F1485" t="s">
        <v>1722</v>
      </c>
      <c r="G1485" t="s">
        <v>2289</v>
      </c>
      <c r="H1485" t="s">
        <v>1723</v>
      </c>
      <c r="I1485" s="11">
        <v>46277</v>
      </c>
      <c r="J1485" s="12">
        <v>46266</v>
      </c>
      <c r="K1485" s="13">
        <f>INDEX(Assumptions!$B$4:$B$23,MATCH(F1485,Assumptions!$A$4:$A$23,0))</f>
        <v>1</v>
      </c>
      <c r="L1485" s="14">
        <f t="shared" si="46"/>
        <v>7.99</v>
      </c>
      <c r="M1485" t="str">
        <f t="shared" si="47"/>
        <v>No</v>
      </c>
    </row>
    <row r="1486" spans="1:13" x14ac:dyDescent="0.25">
      <c r="A1486">
        <v>338141</v>
      </c>
      <c r="B1486" t="s">
        <v>4608</v>
      </c>
      <c r="C1486" t="s">
        <v>4609</v>
      </c>
      <c r="D1486" t="s">
        <v>6220</v>
      </c>
      <c r="E1486">
        <v>9.49</v>
      </c>
      <c r="F1486" t="s">
        <v>1722</v>
      </c>
      <c r="G1486" t="s">
        <v>2289</v>
      </c>
      <c r="H1486" t="s">
        <v>1723</v>
      </c>
      <c r="I1486" s="11">
        <v>46277</v>
      </c>
      <c r="J1486" s="12">
        <v>46266</v>
      </c>
      <c r="K1486" s="13">
        <f>INDEX(Assumptions!$B$4:$B$23,MATCH(F1486,Assumptions!$A$4:$A$23,0))</f>
        <v>1</v>
      </c>
      <c r="L1486" s="14">
        <f t="shared" si="46"/>
        <v>9.49</v>
      </c>
      <c r="M1486" t="str">
        <f t="shared" si="47"/>
        <v>No</v>
      </c>
    </row>
    <row r="1487" spans="1:13" x14ac:dyDescent="0.25">
      <c r="A1487">
        <v>338140</v>
      </c>
      <c r="B1487" t="s">
        <v>4611</v>
      </c>
      <c r="C1487" t="s">
        <v>4612</v>
      </c>
      <c r="D1487" t="s">
        <v>6220</v>
      </c>
      <c r="E1487">
        <v>10.99</v>
      </c>
      <c r="F1487" t="s">
        <v>1722</v>
      </c>
      <c r="G1487" t="s">
        <v>2289</v>
      </c>
      <c r="H1487" t="s">
        <v>1723</v>
      </c>
      <c r="I1487" s="11">
        <v>46277</v>
      </c>
      <c r="J1487" s="12">
        <v>46266</v>
      </c>
      <c r="K1487" s="13">
        <f>INDEX(Assumptions!$B$4:$B$23,MATCH(F1487,Assumptions!$A$4:$A$23,0))</f>
        <v>1</v>
      </c>
      <c r="L1487" s="14">
        <f t="shared" si="46"/>
        <v>10.99</v>
      </c>
      <c r="M1487" t="str">
        <f t="shared" si="47"/>
        <v>No</v>
      </c>
    </row>
    <row r="1488" spans="1:13" x14ac:dyDescent="0.25">
      <c r="A1488">
        <v>338139</v>
      </c>
      <c r="B1488" t="s">
        <v>4614</v>
      </c>
      <c r="C1488" t="s">
        <v>4615</v>
      </c>
      <c r="D1488" t="s">
        <v>6220</v>
      </c>
      <c r="E1488">
        <v>7.99</v>
      </c>
      <c r="F1488" t="s">
        <v>1722</v>
      </c>
      <c r="G1488" t="s">
        <v>2289</v>
      </c>
      <c r="H1488" t="s">
        <v>1723</v>
      </c>
      <c r="I1488" s="11">
        <v>46277</v>
      </c>
      <c r="J1488" s="12">
        <v>46266</v>
      </c>
      <c r="K1488" s="13">
        <f>INDEX(Assumptions!$B$4:$B$23,MATCH(F1488,Assumptions!$A$4:$A$23,0))</f>
        <v>1</v>
      </c>
      <c r="L1488" s="14">
        <f t="shared" si="46"/>
        <v>7.99</v>
      </c>
      <c r="M1488" t="str">
        <f t="shared" si="47"/>
        <v>No</v>
      </c>
    </row>
    <row r="1489" spans="1:13" x14ac:dyDescent="0.25">
      <c r="A1489">
        <v>338138</v>
      </c>
      <c r="B1489" t="s">
        <v>4617</v>
      </c>
      <c r="C1489" t="s">
        <v>4618</v>
      </c>
      <c r="D1489" t="s">
        <v>6220</v>
      </c>
      <c r="E1489">
        <v>10.99</v>
      </c>
      <c r="F1489" t="s">
        <v>1722</v>
      </c>
      <c r="G1489" t="s">
        <v>2289</v>
      </c>
      <c r="H1489" t="s">
        <v>1723</v>
      </c>
      <c r="I1489" s="11">
        <v>46277</v>
      </c>
      <c r="J1489" s="12">
        <v>46266</v>
      </c>
      <c r="K1489" s="13">
        <f>INDEX(Assumptions!$B$4:$B$23,MATCH(F1489,Assumptions!$A$4:$A$23,0))</f>
        <v>1</v>
      </c>
      <c r="L1489" s="14">
        <f t="shared" si="46"/>
        <v>10.99</v>
      </c>
      <c r="M1489" t="str">
        <f t="shared" si="47"/>
        <v>No</v>
      </c>
    </row>
    <row r="1490" spans="1:13" x14ac:dyDescent="0.25">
      <c r="A1490">
        <v>338137</v>
      </c>
      <c r="B1490" t="s">
        <v>4620</v>
      </c>
      <c r="C1490" t="s">
        <v>4621</v>
      </c>
      <c r="D1490" t="s">
        <v>6220</v>
      </c>
      <c r="E1490">
        <v>9.49</v>
      </c>
      <c r="F1490" t="s">
        <v>1722</v>
      </c>
      <c r="G1490" t="s">
        <v>2289</v>
      </c>
      <c r="H1490" t="s">
        <v>1723</v>
      </c>
      <c r="I1490" s="11">
        <v>46277</v>
      </c>
      <c r="J1490" s="12">
        <v>46266</v>
      </c>
      <c r="K1490" s="13">
        <f>INDEX(Assumptions!$B$4:$B$23,MATCH(F1490,Assumptions!$A$4:$A$23,0))</f>
        <v>1</v>
      </c>
      <c r="L1490" s="14">
        <f t="shared" si="46"/>
        <v>9.49</v>
      </c>
      <c r="M1490" t="str">
        <f t="shared" si="47"/>
        <v>No</v>
      </c>
    </row>
    <row r="1491" spans="1:13" x14ac:dyDescent="0.25">
      <c r="A1491">
        <v>338132</v>
      </c>
      <c r="B1491" t="s">
        <v>4623</v>
      </c>
      <c r="C1491" t="s">
        <v>4624</v>
      </c>
      <c r="D1491" t="s">
        <v>6220</v>
      </c>
      <c r="E1491">
        <v>11.99</v>
      </c>
      <c r="F1491" t="s">
        <v>1722</v>
      </c>
      <c r="G1491" t="s">
        <v>2289</v>
      </c>
      <c r="H1491" t="s">
        <v>1723</v>
      </c>
      <c r="I1491" s="11">
        <v>46277</v>
      </c>
      <c r="J1491" s="12">
        <v>46266</v>
      </c>
      <c r="K1491" s="13">
        <f>INDEX(Assumptions!$B$4:$B$23,MATCH(F1491,Assumptions!$A$4:$A$23,0))</f>
        <v>1</v>
      </c>
      <c r="L1491" s="14">
        <f t="shared" si="46"/>
        <v>11.99</v>
      </c>
      <c r="M1491" t="str">
        <f t="shared" si="47"/>
        <v>No</v>
      </c>
    </row>
    <row r="1492" spans="1:13" x14ac:dyDescent="0.25">
      <c r="A1492">
        <v>338133</v>
      </c>
      <c r="B1492" t="s">
        <v>4626</v>
      </c>
      <c r="C1492" t="s">
        <v>4627</v>
      </c>
      <c r="D1492" t="s">
        <v>6220</v>
      </c>
      <c r="E1492">
        <v>21.99</v>
      </c>
      <c r="F1492" t="s">
        <v>1722</v>
      </c>
      <c r="G1492" t="s">
        <v>2289</v>
      </c>
      <c r="H1492" t="s">
        <v>1723</v>
      </c>
      <c r="I1492" s="11">
        <v>46277</v>
      </c>
      <c r="J1492" s="12">
        <v>46266</v>
      </c>
      <c r="K1492" s="13">
        <f>INDEX(Assumptions!$B$4:$B$23,MATCH(F1492,Assumptions!$A$4:$A$23,0))</f>
        <v>1</v>
      </c>
      <c r="L1492" s="14">
        <f t="shared" si="46"/>
        <v>21.99</v>
      </c>
      <c r="M1492" t="str">
        <f t="shared" si="47"/>
        <v>No</v>
      </c>
    </row>
    <row r="1493" spans="1:13" x14ac:dyDescent="0.25">
      <c r="A1493">
        <v>338129</v>
      </c>
      <c r="B1493" t="s">
        <v>4629</v>
      </c>
      <c r="C1493" t="s">
        <v>4630</v>
      </c>
      <c r="D1493" t="s">
        <v>6220</v>
      </c>
      <c r="E1493">
        <v>14.99</v>
      </c>
      <c r="F1493" t="s">
        <v>1722</v>
      </c>
      <c r="G1493" t="s">
        <v>2289</v>
      </c>
      <c r="H1493" t="s">
        <v>1723</v>
      </c>
      <c r="I1493" s="11">
        <v>46277</v>
      </c>
      <c r="J1493" s="12">
        <v>46266</v>
      </c>
      <c r="K1493" s="13">
        <f>INDEX(Assumptions!$B$4:$B$23,MATCH(F1493,Assumptions!$A$4:$A$23,0))</f>
        <v>1</v>
      </c>
      <c r="L1493" s="14">
        <f t="shared" si="46"/>
        <v>14.99</v>
      </c>
      <c r="M1493" t="str">
        <f t="shared" si="47"/>
        <v>No</v>
      </c>
    </row>
    <row r="1494" spans="1:13" x14ac:dyDescent="0.25">
      <c r="A1494">
        <v>338130</v>
      </c>
      <c r="B1494" t="s">
        <v>4632</v>
      </c>
      <c r="C1494" t="s">
        <v>4633</v>
      </c>
      <c r="D1494" t="s">
        <v>6220</v>
      </c>
      <c r="E1494">
        <v>17.989999999999998</v>
      </c>
      <c r="F1494" t="s">
        <v>1722</v>
      </c>
      <c r="G1494" t="s">
        <v>2289</v>
      </c>
      <c r="H1494" t="s">
        <v>1723</v>
      </c>
      <c r="I1494" s="11">
        <v>46277</v>
      </c>
      <c r="J1494" s="12">
        <v>46266</v>
      </c>
      <c r="K1494" s="13">
        <f>INDEX(Assumptions!$B$4:$B$23,MATCH(F1494,Assumptions!$A$4:$A$23,0))</f>
        <v>1</v>
      </c>
      <c r="L1494" s="14">
        <f t="shared" si="46"/>
        <v>17.989999999999998</v>
      </c>
      <c r="M1494" t="str">
        <f t="shared" si="47"/>
        <v>No</v>
      </c>
    </row>
    <row r="1495" spans="1:13" x14ac:dyDescent="0.25">
      <c r="A1495">
        <v>338127</v>
      </c>
      <c r="B1495" t="s">
        <v>4635</v>
      </c>
      <c r="C1495" t="s">
        <v>4636</v>
      </c>
      <c r="D1495" t="s">
        <v>6220</v>
      </c>
      <c r="E1495">
        <v>11.99</v>
      </c>
      <c r="F1495" t="s">
        <v>1722</v>
      </c>
      <c r="G1495" t="s">
        <v>2289</v>
      </c>
      <c r="H1495" t="s">
        <v>1723</v>
      </c>
      <c r="I1495" s="11">
        <v>46277</v>
      </c>
      <c r="J1495" s="12">
        <v>46266</v>
      </c>
      <c r="K1495" s="13">
        <f>INDEX(Assumptions!$B$4:$B$23,MATCH(F1495,Assumptions!$A$4:$A$23,0))</f>
        <v>1</v>
      </c>
      <c r="L1495" s="14">
        <f t="shared" si="46"/>
        <v>11.99</v>
      </c>
      <c r="M1495" t="str">
        <f t="shared" si="47"/>
        <v>No</v>
      </c>
    </row>
    <row r="1496" spans="1:13" x14ac:dyDescent="0.25">
      <c r="A1496">
        <v>338126</v>
      </c>
      <c r="B1496" t="s">
        <v>4638</v>
      </c>
      <c r="C1496" t="s">
        <v>4639</v>
      </c>
      <c r="D1496" t="s">
        <v>6220</v>
      </c>
      <c r="E1496">
        <v>16.989999999999998</v>
      </c>
      <c r="F1496" t="s">
        <v>1722</v>
      </c>
      <c r="G1496" t="s">
        <v>2289</v>
      </c>
      <c r="H1496" t="s">
        <v>1723</v>
      </c>
      <c r="I1496" s="11">
        <v>46277</v>
      </c>
      <c r="J1496" s="12">
        <v>46266</v>
      </c>
      <c r="K1496" s="13">
        <f>INDEX(Assumptions!$B$4:$B$23,MATCH(F1496,Assumptions!$A$4:$A$23,0))</f>
        <v>1</v>
      </c>
      <c r="L1496" s="14">
        <f t="shared" si="46"/>
        <v>16.989999999999998</v>
      </c>
      <c r="M1496" t="str">
        <f t="shared" si="47"/>
        <v>No</v>
      </c>
    </row>
    <row r="1497" spans="1:13" x14ac:dyDescent="0.25">
      <c r="A1497">
        <v>338125</v>
      </c>
      <c r="B1497" t="s">
        <v>4641</v>
      </c>
      <c r="C1497" t="s">
        <v>4642</v>
      </c>
      <c r="D1497" t="s">
        <v>6220</v>
      </c>
      <c r="E1497">
        <v>16.989999999999998</v>
      </c>
      <c r="F1497" t="s">
        <v>1722</v>
      </c>
      <c r="G1497" t="s">
        <v>2289</v>
      </c>
      <c r="H1497" t="s">
        <v>1723</v>
      </c>
      <c r="I1497" s="11">
        <v>46277</v>
      </c>
      <c r="J1497" s="12">
        <v>46266</v>
      </c>
      <c r="K1497" s="13">
        <f>INDEX(Assumptions!$B$4:$B$23,MATCH(F1497,Assumptions!$A$4:$A$23,0))</f>
        <v>1</v>
      </c>
      <c r="L1497" s="14">
        <f t="shared" si="46"/>
        <v>16.989999999999998</v>
      </c>
      <c r="M1497" t="str">
        <f t="shared" si="47"/>
        <v>No</v>
      </c>
    </row>
    <row r="1498" spans="1:13" x14ac:dyDescent="0.25">
      <c r="A1498">
        <v>338124</v>
      </c>
      <c r="B1498" t="s">
        <v>4644</v>
      </c>
      <c r="C1498" t="s">
        <v>4645</v>
      </c>
      <c r="D1498" t="s">
        <v>6220</v>
      </c>
      <c r="E1498">
        <v>15.99</v>
      </c>
      <c r="F1498" t="s">
        <v>1722</v>
      </c>
      <c r="G1498" t="s">
        <v>2289</v>
      </c>
      <c r="H1498" t="s">
        <v>1723</v>
      </c>
      <c r="I1498" s="11">
        <v>46277</v>
      </c>
      <c r="J1498" s="12">
        <v>46266</v>
      </c>
      <c r="K1498" s="13">
        <f>INDEX(Assumptions!$B$4:$B$23,MATCH(F1498,Assumptions!$A$4:$A$23,0))</f>
        <v>1</v>
      </c>
      <c r="L1498" s="14">
        <f t="shared" si="46"/>
        <v>15.99</v>
      </c>
      <c r="M1498" t="str">
        <f t="shared" si="47"/>
        <v>No</v>
      </c>
    </row>
    <row r="1499" spans="1:13" x14ac:dyDescent="0.25">
      <c r="A1499">
        <v>338123</v>
      </c>
      <c r="B1499" t="s">
        <v>4647</v>
      </c>
      <c r="C1499" t="s">
        <v>4648</v>
      </c>
      <c r="D1499" t="s">
        <v>6220</v>
      </c>
      <c r="E1499">
        <v>14.99</v>
      </c>
      <c r="F1499" t="s">
        <v>1722</v>
      </c>
      <c r="G1499" t="s">
        <v>2289</v>
      </c>
      <c r="H1499" t="s">
        <v>1723</v>
      </c>
      <c r="I1499" s="11">
        <v>46277</v>
      </c>
      <c r="J1499" s="12">
        <v>46266</v>
      </c>
      <c r="K1499" s="13">
        <f>INDEX(Assumptions!$B$4:$B$23,MATCH(F1499,Assumptions!$A$4:$A$23,0))</f>
        <v>1</v>
      </c>
      <c r="L1499" s="14">
        <f t="shared" si="46"/>
        <v>14.99</v>
      </c>
      <c r="M1499" t="str">
        <f t="shared" si="47"/>
        <v>No</v>
      </c>
    </row>
    <row r="1500" spans="1:13" x14ac:dyDescent="0.25">
      <c r="A1500">
        <v>338122</v>
      </c>
      <c r="B1500" t="s">
        <v>4650</v>
      </c>
      <c r="C1500" t="s">
        <v>4651</v>
      </c>
      <c r="D1500" t="s">
        <v>6220</v>
      </c>
      <c r="E1500">
        <v>16.989999999999998</v>
      </c>
      <c r="F1500" t="s">
        <v>1722</v>
      </c>
      <c r="G1500" t="s">
        <v>2289</v>
      </c>
      <c r="H1500" t="s">
        <v>1723</v>
      </c>
      <c r="I1500" s="11">
        <v>46277</v>
      </c>
      <c r="J1500" s="12">
        <v>46266</v>
      </c>
      <c r="K1500" s="13">
        <f>INDEX(Assumptions!$B$4:$B$23,MATCH(F1500,Assumptions!$A$4:$A$23,0))</f>
        <v>1</v>
      </c>
      <c r="L1500" s="14">
        <f t="shared" si="46"/>
        <v>16.989999999999998</v>
      </c>
      <c r="M1500" t="str">
        <f t="shared" si="47"/>
        <v>No</v>
      </c>
    </row>
    <row r="1501" spans="1:13" x14ac:dyDescent="0.25">
      <c r="A1501">
        <v>338135</v>
      </c>
      <c r="B1501" t="s">
        <v>4653</v>
      </c>
      <c r="C1501" t="s">
        <v>4654</v>
      </c>
      <c r="D1501" t="s">
        <v>6220</v>
      </c>
      <c r="E1501">
        <v>21.99</v>
      </c>
      <c r="F1501" t="s">
        <v>1722</v>
      </c>
      <c r="G1501" t="s">
        <v>2289</v>
      </c>
      <c r="H1501" t="s">
        <v>1723</v>
      </c>
      <c r="I1501" s="11">
        <v>46277</v>
      </c>
      <c r="J1501" s="12">
        <v>46266</v>
      </c>
      <c r="K1501" s="13">
        <f>INDEX(Assumptions!$B$4:$B$23,MATCH(F1501,Assumptions!$A$4:$A$23,0))</f>
        <v>1</v>
      </c>
      <c r="L1501" s="14">
        <f t="shared" si="46"/>
        <v>21.99</v>
      </c>
      <c r="M1501" t="str">
        <f t="shared" si="47"/>
        <v>No</v>
      </c>
    </row>
    <row r="1502" spans="1:13" x14ac:dyDescent="0.25">
      <c r="A1502">
        <v>338121</v>
      </c>
      <c r="B1502" t="s">
        <v>4656</v>
      </c>
      <c r="C1502" t="s">
        <v>4657</v>
      </c>
      <c r="D1502" t="s">
        <v>6220</v>
      </c>
      <c r="E1502">
        <v>13.99</v>
      </c>
      <c r="F1502" t="s">
        <v>1722</v>
      </c>
      <c r="G1502" t="s">
        <v>2289</v>
      </c>
      <c r="H1502" t="s">
        <v>1723</v>
      </c>
      <c r="I1502" s="11">
        <v>46277</v>
      </c>
      <c r="J1502" s="12">
        <v>46266</v>
      </c>
      <c r="K1502" s="13">
        <f>INDEX(Assumptions!$B$4:$B$23,MATCH(F1502,Assumptions!$A$4:$A$23,0))</f>
        <v>1</v>
      </c>
      <c r="L1502" s="14">
        <f t="shared" si="46"/>
        <v>13.99</v>
      </c>
      <c r="M1502" t="str">
        <f t="shared" si="47"/>
        <v>No</v>
      </c>
    </row>
    <row r="1503" spans="1:13" x14ac:dyDescent="0.25">
      <c r="A1503">
        <v>338120</v>
      </c>
      <c r="B1503" t="s">
        <v>4659</v>
      </c>
      <c r="C1503" t="s">
        <v>4660</v>
      </c>
      <c r="D1503" t="s">
        <v>6220</v>
      </c>
      <c r="E1503">
        <v>19.989999999999998</v>
      </c>
      <c r="F1503" t="s">
        <v>1722</v>
      </c>
      <c r="G1503" t="s">
        <v>2289</v>
      </c>
      <c r="H1503" t="s">
        <v>1723</v>
      </c>
      <c r="I1503" s="11">
        <v>46277</v>
      </c>
      <c r="J1503" s="12">
        <v>46266</v>
      </c>
      <c r="K1503" s="13">
        <f>INDEX(Assumptions!$B$4:$B$23,MATCH(F1503,Assumptions!$A$4:$A$23,0))</f>
        <v>1</v>
      </c>
      <c r="L1503" s="14">
        <f t="shared" si="46"/>
        <v>19.989999999999998</v>
      </c>
      <c r="M1503" t="str">
        <f t="shared" si="47"/>
        <v>No</v>
      </c>
    </row>
    <row r="1504" spans="1:13" x14ac:dyDescent="0.25">
      <c r="A1504">
        <v>338119</v>
      </c>
      <c r="B1504" t="s">
        <v>4644</v>
      </c>
      <c r="C1504" t="s">
        <v>4662</v>
      </c>
      <c r="D1504" t="s">
        <v>6220</v>
      </c>
      <c r="E1504">
        <v>15.99</v>
      </c>
      <c r="F1504" t="s">
        <v>1722</v>
      </c>
      <c r="G1504" t="s">
        <v>2289</v>
      </c>
      <c r="H1504" t="s">
        <v>1723</v>
      </c>
      <c r="I1504" s="11">
        <v>46277</v>
      </c>
      <c r="J1504" s="12">
        <v>46266</v>
      </c>
      <c r="K1504" s="13">
        <f>INDEX(Assumptions!$B$4:$B$23,MATCH(F1504,Assumptions!$A$4:$A$23,0))</f>
        <v>1</v>
      </c>
      <c r="L1504" s="14">
        <f t="shared" si="46"/>
        <v>15.99</v>
      </c>
      <c r="M1504" t="str">
        <f t="shared" si="47"/>
        <v>No</v>
      </c>
    </row>
    <row r="1505" spans="1:13" x14ac:dyDescent="0.25">
      <c r="A1505">
        <v>338118</v>
      </c>
      <c r="B1505" t="s">
        <v>4664</v>
      </c>
      <c r="C1505" t="s">
        <v>4665</v>
      </c>
      <c r="D1505" t="s">
        <v>6220</v>
      </c>
      <c r="E1505">
        <v>23.99</v>
      </c>
      <c r="F1505" t="s">
        <v>1722</v>
      </c>
      <c r="G1505" t="s">
        <v>2289</v>
      </c>
      <c r="H1505" t="s">
        <v>1723</v>
      </c>
      <c r="I1505" s="11">
        <v>46277</v>
      </c>
      <c r="J1505" s="12">
        <v>46266</v>
      </c>
      <c r="K1505" s="13">
        <f>INDEX(Assumptions!$B$4:$B$23,MATCH(F1505,Assumptions!$A$4:$A$23,0))</f>
        <v>1</v>
      </c>
      <c r="L1505" s="14">
        <f t="shared" si="46"/>
        <v>23.99</v>
      </c>
      <c r="M1505" t="str">
        <f t="shared" si="47"/>
        <v>No</v>
      </c>
    </row>
    <row r="1506" spans="1:13" x14ac:dyDescent="0.25">
      <c r="A1506">
        <v>338115</v>
      </c>
      <c r="B1506" t="s">
        <v>4668</v>
      </c>
      <c r="C1506" t="s">
        <v>4669</v>
      </c>
      <c r="D1506" t="s">
        <v>6220</v>
      </c>
      <c r="E1506">
        <v>13.99</v>
      </c>
      <c r="F1506" t="s">
        <v>1722</v>
      </c>
      <c r="G1506" t="s">
        <v>2289</v>
      </c>
      <c r="H1506" t="s">
        <v>1723</v>
      </c>
      <c r="I1506" s="11">
        <v>46277</v>
      </c>
      <c r="J1506" s="12">
        <v>46266</v>
      </c>
      <c r="K1506" s="13">
        <f>INDEX(Assumptions!$B$4:$B$23,MATCH(F1506,Assumptions!$A$4:$A$23,0))</f>
        <v>1</v>
      </c>
      <c r="L1506" s="14">
        <f t="shared" si="46"/>
        <v>13.99</v>
      </c>
      <c r="M1506" t="str">
        <f t="shared" si="47"/>
        <v>No</v>
      </c>
    </row>
    <row r="1507" spans="1:13" x14ac:dyDescent="0.25">
      <c r="A1507">
        <v>338114</v>
      </c>
      <c r="B1507" t="s">
        <v>4671</v>
      </c>
      <c r="C1507" t="s">
        <v>4672</v>
      </c>
      <c r="D1507" t="s">
        <v>6220</v>
      </c>
      <c r="E1507">
        <v>10.49</v>
      </c>
      <c r="F1507" t="s">
        <v>1722</v>
      </c>
      <c r="G1507" t="s">
        <v>2289</v>
      </c>
      <c r="H1507" t="s">
        <v>1723</v>
      </c>
      <c r="I1507" s="11">
        <v>46277</v>
      </c>
      <c r="J1507" s="12">
        <v>46266</v>
      </c>
      <c r="K1507" s="13">
        <f>INDEX(Assumptions!$B$4:$B$23,MATCH(F1507,Assumptions!$A$4:$A$23,0))</f>
        <v>1</v>
      </c>
      <c r="L1507" s="14">
        <f t="shared" si="46"/>
        <v>10.49</v>
      </c>
      <c r="M1507" t="str">
        <f t="shared" si="47"/>
        <v>No</v>
      </c>
    </row>
    <row r="1508" spans="1:13" x14ac:dyDescent="0.25">
      <c r="A1508">
        <v>338113</v>
      </c>
      <c r="B1508" t="s">
        <v>4674</v>
      </c>
      <c r="C1508" t="s">
        <v>4675</v>
      </c>
      <c r="D1508" t="s">
        <v>6220</v>
      </c>
      <c r="E1508">
        <v>13.49</v>
      </c>
      <c r="F1508" t="s">
        <v>1722</v>
      </c>
      <c r="G1508" t="s">
        <v>2289</v>
      </c>
      <c r="H1508" t="s">
        <v>1723</v>
      </c>
      <c r="I1508" s="11">
        <v>46277</v>
      </c>
      <c r="J1508" s="12">
        <v>46266</v>
      </c>
      <c r="K1508" s="13">
        <f>INDEX(Assumptions!$B$4:$B$23,MATCH(F1508,Assumptions!$A$4:$A$23,0))</f>
        <v>1</v>
      </c>
      <c r="L1508" s="14">
        <f t="shared" si="46"/>
        <v>13.49</v>
      </c>
      <c r="M1508" t="str">
        <f t="shared" si="47"/>
        <v>No</v>
      </c>
    </row>
    <row r="1509" spans="1:13" x14ac:dyDescent="0.25">
      <c r="A1509">
        <v>338112</v>
      </c>
      <c r="B1509" t="s">
        <v>4678</v>
      </c>
      <c r="C1509" t="s">
        <v>4679</v>
      </c>
      <c r="D1509" t="s">
        <v>6220</v>
      </c>
      <c r="E1509">
        <v>34.99</v>
      </c>
      <c r="F1509" t="s">
        <v>1722</v>
      </c>
      <c r="G1509" t="s">
        <v>2289</v>
      </c>
      <c r="H1509" t="s">
        <v>1723</v>
      </c>
      <c r="I1509" s="11">
        <v>46277</v>
      </c>
      <c r="J1509" s="12">
        <v>46266</v>
      </c>
      <c r="K1509" s="13">
        <f>INDEX(Assumptions!$B$4:$B$23,MATCH(F1509,Assumptions!$A$4:$A$23,0))</f>
        <v>1</v>
      </c>
      <c r="L1509" s="14">
        <f t="shared" si="46"/>
        <v>34.99</v>
      </c>
      <c r="M1509" t="str">
        <f t="shared" si="47"/>
        <v>No</v>
      </c>
    </row>
    <row r="1510" spans="1:13" x14ac:dyDescent="0.25">
      <c r="A1510">
        <v>338110</v>
      </c>
      <c r="B1510" t="s">
        <v>4682</v>
      </c>
      <c r="C1510" t="s">
        <v>4683</v>
      </c>
      <c r="D1510" t="s">
        <v>6220</v>
      </c>
      <c r="E1510">
        <v>29.99</v>
      </c>
      <c r="F1510" t="s">
        <v>1722</v>
      </c>
      <c r="G1510" t="s">
        <v>2289</v>
      </c>
      <c r="H1510" t="s">
        <v>1723</v>
      </c>
      <c r="I1510" s="11">
        <v>46277</v>
      </c>
      <c r="J1510" s="12">
        <v>46266</v>
      </c>
      <c r="K1510" s="13">
        <f>INDEX(Assumptions!$B$4:$B$23,MATCH(F1510,Assumptions!$A$4:$A$23,0))</f>
        <v>1</v>
      </c>
      <c r="L1510" s="14">
        <f t="shared" si="46"/>
        <v>29.99</v>
      </c>
      <c r="M1510" t="str">
        <f t="shared" si="47"/>
        <v>No</v>
      </c>
    </row>
    <row r="1511" spans="1:13" x14ac:dyDescent="0.25">
      <c r="A1511">
        <v>338109</v>
      </c>
      <c r="B1511" t="s">
        <v>4686</v>
      </c>
      <c r="C1511" t="s">
        <v>4687</v>
      </c>
      <c r="D1511" t="s">
        <v>6220</v>
      </c>
      <c r="E1511">
        <v>25.99</v>
      </c>
      <c r="F1511" t="s">
        <v>1722</v>
      </c>
      <c r="G1511" t="s">
        <v>2289</v>
      </c>
      <c r="H1511" t="s">
        <v>1723</v>
      </c>
      <c r="I1511" s="11">
        <v>46277</v>
      </c>
      <c r="J1511" s="12">
        <v>46266</v>
      </c>
      <c r="K1511" s="13">
        <f>INDEX(Assumptions!$B$4:$B$23,MATCH(F1511,Assumptions!$A$4:$A$23,0))</f>
        <v>1</v>
      </c>
      <c r="L1511" s="14">
        <f t="shared" si="46"/>
        <v>25.99</v>
      </c>
      <c r="M1511" t="str">
        <f t="shared" si="47"/>
        <v>No</v>
      </c>
    </row>
    <row r="1512" spans="1:13" x14ac:dyDescent="0.25">
      <c r="A1512">
        <v>338108</v>
      </c>
      <c r="B1512" t="s">
        <v>4690</v>
      </c>
      <c r="C1512" t="s">
        <v>4691</v>
      </c>
      <c r="D1512" t="s">
        <v>6220</v>
      </c>
      <c r="E1512">
        <v>14.99</v>
      </c>
      <c r="F1512" t="s">
        <v>1722</v>
      </c>
      <c r="G1512" t="s">
        <v>2289</v>
      </c>
      <c r="H1512" t="s">
        <v>1723</v>
      </c>
      <c r="I1512" s="11">
        <v>46277</v>
      </c>
      <c r="J1512" s="12">
        <v>46266</v>
      </c>
      <c r="K1512" s="13">
        <f>INDEX(Assumptions!$B$4:$B$23,MATCH(F1512,Assumptions!$A$4:$A$23,0))</f>
        <v>1</v>
      </c>
      <c r="L1512" s="14">
        <f t="shared" si="46"/>
        <v>14.99</v>
      </c>
      <c r="M1512" t="str">
        <f t="shared" si="47"/>
        <v>No</v>
      </c>
    </row>
    <row r="1513" spans="1:13" x14ac:dyDescent="0.25">
      <c r="A1513">
        <v>338107</v>
      </c>
      <c r="B1513" t="s">
        <v>4693</v>
      </c>
      <c r="C1513" t="s">
        <v>4694</v>
      </c>
      <c r="D1513" t="s">
        <v>6220</v>
      </c>
      <c r="E1513">
        <v>9.99</v>
      </c>
      <c r="F1513" t="s">
        <v>1722</v>
      </c>
      <c r="G1513" t="s">
        <v>2289</v>
      </c>
      <c r="H1513" t="s">
        <v>1723</v>
      </c>
      <c r="I1513" s="11">
        <v>46277</v>
      </c>
      <c r="J1513" s="12">
        <v>46266</v>
      </c>
      <c r="K1513" s="13">
        <f>INDEX(Assumptions!$B$4:$B$23,MATCH(F1513,Assumptions!$A$4:$A$23,0))</f>
        <v>1</v>
      </c>
      <c r="L1513" s="14">
        <f t="shared" si="46"/>
        <v>9.99</v>
      </c>
      <c r="M1513" t="str">
        <f t="shared" si="47"/>
        <v>No</v>
      </c>
    </row>
    <row r="1514" spans="1:13" x14ac:dyDescent="0.25">
      <c r="A1514">
        <v>338106</v>
      </c>
      <c r="B1514" t="s">
        <v>4696</v>
      </c>
      <c r="C1514" t="s">
        <v>4697</v>
      </c>
      <c r="D1514" t="s">
        <v>6220</v>
      </c>
      <c r="E1514">
        <v>19.989999999999998</v>
      </c>
      <c r="F1514" t="s">
        <v>1722</v>
      </c>
      <c r="G1514" t="s">
        <v>2289</v>
      </c>
      <c r="H1514" t="s">
        <v>1723</v>
      </c>
      <c r="I1514" s="11">
        <v>46277</v>
      </c>
      <c r="J1514" s="12">
        <v>46266</v>
      </c>
      <c r="K1514" s="13">
        <f>INDEX(Assumptions!$B$4:$B$23,MATCH(F1514,Assumptions!$A$4:$A$23,0))</f>
        <v>1</v>
      </c>
      <c r="L1514" s="14">
        <f t="shared" si="46"/>
        <v>19.989999999999998</v>
      </c>
      <c r="M1514" t="str">
        <f t="shared" si="47"/>
        <v>No</v>
      </c>
    </row>
    <row r="1515" spans="1:13" x14ac:dyDescent="0.25">
      <c r="A1515">
        <v>338105</v>
      </c>
      <c r="B1515" t="s">
        <v>4699</v>
      </c>
      <c r="C1515" t="s">
        <v>4700</v>
      </c>
      <c r="D1515" t="s">
        <v>6220</v>
      </c>
      <c r="E1515">
        <v>23.99</v>
      </c>
      <c r="F1515" t="s">
        <v>1722</v>
      </c>
      <c r="G1515" t="s">
        <v>2289</v>
      </c>
      <c r="H1515" t="s">
        <v>1723</v>
      </c>
      <c r="I1515" s="11">
        <v>46277</v>
      </c>
      <c r="J1515" s="12">
        <v>46266</v>
      </c>
      <c r="K1515" s="13">
        <f>INDEX(Assumptions!$B$4:$B$23,MATCH(F1515,Assumptions!$A$4:$A$23,0))</f>
        <v>1</v>
      </c>
      <c r="L1515" s="14">
        <f t="shared" si="46"/>
        <v>23.99</v>
      </c>
      <c r="M1515" t="str">
        <f t="shared" si="47"/>
        <v>No</v>
      </c>
    </row>
    <row r="1516" spans="1:13" x14ac:dyDescent="0.25">
      <c r="A1516">
        <v>338103</v>
      </c>
      <c r="B1516" t="s">
        <v>4702</v>
      </c>
      <c r="C1516" t="s">
        <v>4703</v>
      </c>
      <c r="D1516" t="s">
        <v>6220</v>
      </c>
      <c r="E1516">
        <v>32.99</v>
      </c>
      <c r="F1516" t="s">
        <v>1722</v>
      </c>
      <c r="G1516" t="s">
        <v>2289</v>
      </c>
      <c r="H1516" t="s">
        <v>1723</v>
      </c>
      <c r="I1516" s="11">
        <v>46277</v>
      </c>
      <c r="J1516" s="12">
        <v>46266</v>
      </c>
      <c r="K1516" s="13">
        <f>INDEX(Assumptions!$B$4:$B$23,MATCH(F1516,Assumptions!$A$4:$A$23,0))</f>
        <v>1</v>
      </c>
      <c r="L1516" s="14">
        <f t="shared" si="46"/>
        <v>32.99</v>
      </c>
      <c r="M1516" t="str">
        <f t="shared" si="47"/>
        <v>No</v>
      </c>
    </row>
    <row r="1517" spans="1:13" x14ac:dyDescent="0.25">
      <c r="A1517">
        <v>338101</v>
      </c>
      <c r="B1517" t="s">
        <v>4706</v>
      </c>
      <c r="C1517" t="s">
        <v>4707</v>
      </c>
      <c r="D1517" t="s">
        <v>6220</v>
      </c>
      <c r="E1517">
        <v>4.99</v>
      </c>
      <c r="F1517" t="s">
        <v>1722</v>
      </c>
      <c r="G1517" t="s">
        <v>2289</v>
      </c>
      <c r="H1517" t="s">
        <v>1723</v>
      </c>
      <c r="I1517" s="11">
        <v>46277</v>
      </c>
      <c r="J1517" s="12">
        <v>46266</v>
      </c>
      <c r="K1517" s="13">
        <f>INDEX(Assumptions!$B$4:$B$23,MATCH(F1517,Assumptions!$A$4:$A$23,0))</f>
        <v>1</v>
      </c>
      <c r="L1517" s="14">
        <f t="shared" si="46"/>
        <v>4.99</v>
      </c>
      <c r="M1517" t="str">
        <f t="shared" si="47"/>
        <v>No</v>
      </c>
    </row>
    <row r="1518" spans="1:13" x14ac:dyDescent="0.25">
      <c r="A1518">
        <v>338100</v>
      </c>
      <c r="B1518" t="s">
        <v>4709</v>
      </c>
      <c r="C1518" t="s">
        <v>4710</v>
      </c>
      <c r="D1518" t="s">
        <v>6220</v>
      </c>
      <c r="E1518">
        <v>4.99</v>
      </c>
      <c r="F1518" t="s">
        <v>1722</v>
      </c>
      <c r="G1518" t="s">
        <v>2289</v>
      </c>
      <c r="H1518" t="s">
        <v>1723</v>
      </c>
      <c r="I1518" s="11">
        <v>46277</v>
      </c>
      <c r="J1518" s="12">
        <v>46266</v>
      </c>
      <c r="K1518" s="13">
        <f>INDEX(Assumptions!$B$4:$B$23,MATCH(F1518,Assumptions!$A$4:$A$23,0))</f>
        <v>1</v>
      </c>
      <c r="L1518" s="14">
        <f t="shared" si="46"/>
        <v>4.99</v>
      </c>
      <c r="M1518" t="str">
        <f t="shared" si="47"/>
        <v>No</v>
      </c>
    </row>
    <row r="1519" spans="1:13" x14ac:dyDescent="0.25">
      <c r="A1519">
        <v>338099</v>
      </c>
      <c r="B1519" t="s">
        <v>4712</v>
      </c>
      <c r="C1519" t="s">
        <v>4713</v>
      </c>
      <c r="D1519" t="s">
        <v>6220</v>
      </c>
      <c r="E1519">
        <v>4.99</v>
      </c>
      <c r="F1519" t="s">
        <v>1722</v>
      </c>
      <c r="G1519" t="s">
        <v>2289</v>
      </c>
      <c r="H1519" t="s">
        <v>1723</v>
      </c>
      <c r="I1519" s="11">
        <v>46277</v>
      </c>
      <c r="J1519" s="12">
        <v>46266</v>
      </c>
      <c r="K1519" s="13">
        <f>INDEX(Assumptions!$B$4:$B$23,MATCH(F1519,Assumptions!$A$4:$A$23,0))</f>
        <v>1</v>
      </c>
      <c r="L1519" s="14">
        <f t="shared" si="46"/>
        <v>4.99</v>
      </c>
      <c r="M1519" t="str">
        <f t="shared" si="47"/>
        <v>No</v>
      </c>
    </row>
    <row r="1520" spans="1:13" x14ac:dyDescent="0.25">
      <c r="A1520">
        <v>338098</v>
      </c>
      <c r="B1520" t="s">
        <v>4715</v>
      </c>
      <c r="C1520" t="s">
        <v>4716</v>
      </c>
      <c r="D1520" t="s">
        <v>6220</v>
      </c>
      <c r="E1520">
        <v>4.99</v>
      </c>
      <c r="F1520" t="s">
        <v>1722</v>
      </c>
      <c r="G1520" t="s">
        <v>2289</v>
      </c>
      <c r="H1520" t="s">
        <v>1723</v>
      </c>
      <c r="I1520" s="11">
        <v>46277</v>
      </c>
      <c r="J1520" s="12">
        <v>46266</v>
      </c>
      <c r="K1520" s="13">
        <f>INDEX(Assumptions!$B$4:$B$23,MATCH(F1520,Assumptions!$A$4:$A$23,0))</f>
        <v>1</v>
      </c>
      <c r="L1520" s="14">
        <f t="shared" si="46"/>
        <v>4.99</v>
      </c>
      <c r="M1520" t="str">
        <f t="shared" si="47"/>
        <v>No</v>
      </c>
    </row>
    <row r="1521" spans="1:13" x14ac:dyDescent="0.25">
      <c r="A1521">
        <v>338096</v>
      </c>
      <c r="B1521" t="s">
        <v>4718</v>
      </c>
      <c r="C1521" t="s">
        <v>4719</v>
      </c>
      <c r="D1521" t="s">
        <v>6220</v>
      </c>
      <c r="E1521">
        <v>4.99</v>
      </c>
      <c r="F1521" t="s">
        <v>1722</v>
      </c>
      <c r="G1521" t="s">
        <v>2289</v>
      </c>
      <c r="H1521" t="s">
        <v>1723</v>
      </c>
      <c r="I1521" s="11">
        <v>46277</v>
      </c>
      <c r="J1521" s="12">
        <v>46266</v>
      </c>
      <c r="K1521" s="13">
        <f>INDEX(Assumptions!$B$4:$B$23,MATCH(F1521,Assumptions!$A$4:$A$23,0))</f>
        <v>1</v>
      </c>
      <c r="L1521" s="14">
        <f t="shared" si="46"/>
        <v>4.99</v>
      </c>
      <c r="M1521" t="str">
        <f t="shared" si="47"/>
        <v>No</v>
      </c>
    </row>
    <row r="1522" spans="1:13" x14ac:dyDescent="0.25">
      <c r="A1522">
        <v>338095</v>
      </c>
      <c r="B1522" t="s">
        <v>4721</v>
      </c>
      <c r="C1522" t="s">
        <v>4722</v>
      </c>
      <c r="D1522" t="s">
        <v>6220</v>
      </c>
      <c r="E1522">
        <v>4.99</v>
      </c>
      <c r="F1522" t="s">
        <v>1722</v>
      </c>
      <c r="G1522" t="s">
        <v>2289</v>
      </c>
      <c r="H1522" t="s">
        <v>1723</v>
      </c>
      <c r="I1522" s="11">
        <v>46277</v>
      </c>
      <c r="J1522" s="12">
        <v>46266</v>
      </c>
      <c r="K1522" s="13">
        <f>INDEX(Assumptions!$B$4:$B$23,MATCH(F1522,Assumptions!$A$4:$A$23,0))</f>
        <v>1</v>
      </c>
      <c r="L1522" s="14">
        <f t="shared" si="46"/>
        <v>4.99</v>
      </c>
      <c r="M1522" t="str">
        <f t="shared" si="47"/>
        <v>No</v>
      </c>
    </row>
    <row r="1523" spans="1:13" x14ac:dyDescent="0.25">
      <c r="A1523">
        <v>338091</v>
      </c>
      <c r="B1523" t="s">
        <v>4724</v>
      </c>
      <c r="C1523" t="s">
        <v>4725</v>
      </c>
      <c r="D1523" t="s">
        <v>6220</v>
      </c>
      <c r="E1523">
        <v>4.99</v>
      </c>
      <c r="F1523" t="s">
        <v>1722</v>
      </c>
      <c r="G1523" t="s">
        <v>2289</v>
      </c>
      <c r="H1523" t="s">
        <v>1723</v>
      </c>
      <c r="I1523" s="11">
        <v>46277</v>
      </c>
      <c r="J1523" s="12">
        <v>46266</v>
      </c>
      <c r="K1523" s="13">
        <f>INDEX(Assumptions!$B$4:$B$23,MATCH(F1523,Assumptions!$A$4:$A$23,0))</f>
        <v>1</v>
      </c>
      <c r="L1523" s="14">
        <f t="shared" si="46"/>
        <v>4.99</v>
      </c>
      <c r="M1523" t="str">
        <f t="shared" si="47"/>
        <v>No</v>
      </c>
    </row>
    <row r="1524" spans="1:13" x14ac:dyDescent="0.25">
      <c r="A1524">
        <v>338092</v>
      </c>
      <c r="B1524" t="s">
        <v>4727</v>
      </c>
      <c r="C1524" t="s">
        <v>4728</v>
      </c>
      <c r="D1524" t="s">
        <v>6220</v>
      </c>
      <c r="E1524">
        <v>4.99</v>
      </c>
      <c r="F1524" t="s">
        <v>1722</v>
      </c>
      <c r="G1524" t="s">
        <v>2289</v>
      </c>
      <c r="H1524" t="s">
        <v>1723</v>
      </c>
      <c r="I1524" s="11">
        <v>46277</v>
      </c>
      <c r="J1524" s="12">
        <v>46266</v>
      </c>
      <c r="K1524" s="13">
        <f>INDEX(Assumptions!$B$4:$B$23,MATCH(F1524,Assumptions!$A$4:$A$23,0))</f>
        <v>1</v>
      </c>
      <c r="L1524" s="14">
        <f t="shared" si="46"/>
        <v>4.99</v>
      </c>
      <c r="M1524" t="str">
        <f t="shared" si="47"/>
        <v>No</v>
      </c>
    </row>
    <row r="1525" spans="1:13" x14ac:dyDescent="0.25">
      <c r="A1525">
        <v>338087</v>
      </c>
      <c r="B1525" t="s">
        <v>4730</v>
      </c>
      <c r="C1525" t="s">
        <v>4731</v>
      </c>
      <c r="D1525" t="s">
        <v>6220</v>
      </c>
      <c r="E1525">
        <v>4.99</v>
      </c>
      <c r="F1525" t="s">
        <v>1722</v>
      </c>
      <c r="G1525" t="s">
        <v>2289</v>
      </c>
      <c r="H1525" t="s">
        <v>1723</v>
      </c>
      <c r="I1525" s="11">
        <v>46277</v>
      </c>
      <c r="J1525" s="12">
        <v>46266</v>
      </c>
      <c r="K1525" s="13">
        <f>INDEX(Assumptions!$B$4:$B$23,MATCH(F1525,Assumptions!$A$4:$A$23,0))</f>
        <v>1</v>
      </c>
      <c r="L1525" s="14">
        <f t="shared" si="46"/>
        <v>4.99</v>
      </c>
      <c r="M1525" t="str">
        <f t="shared" si="47"/>
        <v>No</v>
      </c>
    </row>
    <row r="1526" spans="1:13" x14ac:dyDescent="0.25">
      <c r="A1526">
        <v>338088</v>
      </c>
      <c r="B1526" t="s">
        <v>4733</v>
      </c>
      <c r="C1526" t="s">
        <v>4734</v>
      </c>
      <c r="D1526" t="s">
        <v>6220</v>
      </c>
      <c r="E1526">
        <v>4.99</v>
      </c>
      <c r="F1526" t="s">
        <v>1722</v>
      </c>
      <c r="G1526" t="s">
        <v>2289</v>
      </c>
      <c r="H1526" t="s">
        <v>1723</v>
      </c>
      <c r="I1526" s="11">
        <v>46277</v>
      </c>
      <c r="J1526" s="12">
        <v>46266</v>
      </c>
      <c r="K1526" s="13">
        <f>INDEX(Assumptions!$B$4:$B$23,MATCH(F1526,Assumptions!$A$4:$A$23,0))</f>
        <v>1</v>
      </c>
      <c r="L1526" s="14">
        <f t="shared" si="46"/>
        <v>4.99</v>
      </c>
      <c r="M1526" t="str">
        <f t="shared" si="47"/>
        <v>No</v>
      </c>
    </row>
    <row r="1527" spans="1:13" x14ac:dyDescent="0.25">
      <c r="A1527">
        <v>338086</v>
      </c>
      <c r="B1527" t="s">
        <v>4736</v>
      </c>
      <c r="C1527" t="s">
        <v>4737</v>
      </c>
      <c r="D1527" t="s">
        <v>6220</v>
      </c>
      <c r="E1527">
        <v>4.49</v>
      </c>
      <c r="F1527" t="s">
        <v>1722</v>
      </c>
      <c r="G1527" t="s">
        <v>2289</v>
      </c>
      <c r="H1527" t="s">
        <v>1723</v>
      </c>
      <c r="I1527" s="11">
        <v>46277</v>
      </c>
      <c r="J1527" s="12">
        <v>46266</v>
      </c>
      <c r="K1527" s="13">
        <f>INDEX(Assumptions!$B$4:$B$23,MATCH(F1527,Assumptions!$A$4:$A$23,0))</f>
        <v>1</v>
      </c>
      <c r="L1527" s="14">
        <f t="shared" si="46"/>
        <v>4.49</v>
      </c>
      <c r="M1527" t="str">
        <f t="shared" si="47"/>
        <v>No</v>
      </c>
    </row>
    <row r="1528" spans="1:13" x14ac:dyDescent="0.25">
      <c r="A1528">
        <v>338083</v>
      </c>
      <c r="B1528" t="s">
        <v>4739</v>
      </c>
      <c r="C1528" t="s">
        <v>4740</v>
      </c>
      <c r="D1528" t="s">
        <v>6220</v>
      </c>
      <c r="E1528">
        <v>5.49</v>
      </c>
      <c r="F1528" t="s">
        <v>1722</v>
      </c>
      <c r="G1528" t="s">
        <v>2289</v>
      </c>
      <c r="H1528" t="s">
        <v>1723</v>
      </c>
      <c r="I1528" s="11">
        <v>46277</v>
      </c>
      <c r="J1528" s="12">
        <v>46266</v>
      </c>
      <c r="K1528" s="13">
        <f>INDEX(Assumptions!$B$4:$B$23,MATCH(F1528,Assumptions!$A$4:$A$23,0))</f>
        <v>1</v>
      </c>
      <c r="L1528" s="14">
        <f t="shared" si="46"/>
        <v>5.49</v>
      </c>
      <c r="M1528" t="str">
        <f t="shared" si="47"/>
        <v>No</v>
      </c>
    </row>
    <row r="1529" spans="1:13" x14ac:dyDescent="0.25">
      <c r="A1529">
        <v>338084</v>
      </c>
      <c r="B1529" t="s">
        <v>4742</v>
      </c>
      <c r="C1529" t="s">
        <v>4743</v>
      </c>
      <c r="D1529" t="s">
        <v>6220</v>
      </c>
      <c r="E1529">
        <v>5.49</v>
      </c>
      <c r="F1529" t="s">
        <v>1722</v>
      </c>
      <c r="G1529" t="s">
        <v>2289</v>
      </c>
      <c r="H1529" t="s">
        <v>1723</v>
      </c>
      <c r="I1529" s="11">
        <v>46277</v>
      </c>
      <c r="J1529" s="12">
        <v>46266</v>
      </c>
      <c r="K1529" s="13">
        <f>INDEX(Assumptions!$B$4:$B$23,MATCH(F1529,Assumptions!$A$4:$A$23,0))</f>
        <v>1</v>
      </c>
      <c r="L1529" s="14">
        <f t="shared" si="46"/>
        <v>5.49</v>
      </c>
      <c r="M1529" t="str">
        <f t="shared" si="47"/>
        <v>No</v>
      </c>
    </row>
    <row r="1530" spans="1:13" x14ac:dyDescent="0.25">
      <c r="A1530">
        <v>338082</v>
      </c>
      <c r="B1530" t="s">
        <v>4745</v>
      </c>
      <c r="C1530" t="s">
        <v>4746</v>
      </c>
      <c r="D1530" t="s">
        <v>6220</v>
      </c>
      <c r="E1530">
        <v>2.99</v>
      </c>
      <c r="F1530" t="s">
        <v>1722</v>
      </c>
      <c r="G1530" t="s">
        <v>2289</v>
      </c>
      <c r="H1530" t="s">
        <v>1723</v>
      </c>
      <c r="I1530" s="11">
        <v>46277</v>
      </c>
      <c r="J1530" s="12">
        <v>46266</v>
      </c>
      <c r="K1530" s="13">
        <f>INDEX(Assumptions!$B$4:$B$23,MATCH(F1530,Assumptions!$A$4:$A$23,0))</f>
        <v>1</v>
      </c>
      <c r="L1530" s="14">
        <f t="shared" si="46"/>
        <v>2.99</v>
      </c>
      <c r="M1530" t="str">
        <f t="shared" si="47"/>
        <v>No</v>
      </c>
    </row>
    <row r="1531" spans="1:13" x14ac:dyDescent="0.25">
      <c r="A1531">
        <v>338085</v>
      </c>
      <c r="B1531" t="s">
        <v>4748</v>
      </c>
      <c r="C1531" t="s">
        <v>4749</v>
      </c>
      <c r="D1531" t="s">
        <v>6220</v>
      </c>
      <c r="E1531">
        <v>5.49</v>
      </c>
      <c r="F1531" t="s">
        <v>1722</v>
      </c>
      <c r="G1531" t="s">
        <v>2289</v>
      </c>
      <c r="H1531" t="s">
        <v>1723</v>
      </c>
      <c r="I1531" s="11">
        <v>46277</v>
      </c>
      <c r="J1531" s="12">
        <v>46266</v>
      </c>
      <c r="K1531" s="13">
        <f>INDEX(Assumptions!$B$4:$B$23,MATCH(F1531,Assumptions!$A$4:$A$23,0))</f>
        <v>1</v>
      </c>
      <c r="L1531" s="14">
        <f t="shared" si="46"/>
        <v>5.49</v>
      </c>
      <c r="M1531" t="str">
        <f t="shared" si="47"/>
        <v>No</v>
      </c>
    </row>
    <row r="1532" spans="1:13" x14ac:dyDescent="0.25">
      <c r="A1532">
        <v>338081</v>
      </c>
      <c r="B1532" t="s">
        <v>4751</v>
      </c>
      <c r="C1532" t="s">
        <v>4752</v>
      </c>
      <c r="D1532" t="s">
        <v>6220</v>
      </c>
      <c r="E1532">
        <v>9.99</v>
      </c>
      <c r="F1532" t="s">
        <v>1722</v>
      </c>
      <c r="G1532" t="s">
        <v>2289</v>
      </c>
      <c r="H1532" t="s">
        <v>1723</v>
      </c>
      <c r="I1532" s="11">
        <v>46277</v>
      </c>
      <c r="J1532" s="12">
        <v>46266</v>
      </c>
      <c r="K1532" s="13">
        <f>INDEX(Assumptions!$B$4:$B$23,MATCH(F1532,Assumptions!$A$4:$A$23,0))</f>
        <v>1</v>
      </c>
      <c r="L1532" s="14">
        <f t="shared" si="46"/>
        <v>9.99</v>
      </c>
      <c r="M1532" t="str">
        <f t="shared" si="47"/>
        <v>No</v>
      </c>
    </row>
    <row r="1533" spans="1:13" x14ac:dyDescent="0.25">
      <c r="A1533">
        <v>338080</v>
      </c>
      <c r="B1533" t="s">
        <v>4754</v>
      </c>
      <c r="C1533" t="s">
        <v>4755</v>
      </c>
      <c r="D1533" t="s">
        <v>6220</v>
      </c>
      <c r="E1533">
        <v>3.99</v>
      </c>
      <c r="F1533" t="s">
        <v>1722</v>
      </c>
      <c r="G1533" t="s">
        <v>2289</v>
      </c>
      <c r="H1533" t="s">
        <v>1723</v>
      </c>
      <c r="I1533" s="11">
        <v>46277</v>
      </c>
      <c r="J1533" s="12">
        <v>46266</v>
      </c>
      <c r="K1533" s="13">
        <f>INDEX(Assumptions!$B$4:$B$23,MATCH(F1533,Assumptions!$A$4:$A$23,0))</f>
        <v>1</v>
      </c>
      <c r="L1533" s="14">
        <f t="shared" si="46"/>
        <v>3.99</v>
      </c>
      <c r="M1533" t="str">
        <f t="shared" si="47"/>
        <v>No</v>
      </c>
    </row>
    <row r="1534" spans="1:13" x14ac:dyDescent="0.25">
      <c r="A1534">
        <v>338078</v>
      </c>
      <c r="B1534" t="s">
        <v>4757</v>
      </c>
      <c r="C1534" t="s">
        <v>4758</v>
      </c>
      <c r="D1534" t="s">
        <v>6220</v>
      </c>
      <c r="E1534">
        <v>3.49</v>
      </c>
      <c r="F1534" t="s">
        <v>1722</v>
      </c>
      <c r="G1534" t="s">
        <v>2289</v>
      </c>
      <c r="H1534" t="s">
        <v>1723</v>
      </c>
      <c r="I1534" s="11">
        <v>46277</v>
      </c>
      <c r="J1534" s="12">
        <v>46266</v>
      </c>
      <c r="K1534" s="13">
        <f>INDEX(Assumptions!$B$4:$B$23,MATCH(F1534,Assumptions!$A$4:$A$23,0))</f>
        <v>1</v>
      </c>
      <c r="L1534" s="14">
        <f t="shared" si="46"/>
        <v>3.49</v>
      </c>
      <c r="M1534" t="str">
        <f t="shared" si="47"/>
        <v>No</v>
      </c>
    </row>
    <row r="1535" spans="1:13" x14ac:dyDescent="0.25">
      <c r="A1535">
        <v>338079</v>
      </c>
      <c r="B1535" t="s">
        <v>4760</v>
      </c>
      <c r="C1535" t="s">
        <v>4761</v>
      </c>
      <c r="D1535" t="s">
        <v>6220</v>
      </c>
      <c r="E1535">
        <v>9.99</v>
      </c>
      <c r="F1535" t="s">
        <v>1722</v>
      </c>
      <c r="G1535" t="s">
        <v>2289</v>
      </c>
      <c r="H1535" t="s">
        <v>1723</v>
      </c>
      <c r="I1535" s="11">
        <v>46277</v>
      </c>
      <c r="J1535" s="12">
        <v>46266</v>
      </c>
      <c r="K1535" s="13">
        <f>INDEX(Assumptions!$B$4:$B$23,MATCH(F1535,Assumptions!$A$4:$A$23,0))</f>
        <v>1</v>
      </c>
      <c r="L1535" s="14">
        <f t="shared" si="46"/>
        <v>9.99</v>
      </c>
      <c r="M1535" t="str">
        <f t="shared" si="47"/>
        <v>No</v>
      </c>
    </row>
    <row r="1536" spans="1:13" x14ac:dyDescent="0.25">
      <c r="A1536">
        <v>338077</v>
      </c>
      <c r="B1536" t="s">
        <v>4763</v>
      </c>
      <c r="C1536" t="s">
        <v>4764</v>
      </c>
      <c r="D1536" t="s">
        <v>6220</v>
      </c>
      <c r="E1536">
        <v>4.49</v>
      </c>
      <c r="F1536" t="s">
        <v>1722</v>
      </c>
      <c r="G1536" t="s">
        <v>2289</v>
      </c>
      <c r="H1536" t="s">
        <v>1723</v>
      </c>
      <c r="I1536" s="11">
        <v>46277</v>
      </c>
      <c r="J1536" s="12">
        <v>46266</v>
      </c>
      <c r="K1536" s="13">
        <f>INDEX(Assumptions!$B$4:$B$23,MATCH(F1536,Assumptions!$A$4:$A$23,0))</f>
        <v>1</v>
      </c>
      <c r="L1536" s="14">
        <f t="shared" si="46"/>
        <v>4.49</v>
      </c>
      <c r="M1536" t="str">
        <f t="shared" si="47"/>
        <v>No</v>
      </c>
    </row>
    <row r="1537" spans="1:13" x14ac:dyDescent="0.25">
      <c r="A1537">
        <v>338076</v>
      </c>
      <c r="B1537" t="s">
        <v>4766</v>
      </c>
      <c r="C1537" t="s">
        <v>4767</v>
      </c>
      <c r="D1537" t="s">
        <v>6220</v>
      </c>
      <c r="E1537">
        <v>2.4900000000000002</v>
      </c>
      <c r="F1537" t="s">
        <v>1722</v>
      </c>
      <c r="G1537" t="s">
        <v>2289</v>
      </c>
      <c r="H1537" t="s">
        <v>1723</v>
      </c>
      <c r="I1537" s="11">
        <v>46277</v>
      </c>
      <c r="J1537" s="12">
        <v>46266</v>
      </c>
      <c r="K1537" s="13">
        <f>INDEX(Assumptions!$B$4:$B$23,MATCH(F1537,Assumptions!$A$4:$A$23,0))</f>
        <v>1</v>
      </c>
      <c r="L1537" s="14">
        <f t="shared" si="46"/>
        <v>2.4900000000000002</v>
      </c>
      <c r="M1537" t="str">
        <f t="shared" si="47"/>
        <v>No</v>
      </c>
    </row>
    <row r="1538" spans="1:13" x14ac:dyDescent="0.25">
      <c r="A1538">
        <v>338074</v>
      </c>
      <c r="B1538" t="s">
        <v>4769</v>
      </c>
      <c r="C1538" t="s">
        <v>4770</v>
      </c>
      <c r="D1538" t="s">
        <v>6220</v>
      </c>
      <c r="E1538">
        <v>5.49</v>
      </c>
      <c r="F1538" t="s">
        <v>1722</v>
      </c>
      <c r="G1538" t="s">
        <v>2289</v>
      </c>
      <c r="H1538" t="s">
        <v>1723</v>
      </c>
      <c r="I1538" s="11">
        <v>46277</v>
      </c>
      <c r="J1538" s="12">
        <v>46266</v>
      </c>
      <c r="K1538" s="13">
        <f>INDEX(Assumptions!$B$4:$B$23,MATCH(F1538,Assumptions!$A$4:$A$23,0))</f>
        <v>1</v>
      </c>
      <c r="L1538" s="14">
        <f t="shared" ref="L1538:L1601" si="48">E1538*K1538</f>
        <v>5.49</v>
      </c>
      <c r="M1538" t="str">
        <f t="shared" ref="M1538:M1601" si="49">IF(C1538="Unnamed product","Yes","No")</f>
        <v>No</v>
      </c>
    </row>
    <row r="1539" spans="1:13" x14ac:dyDescent="0.25">
      <c r="A1539">
        <v>338075</v>
      </c>
      <c r="B1539" t="s">
        <v>4772</v>
      </c>
      <c r="C1539" t="s">
        <v>4773</v>
      </c>
      <c r="D1539" t="s">
        <v>6220</v>
      </c>
      <c r="E1539">
        <v>3.49</v>
      </c>
      <c r="F1539" t="s">
        <v>1722</v>
      </c>
      <c r="G1539" t="s">
        <v>2289</v>
      </c>
      <c r="H1539" t="s">
        <v>1723</v>
      </c>
      <c r="I1539" s="11">
        <v>46277</v>
      </c>
      <c r="J1539" s="12">
        <v>46266</v>
      </c>
      <c r="K1539" s="13">
        <f>INDEX(Assumptions!$B$4:$B$23,MATCH(F1539,Assumptions!$A$4:$A$23,0))</f>
        <v>1</v>
      </c>
      <c r="L1539" s="14">
        <f t="shared" si="48"/>
        <v>3.49</v>
      </c>
      <c r="M1539" t="str">
        <f t="shared" si="49"/>
        <v>No</v>
      </c>
    </row>
    <row r="1540" spans="1:13" x14ac:dyDescent="0.25">
      <c r="A1540">
        <v>338073</v>
      </c>
      <c r="B1540" t="s">
        <v>4775</v>
      </c>
      <c r="C1540" t="s">
        <v>4776</v>
      </c>
      <c r="D1540" t="s">
        <v>6220</v>
      </c>
      <c r="E1540">
        <v>6.99</v>
      </c>
      <c r="F1540" t="s">
        <v>1722</v>
      </c>
      <c r="G1540" t="s">
        <v>2289</v>
      </c>
      <c r="H1540" t="s">
        <v>1723</v>
      </c>
      <c r="I1540" s="11">
        <v>46277</v>
      </c>
      <c r="J1540" s="12">
        <v>46266</v>
      </c>
      <c r="K1540" s="13">
        <f>INDEX(Assumptions!$B$4:$B$23,MATCH(F1540,Assumptions!$A$4:$A$23,0))</f>
        <v>1</v>
      </c>
      <c r="L1540" s="14">
        <f t="shared" si="48"/>
        <v>6.99</v>
      </c>
      <c r="M1540" t="str">
        <f t="shared" si="49"/>
        <v>No</v>
      </c>
    </row>
    <row r="1541" spans="1:13" x14ac:dyDescent="0.25">
      <c r="A1541">
        <v>338072</v>
      </c>
      <c r="B1541" t="s">
        <v>4778</v>
      </c>
      <c r="C1541" t="s">
        <v>4779</v>
      </c>
      <c r="D1541" t="s">
        <v>6220</v>
      </c>
      <c r="E1541">
        <v>6.49</v>
      </c>
      <c r="F1541" t="s">
        <v>1722</v>
      </c>
      <c r="G1541" t="s">
        <v>2289</v>
      </c>
      <c r="H1541" t="s">
        <v>1723</v>
      </c>
      <c r="I1541" s="11">
        <v>46277</v>
      </c>
      <c r="J1541" s="12">
        <v>46266</v>
      </c>
      <c r="K1541" s="13">
        <f>INDEX(Assumptions!$B$4:$B$23,MATCH(F1541,Assumptions!$A$4:$A$23,0))</f>
        <v>1</v>
      </c>
      <c r="L1541" s="14">
        <f t="shared" si="48"/>
        <v>6.49</v>
      </c>
      <c r="M1541" t="str">
        <f t="shared" si="49"/>
        <v>No</v>
      </c>
    </row>
    <row r="1542" spans="1:13" x14ac:dyDescent="0.25">
      <c r="A1542">
        <v>338071</v>
      </c>
      <c r="B1542" t="s">
        <v>4781</v>
      </c>
      <c r="C1542" t="s">
        <v>4782</v>
      </c>
      <c r="D1542" t="s">
        <v>6220</v>
      </c>
      <c r="E1542">
        <v>9.99</v>
      </c>
      <c r="F1542" t="s">
        <v>1722</v>
      </c>
      <c r="G1542" t="s">
        <v>2289</v>
      </c>
      <c r="H1542" t="s">
        <v>1723</v>
      </c>
      <c r="I1542" s="11">
        <v>46277</v>
      </c>
      <c r="J1542" s="12">
        <v>46266</v>
      </c>
      <c r="K1542" s="13">
        <f>INDEX(Assumptions!$B$4:$B$23,MATCH(F1542,Assumptions!$A$4:$A$23,0))</f>
        <v>1</v>
      </c>
      <c r="L1542" s="14">
        <f t="shared" si="48"/>
        <v>9.99</v>
      </c>
      <c r="M1542" t="str">
        <f t="shared" si="49"/>
        <v>No</v>
      </c>
    </row>
    <row r="1543" spans="1:13" x14ac:dyDescent="0.25">
      <c r="A1543">
        <v>338070</v>
      </c>
      <c r="B1543" t="s">
        <v>4784</v>
      </c>
      <c r="C1543" t="s">
        <v>4785</v>
      </c>
      <c r="D1543" t="s">
        <v>6220</v>
      </c>
      <c r="E1543">
        <v>17.989999999999998</v>
      </c>
      <c r="F1543" t="s">
        <v>1722</v>
      </c>
      <c r="G1543" t="s">
        <v>2289</v>
      </c>
      <c r="H1543" t="s">
        <v>1723</v>
      </c>
      <c r="I1543" s="11">
        <v>46277</v>
      </c>
      <c r="J1543" s="12">
        <v>46266</v>
      </c>
      <c r="K1543" s="13">
        <f>INDEX(Assumptions!$B$4:$B$23,MATCH(F1543,Assumptions!$A$4:$A$23,0))</f>
        <v>1</v>
      </c>
      <c r="L1543" s="14">
        <f t="shared" si="48"/>
        <v>17.989999999999998</v>
      </c>
      <c r="M1543" t="str">
        <f t="shared" si="49"/>
        <v>No</v>
      </c>
    </row>
    <row r="1544" spans="1:13" x14ac:dyDescent="0.25">
      <c r="A1544">
        <v>338069</v>
      </c>
      <c r="B1544" t="s">
        <v>4787</v>
      </c>
      <c r="C1544" t="s">
        <v>4788</v>
      </c>
      <c r="D1544" t="s">
        <v>6220</v>
      </c>
      <c r="E1544">
        <v>6.49</v>
      </c>
      <c r="F1544" t="s">
        <v>1722</v>
      </c>
      <c r="G1544" t="s">
        <v>2289</v>
      </c>
      <c r="H1544" t="s">
        <v>1723</v>
      </c>
      <c r="I1544" s="11">
        <v>46277</v>
      </c>
      <c r="J1544" s="12">
        <v>46266</v>
      </c>
      <c r="K1544" s="13">
        <f>INDEX(Assumptions!$B$4:$B$23,MATCH(F1544,Assumptions!$A$4:$A$23,0))</f>
        <v>1</v>
      </c>
      <c r="L1544" s="14">
        <f t="shared" si="48"/>
        <v>6.49</v>
      </c>
      <c r="M1544" t="str">
        <f t="shared" si="49"/>
        <v>No</v>
      </c>
    </row>
    <row r="1545" spans="1:13" x14ac:dyDescent="0.25">
      <c r="A1545">
        <v>338068</v>
      </c>
      <c r="B1545" t="s">
        <v>4790</v>
      </c>
      <c r="C1545" t="s">
        <v>4791</v>
      </c>
      <c r="D1545" t="s">
        <v>6220</v>
      </c>
      <c r="E1545">
        <v>4.99</v>
      </c>
      <c r="F1545" t="s">
        <v>1722</v>
      </c>
      <c r="G1545" t="s">
        <v>2289</v>
      </c>
      <c r="H1545" t="s">
        <v>1723</v>
      </c>
      <c r="I1545" s="11">
        <v>46277</v>
      </c>
      <c r="J1545" s="12">
        <v>46266</v>
      </c>
      <c r="K1545" s="13">
        <f>INDEX(Assumptions!$B$4:$B$23,MATCH(F1545,Assumptions!$A$4:$A$23,0))</f>
        <v>1</v>
      </c>
      <c r="L1545" s="14">
        <f t="shared" si="48"/>
        <v>4.99</v>
      </c>
      <c r="M1545" t="str">
        <f t="shared" si="49"/>
        <v>No</v>
      </c>
    </row>
    <row r="1546" spans="1:13" x14ac:dyDescent="0.25">
      <c r="A1546">
        <v>338067</v>
      </c>
      <c r="B1546" t="s">
        <v>4793</v>
      </c>
      <c r="C1546" t="s">
        <v>4794</v>
      </c>
      <c r="D1546" t="s">
        <v>6220</v>
      </c>
      <c r="E1546">
        <v>20.99</v>
      </c>
      <c r="F1546" t="s">
        <v>1722</v>
      </c>
      <c r="G1546" t="s">
        <v>2289</v>
      </c>
      <c r="H1546" t="s">
        <v>1723</v>
      </c>
      <c r="I1546" s="11">
        <v>46277</v>
      </c>
      <c r="J1546" s="12">
        <v>46266</v>
      </c>
      <c r="K1546" s="13">
        <f>INDEX(Assumptions!$B$4:$B$23,MATCH(F1546,Assumptions!$A$4:$A$23,0))</f>
        <v>1</v>
      </c>
      <c r="L1546" s="14">
        <f t="shared" si="48"/>
        <v>20.99</v>
      </c>
      <c r="M1546" t="str">
        <f t="shared" si="49"/>
        <v>No</v>
      </c>
    </row>
    <row r="1547" spans="1:13" x14ac:dyDescent="0.25">
      <c r="A1547">
        <v>338066</v>
      </c>
      <c r="B1547" t="s">
        <v>4796</v>
      </c>
      <c r="C1547" t="s">
        <v>4797</v>
      </c>
      <c r="D1547" t="s">
        <v>6220</v>
      </c>
      <c r="E1547">
        <v>15.99</v>
      </c>
      <c r="F1547" t="s">
        <v>1722</v>
      </c>
      <c r="G1547" t="s">
        <v>2289</v>
      </c>
      <c r="H1547" t="s">
        <v>1723</v>
      </c>
      <c r="I1547" s="11">
        <v>46277</v>
      </c>
      <c r="J1547" s="12">
        <v>46266</v>
      </c>
      <c r="K1547" s="13">
        <f>INDEX(Assumptions!$B$4:$B$23,MATCH(F1547,Assumptions!$A$4:$A$23,0))</f>
        <v>1</v>
      </c>
      <c r="L1547" s="14">
        <f t="shared" si="48"/>
        <v>15.99</v>
      </c>
      <c r="M1547" t="str">
        <f t="shared" si="49"/>
        <v>No</v>
      </c>
    </row>
    <row r="1548" spans="1:13" x14ac:dyDescent="0.25">
      <c r="A1548">
        <v>338065</v>
      </c>
      <c r="B1548" t="s">
        <v>4799</v>
      </c>
      <c r="C1548" t="s">
        <v>4800</v>
      </c>
      <c r="D1548" t="s">
        <v>6220</v>
      </c>
      <c r="E1548">
        <v>19.989999999999998</v>
      </c>
      <c r="F1548" t="s">
        <v>1722</v>
      </c>
      <c r="G1548" t="s">
        <v>2289</v>
      </c>
      <c r="H1548" t="s">
        <v>1723</v>
      </c>
      <c r="I1548" s="11">
        <v>46277</v>
      </c>
      <c r="J1548" s="12">
        <v>46266</v>
      </c>
      <c r="K1548" s="13">
        <f>INDEX(Assumptions!$B$4:$B$23,MATCH(F1548,Assumptions!$A$4:$A$23,0))</f>
        <v>1</v>
      </c>
      <c r="L1548" s="14">
        <f t="shared" si="48"/>
        <v>19.989999999999998</v>
      </c>
      <c r="M1548" t="str">
        <f t="shared" si="49"/>
        <v>No</v>
      </c>
    </row>
    <row r="1549" spans="1:13" x14ac:dyDescent="0.25">
      <c r="A1549">
        <v>338064</v>
      </c>
      <c r="B1549" t="s">
        <v>4802</v>
      </c>
      <c r="C1549" t="s">
        <v>4803</v>
      </c>
      <c r="D1549" t="s">
        <v>6220</v>
      </c>
      <c r="E1549">
        <v>15.99</v>
      </c>
      <c r="F1549" t="s">
        <v>1722</v>
      </c>
      <c r="G1549" t="s">
        <v>2289</v>
      </c>
      <c r="H1549" t="s">
        <v>1723</v>
      </c>
      <c r="I1549" s="11">
        <v>46277</v>
      </c>
      <c r="J1549" s="12">
        <v>46266</v>
      </c>
      <c r="K1549" s="13">
        <f>INDEX(Assumptions!$B$4:$B$23,MATCH(F1549,Assumptions!$A$4:$A$23,0))</f>
        <v>1</v>
      </c>
      <c r="L1549" s="14">
        <f t="shared" si="48"/>
        <v>15.99</v>
      </c>
      <c r="M1549" t="str">
        <f t="shared" si="49"/>
        <v>No</v>
      </c>
    </row>
    <row r="1550" spans="1:13" x14ac:dyDescent="0.25">
      <c r="A1550">
        <v>338063</v>
      </c>
      <c r="B1550" t="s">
        <v>4805</v>
      </c>
      <c r="C1550" t="s">
        <v>4806</v>
      </c>
      <c r="D1550" t="s">
        <v>6220</v>
      </c>
      <c r="E1550">
        <v>6.99</v>
      </c>
      <c r="F1550" t="s">
        <v>1722</v>
      </c>
      <c r="G1550" t="s">
        <v>2289</v>
      </c>
      <c r="H1550" t="s">
        <v>1723</v>
      </c>
      <c r="I1550" s="11">
        <v>46277</v>
      </c>
      <c r="J1550" s="12">
        <v>46266</v>
      </c>
      <c r="K1550" s="13">
        <f>INDEX(Assumptions!$B$4:$B$23,MATCH(F1550,Assumptions!$A$4:$A$23,0))</f>
        <v>1</v>
      </c>
      <c r="L1550" s="14">
        <f t="shared" si="48"/>
        <v>6.99</v>
      </c>
      <c r="M1550" t="str">
        <f t="shared" si="49"/>
        <v>No</v>
      </c>
    </row>
    <row r="1551" spans="1:13" x14ac:dyDescent="0.25">
      <c r="A1551">
        <v>338062</v>
      </c>
      <c r="B1551" t="s">
        <v>4808</v>
      </c>
      <c r="C1551" t="s">
        <v>4809</v>
      </c>
      <c r="D1551" t="s">
        <v>6220</v>
      </c>
      <c r="E1551">
        <v>4.99</v>
      </c>
      <c r="F1551" t="s">
        <v>1722</v>
      </c>
      <c r="G1551" t="s">
        <v>2289</v>
      </c>
      <c r="H1551" t="s">
        <v>1723</v>
      </c>
      <c r="I1551" s="11">
        <v>46277</v>
      </c>
      <c r="J1551" s="12">
        <v>46266</v>
      </c>
      <c r="K1551" s="13">
        <f>INDEX(Assumptions!$B$4:$B$23,MATCH(F1551,Assumptions!$A$4:$A$23,0))</f>
        <v>1</v>
      </c>
      <c r="L1551" s="14">
        <f t="shared" si="48"/>
        <v>4.99</v>
      </c>
      <c r="M1551" t="str">
        <f t="shared" si="49"/>
        <v>No</v>
      </c>
    </row>
    <row r="1552" spans="1:13" x14ac:dyDescent="0.25">
      <c r="A1552">
        <v>338061</v>
      </c>
      <c r="B1552" t="s">
        <v>4811</v>
      </c>
      <c r="C1552" t="s">
        <v>4812</v>
      </c>
      <c r="D1552" t="s">
        <v>6220</v>
      </c>
      <c r="E1552">
        <v>12.99</v>
      </c>
      <c r="F1552" t="s">
        <v>1722</v>
      </c>
      <c r="G1552" t="s">
        <v>2289</v>
      </c>
      <c r="H1552" t="s">
        <v>1723</v>
      </c>
      <c r="I1552" s="11">
        <v>46277</v>
      </c>
      <c r="J1552" s="12">
        <v>46266</v>
      </c>
      <c r="K1552" s="13">
        <f>INDEX(Assumptions!$B$4:$B$23,MATCH(F1552,Assumptions!$A$4:$A$23,0))</f>
        <v>1</v>
      </c>
      <c r="L1552" s="14">
        <f t="shared" si="48"/>
        <v>12.99</v>
      </c>
      <c r="M1552" t="str">
        <f t="shared" si="49"/>
        <v>No</v>
      </c>
    </row>
    <row r="1553" spans="1:13" x14ac:dyDescent="0.25">
      <c r="A1553">
        <v>338060</v>
      </c>
      <c r="B1553" t="s">
        <v>4814</v>
      </c>
      <c r="C1553" t="s">
        <v>6221</v>
      </c>
      <c r="D1553" t="s">
        <v>6220</v>
      </c>
      <c r="E1553">
        <v>0.47</v>
      </c>
      <c r="F1553" t="s">
        <v>50</v>
      </c>
      <c r="G1553" t="s">
        <v>3634</v>
      </c>
      <c r="H1553" t="s">
        <v>3633</v>
      </c>
      <c r="I1553" s="11">
        <v>46296</v>
      </c>
      <c r="J1553" s="12">
        <v>46296</v>
      </c>
      <c r="K1553" s="13">
        <f>INDEX(Assumptions!$B$4:$B$23,MATCH(F1553,Assumptions!$A$4:$A$23,0))</f>
        <v>1.0869565217391299</v>
      </c>
      <c r="L1553" s="14">
        <f t="shared" si="48"/>
        <v>0.51086956521739102</v>
      </c>
      <c r="M1553" t="str">
        <f t="shared" si="49"/>
        <v>Yes</v>
      </c>
    </row>
    <row r="1554" spans="1:13" x14ac:dyDescent="0.25">
      <c r="A1554">
        <v>338059</v>
      </c>
      <c r="B1554" t="s">
        <v>4817</v>
      </c>
      <c r="C1554" t="s">
        <v>6221</v>
      </c>
      <c r="D1554" t="s">
        <v>6220</v>
      </c>
      <c r="E1554">
        <v>4.79</v>
      </c>
      <c r="F1554" t="s">
        <v>1836</v>
      </c>
      <c r="G1554" t="s">
        <v>1838</v>
      </c>
      <c r="H1554" t="s">
        <v>1837</v>
      </c>
      <c r="I1554" s="11">
        <v>46296</v>
      </c>
      <c r="J1554" s="12">
        <v>46296</v>
      </c>
      <c r="K1554" s="13">
        <f>INDEX(Assumptions!$B$4:$B$23,MATCH(F1554,Assumptions!$A$4:$A$23,0))</f>
        <v>0.5780346820809249</v>
      </c>
      <c r="L1554" s="14">
        <f t="shared" si="48"/>
        <v>2.7687861271676302</v>
      </c>
      <c r="M1554" t="str">
        <f t="shared" si="49"/>
        <v>Yes</v>
      </c>
    </row>
    <row r="1555" spans="1:13" x14ac:dyDescent="0.25">
      <c r="A1555">
        <v>338058</v>
      </c>
      <c r="B1555" t="s">
        <v>4819</v>
      </c>
      <c r="C1555" t="s">
        <v>6221</v>
      </c>
      <c r="D1555" t="s">
        <v>6220</v>
      </c>
      <c r="E1555">
        <v>5.49</v>
      </c>
      <c r="F1555" t="s">
        <v>1836</v>
      </c>
      <c r="G1555" t="s">
        <v>1838</v>
      </c>
      <c r="H1555" t="s">
        <v>1837</v>
      </c>
      <c r="I1555" s="11">
        <v>46296</v>
      </c>
      <c r="J1555" s="12">
        <v>46296</v>
      </c>
      <c r="K1555" s="13">
        <f>INDEX(Assumptions!$B$4:$B$23,MATCH(F1555,Assumptions!$A$4:$A$23,0))</f>
        <v>0.5780346820809249</v>
      </c>
      <c r="L1555" s="14">
        <f t="shared" si="48"/>
        <v>3.1734104046242777</v>
      </c>
      <c r="M1555" t="str">
        <f t="shared" si="49"/>
        <v>Yes</v>
      </c>
    </row>
    <row r="1556" spans="1:13" x14ac:dyDescent="0.25">
      <c r="A1556">
        <v>338057</v>
      </c>
      <c r="B1556" t="s">
        <v>4821</v>
      </c>
      <c r="C1556" t="s">
        <v>6221</v>
      </c>
      <c r="D1556" t="s">
        <v>6220</v>
      </c>
      <c r="E1556">
        <v>1.6</v>
      </c>
      <c r="F1556" t="s">
        <v>50</v>
      </c>
      <c r="G1556" t="s">
        <v>1456</v>
      </c>
      <c r="H1556" t="s">
        <v>954</v>
      </c>
      <c r="I1556" s="11">
        <v>46295</v>
      </c>
      <c r="J1556" s="12">
        <v>46266</v>
      </c>
      <c r="K1556" s="13">
        <f>INDEX(Assumptions!$B$4:$B$23,MATCH(F1556,Assumptions!$A$4:$A$23,0))</f>
        <v>1.0869565217391299</v>
      </c>
      <c r="L1556" s="14">
        <f t="shared" si="48"/>
        <v>1.739130434782608</v>
      </c>
      <c r="M1556" t="str">
        <f t="shared" si="49"/>
        <v>Yes</v>
      </c>
    </row>
    <row r="1557" spans="1:13" x14ac:dyDescent="0.25">
      <c r="A1557">
        <v>338056</v>
      </c>
      <c r="B1557" t="s">
        <v>4823</v>
      </c>
      <c r="C1557" t="s">
        <v>6221</v>
      </c>
      <c r="D1557" t="s">
        <v>6220</v>
      </c>
      <c r="E1557">
        <v>2.79</v>
      </c>
      <c r="F1557" t="s">
        <v>50</v>
      </c>
      <c r="G1557" t="s">
        <v>961</v>
      </c>
      <c r="H1557" t="s">
        <v>4824</v>
      </c>
      <c r="I1557" s="11">
        <v>46296</v>
      </c>
      <c r="J1557" s="12">
        <v>46296</v>
      </c>
      <c r="K1557" s="13">
        <f>INDEX(Assumptions!$B$4:$B$23,MATCH(F1557,Assumptions!$A$4:$A$23,0))</f>
        <v>1.0869565217391299</v>
      </c>
      <c r="L1557" s="14">
        <f t="shared" si="48"/>
        <v>3.0326086956521725</v>
      </c>
      <c r="M1557" t="str">
        <f t="shared" si="49"/>
        <v>Yes</v>
      </c>
    </row>
    <row r="1558" spans="1:13" x14ac:dyDescent="0.25">
      <c r="A1558">
        <v>338055</v>
      </c>
      <c r="B1558" t="s">
        <v>4826</v>
      </c>
      <c r="C1558" t="s">
        <v>6221</v>
      </c>
      <c r="D1558" t="s">
        <v>6220</v>
      </c>
      <c r="E1558">
        <v>1.75</v>
      </c>
      <c r="F1558" t="s">
        <v>50</v>
      </c>
      <c r="G1558" t="s">
        <v>961</v>
      </c>
      <c r="H1558" t="s">
        <v>4824</v>
      </c>
      <c r="I1558" s="11">
        <v>46296</v>
      </c>
      <c r="J1558" s="12">
        <v>46296</v>
      </c>
      <c r="K1558" s="13">
        <f>INDEX(Assumptions!$B$4:$B$23,MATCH(F1558,Assumptions!$A$4:$A$23,0))</f>
        <v>1.0869565217391299</v>
      </c>
      <c r="L1558" s="14">
        <f t="shared" si="48"/>
        <v>1.9021739130434774</v>
      </c>
      <c r="M1558" t="str">
        <f t="shared" si="49"/>
        <v>Yes</v>
      </c>
    </row>
    <row r="1559" spans="1:13" x14ac:dyDescent="0.25">
      <c r="A1559">
        <v>338054</v>
      </c>
      <c r="B1559" t="s">
        <v>4828</v>
      </c>
      <c r="C1559" t="s">
        <v>6221</v>
      </c>
      <c r="D1559" t="s">
        <v>6220</v>
      </c>
      <c r="E1559">
        <v>1.69</v>
      </c>
      <c r="F1559" t="s">
        <v>50</v>
      </c>
      <c r="G1559" t="s">
        <v>961</v>
      </c>
      <c r="H1559" t="s">
        <v>4824</v>
      </c>
      <c r="I1559" s="11">
        <v>46296</v>
      </c>
      <c r="J1559" s="12">
        <v>46296</v>
      </c>
      <c r="K1559" s="13">
        <f>INDEX(Assumptions!$B$4:$B$23,MATCH(F1559,Assumptions!$A$4:$A$23,0))</f>
        <v>1.0869565217391299</v>
      </c>
      <c r="L1559" s="14">
        <f t="shared" si="48"/>
        <v>1.8369565217391295</v>
      </c>
      <c r="M1559" t="str">
        <f t="shared" si="49"/>
        <v>Yes</v>
      </c>
    </row>
    <row r="1560" spans="1:13" x14ac:dyDescent="0.25">
      <c r="A1560">
        <v>338053</v>
      </c>
      <c r="B1560" t="s">
        <v>4830</v>
      </c>
      <c r="C1560" t="s">
        <v>6221</v>
      </c>
      <c r="D1560" t="s">
        <v>6220</v>
      </c>
      <c r="E1560">
        <v>8.35</v>
      </c>
      <c r="F1560" t="s">
        <v>50</v>
      </c>
      <c r="G1560" t="s">
        <v>961</v>
      </c>
      <c r="H1560" t="s">
        <v>4824</v>
      </c>
      <c r="I1560" s="11">
        <v>46296</v>
      </c>
      <c r="J1560" s="12">
        <v>46296</v>
      </c>
      <c r="K1560" s="13">
        <f>INDEX(Assumptions!$B$4:$B$23,MATCH(F1560,Assumptions!$A$4:$A$23,0))</f>
        <v>1.0869565217391299</v>
      </c>
      <c r="L1560" s="14">
        <f t="shared" si="48"/>
        <v>9.0760869565217348</v>
      </c>
      <c r="M1560" t="str">
        <f t="shared" si="49"/>
        <v>Yes</v>
      </c>
    </row>
    <row r="1561" spans="1:13" x14ac:dyDescent="0.25">
      <c r="A1561">
        <v>338052</v>
      </c>
      <c r="B1561" t="s">
        <v>4832</v>
      </c>
      <c r="C1561" t="s">
        <v>6221</v>
      </c>
      <c r="D1561" t="s">
        <v>6220</v>
      </c>
      <c r="E1561">
        <v>7.5</v>
      </c>
      <c r="F1561" t="s">
        <v>50</v>
      </c>
      <c r="G1561" t="s">
        <v>4835</v>
      </c>
      <c r="H1561" t="s">
        <v>4834</v>
      </c>
      <c r="I1561" s="11">
        <v>46296</v>
      </c>
      <c r="J1561" s="12">
        <v>46296</v>
      </c>
      <c r="K1561" s="13">
        <f>INDEX(Assumptions!$B$4:$B$23,MATCH(F1561,Assumptions!$A$4:$A$23,0))</f>
        <v>1.0869565217391299</v>
      </c>
      <c r="L1561" s="14">
        <f t="shared" si="48"/>
        <v>8.1521739130434749</v>
      </c>
      <c r="M1561" t="str">
        <f t="shared" si="49"/>
        <v>Yes</v>
      </c>
    </row>
    <row r="1562" spans="1:13" x14ac:dyDescent="0.25">
      <c r="A1562">
        <v>338051</v>
      </c>
      <c r="B1562" t="s">
        <v>4837</v>
      </c>
      <c r="C1562" t="s">
        <v>6221</v>
      </c>
      <c r="D1562" t="s">
        <v>6220</v>
      </c>
      <c r="E1562">
        <v>1.19</v>
      </c>
      <c r="F1562" t="s">
        <v>50</v>
      </c>
      <c r="G1562" t="s">
        <v>4835</v>
      </c>
      <c r="H1562" t="s">
        <v>4834</v>
      </c>
      <c r="I1562" s="11">
        <v>46296</v>
      </c>
      <c r="J1562" s="12">
        <v>46296</v>
      </c>
      <c r="K1562" s="13">
        <f>INDEX(Assumptions!$B$4:$B$23,MATCH(F1562,Assumptions!$A$4:$A$23,0))</f>
        <v>1.0869565217391299</v>
      </c>
      <c r="L1562" s="14">
        <f t="shared" si="48"/>
        <v>1.2934782608695645</v>
      </c>
      <c r="M1562" t="str">
        <f t="shared" si="49"/>
        <v>Yes</v>
      </c>
    </row>
    <row r="1563" spans="1:13" x14ac:dyDescent="0.25">
      <c r="A1563">
        <v>338050</v>
      </c>
      <c r="B1563" t="s">
        <v>4839</v>
      </c>
      <c r="C1563" t="s">
        <v>6221</v>
      </c>
      <c r="D1563" t="s">
        <v>6220</v>
      </c>
      <c r="E1563">
        <v>1.2</v>
      </c>
      <c r="F1563" t="s">
        <v>50</v>
      </c>
      <c r="G1563" t="s">
        <v>4835</v>
      </c>
      <c r="H1563" t="s">
        <v>4834</v>
      </c>
      <c r="I1563" s="11">
        <v>46296</v>
      </c>
      <c r="J1563" s="12">
        <v>46296</v>
      </c>
      <c r="K1563" s="13">
        <f>INDEX(Assumptions!$B$4:$B$23,MATCH(F1563,Assumptions!$A$4:$A$23,0))</f>
        <v>1.0869565217391299</v>
      </c>
      <c r="L1563" s="14">
        <f t="shared" si="48"/>
        <v>1.3043478260869559</v>
      </c>
      <c r="M1563" t="str">
        <f t="shared" si="49"/>
        <v>Yes</v>
      </c>
    </row>
    <row r="1564" spans="1:13" x14ac:dyDescent="0.25">
      <c r="A1564">
        <v>338049</v>
      </c>
      <c r="B1564" t="s">
        <v>4842</v>
      </c>
      <c r="C1564" t="s">
        <v>6221</v>
      </c>
      <c r="D1564" t="s">
        <v>6220</v>
      </c>
      <c r="E1564">
        <v>1.75</v>
      </c>
      <c r="F1564" t="s">
        <v>50</v>
      </c>
      <c r="G1564" t="s">
        <v>4835</v>
      </c>
      <c r="H1564" t="s">
        <v>4834</v>
      </c>
      <c r="I1564" s="11">
        <v>46296</v>
      </c>
      <c r="J1564" s="12">
        <v>46296</v>
      </c>
      <c r="K1564" s="13">
        <f>INDEX(Assumptions!$B$4:$B$23,MATCH(F1564,Assumptions!$A$4:$A$23,0))</f>
        <v>1.0869565217391299</v>
      </c>
      <c r="L1564" s="14">
        <f t="shared" si="48"/>
        <v>1.9021739130434774</v>
      </c>
      <c r="M1564" t="str">
        <f t="shared" si="49"/>
        <v>Yes</v>
      </c>
    </row>
    <row r="1565" spans="1:13" x14ac:dyDescent="0.25">
      <c r="A1565">
        <v>338048</v>
      </c>
      <c r="B1565" t="s">
        <v>4844</v>
      </c>
      <c r="C1565" t="s">
        <v>4845</v>
      </c>
      <c r="D1565" t="s">
        <v>6220</v>
      </c>
      <c r="E1565">
        <v>2.75</v>
      </c>
      <c r="F1565" t="s">
        <v>50</v>
      </c>
      <c r="G1565" t="s">
        <v>4846</v>
      </c>
      <c r="H1565" t="s">
        <v>1156</v>
      </c>
      <c r="I1565" s="11">
        <v>46286</v>
      </c>
      <c r="J1565" s="12">
        <v>46266</v>
      </c>
      <c r="K1565" s="13">
        <f>INDEX(Assumptions!$B$4:$B$23,MATCH(F1565,Assumptions!$A$4:$A$23,0))</f>
        <v>1.0869565217391299</v>
      </c>
      <c r="L1565" s="14">
        <f t="shared" si="48"/>
        <v>2.9891304347826075</v>
      </c>
      <c r="M1565" t="str">
        <f t="shared" si="49"/>
        <v>No</v>
      </c>
    </row>
    <row r="1566" spans="1:13" x14ac:dyDescent="0.25">
      <c r="A1566">
        <v>338047</v>
      </c>
      <c r="B1566" t="s">
        <v>4848</v>
      </c>
      <c r="C1566" t="s">
        <v>4849</v>
      </c>
      <c r="D1566" t="s">
        <v>6220</v>
      </c>
      <c r="E1566">
        <v>3.95</v>
      </c>
      <c r="F1566" t="s">
        <v>50</v>
      </c>
      <c r="G1566" t="s">
        <v>4846</v>
      </c>
      <c r="H1566" t="s">
        <v>1156</v>
      </c>
      <c r="I1566" s="11">
        <v>46286</v>
      </c>
      <c r="J1566" s="12">
        <v>46266</v>
      </c>
      <c r="K1566" s="13">
        <f>INDEX(Assumptions!$B$4:$B$23,MATCH(F1566,Assumptions!$A$4:$A$23,0))</f>
        <v>1.0869565217391299</v>
      </c>
      <c r="L1566" s="14">
        <f t="shared" si="48"/>
        <v>4.2934782608695636</v>
      </c>
      <c r="M1566" t="str">
        <f t="shared" si="49"/>
        <v>No</v>
      </c>
    </row>
    <row r="1567" spans="1:13" x14ac:dyDescent="0.25">
      <c r="A1567">
        <v>338046</v>
      </c>
      <c r="B1567" t="s">
        <v>4851</v>
      </c>
      <c r="C1567" t="s">
        <v>4852</v>
      </c>
      <c r="D1567" t="s">
        <v>6220</v>
      </c>
      <c r="E1567">
        <v>3.95</v>
      </c>
      <c r="F1567" t="s">
        <v>50</v>
      </c>
      <c r="G1567" t="s">
        <v>4846</v>
      </c>
      <c r="H1567" t="s">
        <v>1156</v>
      </c>
      <c r="I1567" s="11">
        <v>46286</v>
      </c>
      <c r="J1567" s="12">
        <v>46266</v>
      </c>
      <c r="K1567" s="13">
        <f>INDEX(Assumptions!$B$4:$B$23,MATCH(F1567,Assumptions!$A$4:$A$23,0))</f>
        <v>1.0869565217391299</v>
      </c>
      <c r="L1567" s="14">
        <f t="shared" si="48"/>
        <v>4.2934782608695636</v>
      </c>
      <c r="M1567" t="str">
        <f t="shared" si="49"/>
        <v>No</v>
      </c>
    </row>
    <row r="1568" spans="1:13" x14ac:dyDescent="0.25">
      <c r="A1568">
        <v>338045</v>
      </c>
      <c r="B1568" t="s">
        <v>4854</v>
      </c>
      <c r="C1568" t="s">
        <v>4855</v>
      </c>
      <c r="D1568" t="s">
        <v>6220</v>
      </c>
      <c r="E1568">
        <v>3.95</v>
      </c>
      <c r="F1568" t="s">
        <v>50</v>
      </c>
      <c r="G1568" t="s">
        <v>4846</v>
      </c>
      <c r="H1568" t="s">
        <v>1156</v>
      </c>
      <c r="I1568" s="11">
        <v>46286</v>
      </c>
      <c r="J1568" s="12">
        <v>46266</v>
      </c>
      <c r="K1568" s="13">
        <f>INDEX(Assumptions!$B$4:$B$23,MATCH(F1568,Assumptions!$A$4:$A$23,0))</f>
        <v>1.0869565217391299</v>
      </c>
      <c r="L1568" s="14">
        <f t="shared" si="48"/>
        <v>4.2934782608695636</v>
      </c>
      <c r="M1568" t="str">
        <f t="shared" si="49"/>
        <v>No</v>
      </c>
    </row>
    <row r="1569" spans="1:13" x14ac:dyDescent="0.25">
      <c r="A1569">
        <v>338044</v>
      </c>
      <c r="B1569" t="s">
        <v>4857</v>
      </c>
      <c r="C1569" t="s">
        <v>4858</v>
      </c>
      <c r="D1569" t="s">
        <v>6220</v>
      </c>
      <c r="E1569">
        <v>4.45</v>
      </c>
      <c r="F1569" t="s">
        <v>50</v>
      </c>
      <c r="G1569" t="s">
        <v>4846</v>
      </c>
      <c r="H1569" t="s">
        <v>1156</v>
      </c>
      <c r="I1569" s="11">
        <v>46286</v>
      </c>
      <c r="J1569" s="12">
        <v>46266</v>
      </c>
      <c r="K1569" s="13">
        <f>INDEX(Assumptions!$B$4:$B$23,MATCH(F1569,Assumptions!$A$4:$A$23,0))</f>
        <v>1.0869565217391299</v>
      </c>
      <c r="L1569" s="14">
        <f t="shared" si="48"/>
        <v>4.8369565217391282</v>
      </c>
      <c r="M1569" t="str">
        <f t="shared" si="49"/>
        <v>No</v>
      </c>
    </row>
    <row r="1570" spans="1:13" x14ac:dyDescent="0.25">
      <c r="A1570">
        <v>338043</v>
      </c>
      <c r="B1570" t="s">
        <v>4860</v>
      </c>
      <c r="C1570" t="s">
        <v>4861</v>
      </c>
      <c r="D1570" t="s">
        <v>6220</v>
      </c>
      <c r="E1570">
        <v>1.49</v>
      </c>
      <c r="F1570" t="s">
        <v>50</v>
      </c>
      <c r="G1570" t="s">
        <v>2545</v>
      </c>
      <c r="H1570" t="s">
        <v>1156</v>
      </c>
      <c r="I1570" s="11">
        <v>46277</v>
      </c>
      <c r="J1570" s="12">
        <v>46266</v>
      </c>
      <c r="K1570" s="13">
        <f>INDEX(Assumptions!$B$4:$B$23,MATCH(F1570,Assumptions!$A$4:$A$23,0))</f>
        <v>1.0869565217391299</v>
      </c>
      <c r="L1570" s="14">
        <f t="shared" si="48"/>
        <v>1.6195652173913035</v>
      </c>
      <c r="M1570" t="str">
        <f t="shared" si="49"/>
        <v>No</v>
      </c>
    </row>
    <row r="1571" spans="1:13" x14ac:dyDescent="0.25">
      <c r="A1571">
        <v>338042</v>
      </c>
      <c r="B1571" t="s">
        <v>4863</v>
      </c>
      <c r="C1571" t="s">
        <v>6221</v>
      </c>
      <c r="D1571" t="s">
        <v>6220</v>
      </c>
      <c r="E1571">
        <v>3.4</v>
      </c>
      <c r="F1571" t="s">
        <v>50</v>
      </c>
      <c r="G1571" t="s">
        <v>4835</v>
      </c>
      <c r="H1571" t="s">
        <v>4834</v>
      </c>
      <c r="I1571" s="11">
        <v>46296</v>
      </c>
      <c r="J1571" s="12">
        <v>46296</v>
      </c>
      <c r="K1571" s="13">
        <f>INDEX(Assumptions!$B$4:$B$23,MATCH(F1571,Assumptions!$A$4:$A$23,0))</f>
        <v>1.0869565217391299</v>
      </c>
      <c r="L1571" s="14">
        <f t="shared" si="48"/>
        <v>3.6956521739130417</v>
      </c>
      <c r="M1571" t="str">
        <f t="shared" si="49"/>
        <v>Yes</v>
      </c>
    </row>
    <row r="1572" spans="1:13" x14ac:dyDescent="0.25">
      <c r="A1572">
        <v>338041</v>
      </c>
      <c r="B1572" t="s">
        <v>4866</v>
      </c>
      <c r="C1572" t="s">
        <v>4867</v>
      </c>
      <c r="D1572" t="s">
        <v>6220</v>
      </c>
      <c r="E1572">
        <v>2.29</v>
      </c>
      <c r="F1572" t="s">
        <v>50</v>
      </c>
      <c r="G1572" t="s">
        <v>4868</v>
      </c>
      <c r="H1572" t="s">
        <v>1156</v>
      </c>
      <c r="I1572" s="11">
        <v>46282</v>
      </c>
      <c r="J1572" s="12">
        <v>46266</v>
      </c>
      <c r="K1572" s="13">
        <f>INDEX(Assumptions!$B$4:$B$23,MATCH(F1572,Assumptions!$A$4:$A$23,0))</f>
        <v>1.0869565217391299</v>
      </c>
      <c r="L1572" s="14">
        <f t="shared" si="48"/>
        <v>2.4891304347826075</v>
      </c>
      <c r="M1572" t="str">
        <f t="shared" si="49"/>
        <v>No</v>
      </c>
    </row>
    <row r="1573" spans="1:13" x14ac:dyDescent="0.25">
      <c r="A1573">
        <v>338040</v>
      </c>
      <c r="B1573" t="s">
        <v>4871</v>
      </c>
      <c r="C1573" t="s">
        <v>4872</v>
      </c>
      <c r="D1573" t="s">
        <v>6220</v>
      </c>
      <c r="E1573">
        <v>3.23</v>
      </c>
      <c r="F1573" t="s">
        <v>50</v>
      </c>
      <c r="G1573" t="s">
        <v>3307</v>
      </c>
      <c r="H1573" t="s">
        <v>1156</v>
      </c>
      <c r="I1573" s="11">
        <v>46291</v>
      </c>
      <c r="J1573" s="12">
        <v>46266</v>
      </c>
      <c r="K1573" s="13">
        <f>INDEX(Assumptions!$B$4:$B$23,MATCH(F1573,Assumptions!$A$4:$A$23,0))</f>
        <v>1.0869565217391299</v>
      </c>
      <c r="L1573" s="14">
        <f t="shared" si="48"/>
        <v>3.5108695652173898</v>
      </c>
      <c r="M1573" t="str">
        <f t="shared" si="49"/>
        <v>No</v>
      </c>
    </row>
    <row r="1574" spans="1:13" x14ac:dyDescent="0.25">
      <c r="A1574">
        <v>338039</v>
      </c>
      <c r="B1574" t="s">
        <v>4876</v>
      </c>
      <c r="C1574" t="s">
        <v>6221</v>
      </c>
      <c r="D1574" t="s">
        <v>6220</v>
      </c>
      <c r="E1574">
        <v>0.99</v>
      </c>
      <c r="F1574" t="s">
        <v>50</v>
      </c>
      <c r="G1574" t="s">
        <v>4835</v>
      </c>
      <c r="H1574" t="s">
        <v>4834</v>
      </c>
      <c r="I1574" s="11">
        <v>46296</v>
      </c>
      <c r="J1574" s="12">
        <v>46296</v>
      </c>
      <c r="K1574" s="13">
        <f>INDEX(Assumptions!$B$4:$B$23,MATCH(F1574,Assumptions!$A$4:$A$23,0))</f>
        <v>1.0869565217391299</v>
      </c>
      <c r="L1574" s="14">
        <f t="shared" si="48"/>
        <v>1.0760869565217386</v>
      </c>
      <c r="M1574" t="str">
        <f t="shared" si="49"/>
        <v>Yes</v>
      </c>
    </row>
    <row r="1575" spans="1:13" x14ac:dyDescent="0.25">
      <c r="A1575">
        <v>338038</v>
      </c>
      <c r="B1575" t="s">
        <v>4878</v>
      </c>
      <c r="C1575" t="s">
        <v>6221</v>
      </c>
      <c r="D1575" t="s">
        <v>6220</v>
      </c>
      <c r="E1575">
        <v>0.99</v>
      </c>
      <c r="F1575" t="s">
        <v>50</v>
      </c>
      <c r="G1575" t="s">
        <v>4835</v>
      </c>
      <c r="H1575" t="s">
        <v>4834</v>
      </c>
      <c r="I1575" s="11">
        <v>46296</v>
      </c>
      <c r="J1575" s="12">
        <v>46296</v>
      </c>
      <c r="K1575" s="13">
        <f>INDEX(Assumptions!$B$4:$B$23,MATCH(F1575,Assumptions!$A$4:$A$23,0))</f>
        <v>1.0869565217391299</v>
      </c>
      <c r="L1575" s="14">
        <f t="shared" si="48"/>
        <v>1.0760869565217386</v>
      </c>
      <c r="M1575" t="str">
        <f t="shared" si="49"/>
        <v>Yes</v>
      </c>
    </row>
    <row r="1576" spans="1:13" x14ac:dyDescent="0.25">
      <c r="A1576">
        <v>338037</v>
      </c>
      <c r="B1576" t="s">
        <v>4880</v>
      </c>
      <c r="C1576" t="s">
        <v>4881</v>
      </c>
      <c r="D1576" t="s">
        <v>6220</v>
      </c>
      <c r="E1576">
        <v>4.1500000000000004</v>
      </c>
      <c r="F1576" t="s">
        <v>50</v>
      </c>
      <c r="G1576" t="s">
        <v>4846</v>
      </c>
      <c r="H1576" t="s">
        <v>1156</v>
      </c>
      <c r="I1576" s="11">
        <v>46286</v>
      </c>
      <c r="J1576" s="12">
        <v>46266</v>
      </c>
      <c r="K1576" s="13">
        <f>INDEX(Assumptions!$B$4:$B$23,MATCH(F1576,Assumptions!$A$4:$A$23,0))</f>
        <v>1.0869565217391299</v>
      </c>
      <c r="L1576" s="14">
        <f t="shared" si="48"/>
        <v>4.5108695652173898</v>
      </c>
      <c r="M1576" t="str">
        <f t="shared" si="49"/>
        <v>No</v>
      </c>
    </row>
    <row r="1577" spans="1:13" x14ac:dyDescent="0.25">
      <c r="A1577">
        <v>338036</v>
      </c>
      <c r="B1577" t="s">
        <v>4883</v>
      </c>
      <c r="C1577" t="s">
        <v>4884</v>
      </c>
      <c r="D1577" t="s">
        <v>6220</v>
      </c>
      <c r="E1577">
        <v>1.38</v>
      </c>
      <c r="F1577" t="s">
        <v>50</v>
      </c>
      <c r="G1577" t="s">
        <v>3307</v>
      </c>
      <c r="H1577" t="s">
        <v>1156</v>
      </c>
      <c r="I1577" s="11">
        <v>46291</v>
      </c>
      <c r="J1577" s="12">
        <v>46266</v>
      </c>
      <c r="K1577" s="13">
        <f>INDEX(Assumptions!$B$4:$B$23,MATCH(F1577,Assumptions!$A$4:$A$23,0))</f>
        <v>1.0869565217391299</v>
      </c>
      <c r="L1577" s="14">
        <f t="shared" si="48"/>
        <v>1.4999999999999991</v>
      </c>
      <c r="M1577" t="str">
        <f t="shared" si="49"/>
        <v>No</v>
      </c>
    </row>
    <row r="1578" spans="1:13" x14ac:dyDescent="0.25">
      <c r="A1578">
        <v>338033</v>
      </c>
      <c r="B1578" t="s">
        <v>4887</v>
      </c>
      <c r="C1578" t="s">
        <v>6221</v>
      </c>
      <c r="D1578" t="s">
        <v>6220</v>
      </c>
      <c r="E1578">
        <v>0.99</v>
      </c>
      <c r="F1578" t="s">
        <v>50</v>
      </c>
      <c r="G1578" t="s">
        <v>4835</v>
      </c>
      <c r="H1578" t="s">
        <v>4834</v>
      </c>
      <c r="I1578" s="11">
        <v>46296</v>
      </c>
      <c r="J1578" s="12">
        <v>46296</v>
      </c>
      <c r="K1578" s="13">
        <f>INDEX(Assumptions!$B$4:$B$23,MATCH(F1578,Assumptions!$A$4:$A$23,0))</f>
        <v>1.0869565217391299</v>
      </c>
      <c r="L1578" s="14">
        <f t="shared" si="48"/>
        <v>1.0760869565217386</v>
      </c>
      <c r="M1578" t="str">
        <f t="shared" si="49"/>
        <v>Yes</v>
      </c>
    </row>
    <row r="1579" spans="1:13" x14ac:dyDescent="0.25">
      <c r="A1579">
        <v>338032</v>
      </c>
      <c r="B1579" t="s">
        <v>4889</v>
      </c>
      <c r="C1579" t="s">
        <v>4890</v>
      </c>
      <c r="D1579" t="s">
        <v>6220</v>
      </c>
      <c r="E1579">
        <v>2.4900000000000002</v>
      </c>
      <c r="F1579" t="s">
        <v>1722</v>
      </c>
      <c r="G1579" t="s">
        <v>2289</v>
      </c>
      <c r="H1579" t="s">
        <v>1723</v>
      </c>
      <c r="I1579" s="11">
        <v>46277</v>
      </c>
      <c r="J1579" s="12">
        <v>46266</v>
      </c>
      <c r="K1579" s="13">
        <f>INDEX(Assumptions!$B$4:$B$23,MATCH(F1579,Assumptions!$A$4:$A$23,0))</f>
        <v>1</v>
      </c>
      <c r="L1579" s="14">
        <f t="shared" si="48"/>
        <v>2.4900000000000002</v>
      </c>
      <c r="M1579" t="str">
        <f t="shared" si="49"/>
        <v>No</v>
      </c>
    </row>
    <row r="1580" spans="1:13" x14ac:dyDescent="0.25">
      <c r="A1580">
        <v>338031</v>
      </c>
      <c r="B1580" t="s">
        <v>4892</v>
      </c>
      <c r="C1580" t="s">
        <v>4893</v>
      </c>
      <c r="D1580" t="s">
        <v>6220</v>
      </c>
      <c r="E1580">
        <v>6.99</v>
      </c>
      <c r="F1580" t="s">
        <v>1722</v>
      </c>
      <c r="G1580" t="s">
        <v>2289</v>
      </c>
      <c r="H1580" t="s">
        <v>1723</v>
      </c>
      <c r="I1580" s="11">
        <v>46277</v>
      </c>
      <c r="J1580" s="12">
        <v>46266</v>
      </c>
      <c r="K1580" s="13">
        <f>INDEX(Assumptions!$B$4:$B$23,MATCH(F1580,Assumptions!$A$4:$A$23,0))</f>
        <v>1</v>
      </c>
      <c r="L1580" s="14">
        <f t="shared" si="48"/>
        <v>6.99</v>
      </c>
      <c r="M1580" t="str">
        <f t="shared" si="49"/>
        <v>No</v>
      </c>
    </row>
    <row r="1581" spans="1:13" x14ac:dyDescent="0.25">
      <c r="A1581">
        <v>338030</v>
      </c>
      <c r="B1581" t="s">
        <v>4895</v>
      </c>
      <c r="C1581" t="s">
        <v>4896</v>
      </c>
      <c r="D1581" t="s">
        <v>6220</v>
      </c>
      <c r="E1581">
        <v>2.4900000000000002</v>
      </c>
      <c r="F1581" t="s">
        <v>1722</v>
      </c>
      <c r="G1581" t="s">
        <v>2289</v>
      </c>
      <c r="H1581" t="s">
        <v>1723</v>
      </c>
      <c r="I1581" s="11">
        <v>46277</v>
      </c>
      <c r="J1581" s="12">
        <v>46266</v>
      </c>
      <c r="K1581" s="13">
        <f>INDEX(Assumptions!$B$4:$B$23,MATCH(F1581,Assumptions!$A$4:$A$23,0))</f>
        <v>1</v>
      </c>
      <c r="L1581" s="14">
        <f t="shared" si="48"/>
        <v>2.4900000000000002</v>
      </c>
      <c r="M1581" t="str">
        <f t="shared" si="49"/>
        <v>No</v>
      </c>
    </row>
    <row r="1582" spans="1:13" x14ac:dyDescent="0.25">
      <c r="A1582">
        <v>338029</v>
      </c>
      <c r="B1582" t="s">
        <v>4898</v>
      </c>
      <c r="C1582" t="s">
        <v>4899</v>
      </c>
      <c r="D1582" t="s">
        <v>6220</v>
      </c>
      <c r="E1582">
        <v>6.99</v>
      </c>
      <c r="F1582" t="s">
        <v>1722</v>
      </c>
      <c r="G1582" t="s">
        <v>2289</v>
      </c>
      <c r="H1582" t="s">
        <v>1723</v>
      </c>
      <c r="I1582" s="11">
        <v>46277</v>
      </c>
      <c r="J1582" s="12">
        <v>46266</v>
      </c>
      <c r="K1582" s="13">
        <f>INDEX(Assumptions!$B$4:$B$23,MATCH(F1582,Assumptions!$A$4:$A$23,0))</f>
        <v>1</v>
      </c>
      <c r="L1582" s="14">
        <f t="shared" si="48"/>
        <v>6.99</v>
      </c>
      <c r="M1582" t="str">
        <f t="shared" si="49"/>
        <v>No</v>
      </c>
    </row>
    <row r="1583" spans="1:13" x14ac:dyDescent="0.25">
      <c r="A1583">
        <v>338028</v>
      </c>
      <c r="B1583" t="s">
        <v>4901</v>
      </c>
      <c r="C1583" t="s">
        <v>4902</v>
      </c>
      <c r="D1583" t="s">
        <v>6220</v>
      </c>
      <c r="E1583">
        <v>6.99</v>
      </c>
      <c r="F1583" t="s">
        <v>1722</v>
      </c>
      <c r="G1583" t="s">
        <v>2289</v>
      </c>
      <c r="H1583" t="s">
        <v>1723</v>
      </c>
      <c r="I1583" s="11">
        <v>46277</v>
      </c>
      <c r="J1583" s="12">
        <v>46266</v>
      </c>
      <c r="K1583" s="13">
        <f>INDEX(Assumptions!$B$4:$B$23,MATCH(F1583,Assumptions!$A$4:$A$23,0))</f>
        <v>1</v>
      </c>
      <c r="L1583" s="14">
        <f t="shared" si="48"/>
        <v>6.99</v>
      </c>
      <c r="M1583" t="str">
        <f t="shared" si="49"/>
        <v>No</v>
      </c>
    </row>
    <row r="1584" spans="1:13" x14ac:dyDescent="0.25">
      <c r="A1584">
        <v>338027</v>
      </c>
      <c r="B1584" t="s">
        <v>4904</v>
      </c>
      <c r="C1584" t="s">
        <v>4905</v>
      </c>
      <c r="D1584" t="s">
        <v>6220</v>
      </c>
      <c r="E1584">
        <v>1.49</v>
      </c>
      <c r="F1584" t="s">
        <v>1722</v>
      </c>
      <c r="G1584" t="s">
        <v>2289</v>
      </c>
      <c r="H1584" t="s">
        <v>1723</v>
      </c>
      <c r="I1584" s="11">
        <v>46277</v>
      </c>
      <c r="J1584" s="12">
        <v>46266</v>
      </c>
      <c r="K1584" s="13">
        <f>INDEX(Assumptions!$B$4:$B$23,MATCH(F1584,Assumptions!$A$4:$A$23,0))</f>
        <v>1</v>
      </c>
      <c r="L1584" s="14">
        <f t="shared" si="48"/>
        <v>1.49</v>
      </c>
      <c r="M1584" t="str">
        <f t="shared" si="49"/>
        <v>No</v>
      </c>
    </row>
    <row r="1585" spans="1:13" x14ac:dyDescent="0.25">
      <c r="A1585">
        <v>338026</v>
      </c>
      <c r="B1585" t="s">
        <v>4907</v>
      </c>
      <c r="C1585" t="s">
        <v>4908</v>
      </c>
      <c r="D1585" t="s">
        <v>6220</v>
      </c>
      <c r="E1585">
        <v>6.99</v>
      </c>
      <c r="F1585" t="s">
        <v>1722</v>
      </c>
      <c r="G1585" t="s">
        <v>2289</v>
      </c>
      <c r="H1585" t="s">
        <v>1723</v>
      </c>
      <c r="I1585" s="11">
        <v>46277</v>
      </c>
      <c r="J1585" s="12">
        <v>46266</v>
      </c>
      <c r="K1585" s="13">
        <f>INDEX(Assumptions!$B$4:$B$23,MATCH(F1585,Assumptions!$A$4:$A$23,0))</f>
        <v>1</v>
      </c>
      <c r="L1585" s="14">
        <f t="shared" si="48"/>
        <v>6.99</v>
      </c>
      <c r="M1585" t="str">
        <f t="shared" si="49"/>
        <v>No</v>
      </c>
    </row>
    <row r="1586" spans="1:13" x14ac:dyDescent="0.25">
      <c r="A1586">
        <v>338025</v>
      </c>
      <c r="B1586" t="s">
        <v>4910</v>
      </c>
      <c r="C1586" t="s">
        <v>4911</v>
      </c>
      <c r="D1586" t="s">
        <v>6220</v>
      </c>
      <c r="E1586">
        <v>1.49</v>
      </c>
      <c r="F1586" t="s">
        <v>1722</v>
      </c>
      <c r="G1586" t="s">
        <v>2289</v>
      </c>
      <c r="H1586" t="s">
        <v>1723</v>
      </c>
      <c r="I1586" s="11">
        <v>46277</v>
      </c>
      <c r="J1586" s="12">
        <v>46266</v>
      </c>
      <c r="K1586" s="13">
        <f>INDEX(Assumptions!$B$4:$B$23,MATCH(F1586,Assumptions!$A$4:$A$23,0))</f>
        <v>1</v>
      </c>
      <c r="L1586" s="14">
        <f t="shared" si="48"/>
        <v>1.49</v>
      </c>
      <c r="M1586" t="str">
        <f t="shared" si="49"/>
        <v>No</v>
      </c>
    </row>
    <row r="1587" spans="1:13" x14ac:dyDescent="0.25">
      <c r="A1587">
        <v>338024</v>
      </c>
      <c r="B1587" t="s">
        <v>4913</v>
      </c>
      <c r="C1587" t="s">
        <v>4914</v>
      </c>
      <c r="D1587" t="s">
        <v>6220</v>
      </c>
      <c r="E1587">
        <v>25.87</v>
      </c>
      <c r="F1587" t="s">
        <v>50</v>
      </c>
      <c r="G1587" t="s">
        <v>4916</v>
      </c>
      <c r="H1587" t="s">
        <v>136</v>
      </c>
      <c r="I1587" s="11">
        <v>46296</v>
      </c>
      <c r="J1587" s="12">
        <v>46296</v>
      </c>
      <c r="K1587" s="13">
        <f>INDEX(Assumptions!$B$4:$B$23,MATCH(F1587,Assumptions!$A$4:$A$23,0))</f>
        <v>1.0869565217391299</v>
      </c>
      <c r="L1587" s="14">
        <f t="shared" si="48"/>
        <v>28.119565217391294</v>
      </c>
      <c r="M1587" t="str">
        <f t="shared" si="49"/>
        <v>No</v>
      </c>
    </row>
    <row r="1588" spans="1:13" x14ac:dyDescent="0.25">
      <c r="A1588">
        <v>338023</v>
      </c>
      <c r="B1588" t="s">
        <v>4918</v>
      </c>
      <c r="C1588" t="s">
        <v>4919</v>
      </c>
      <c r="D1588" t="s">
        <v>6220</v>
      </c>
      <c r="E1588">
        <v>3.75</v>
      </c>
      <c r="F1588" t="s">
        <v>50</v>
      </c>
      <c r="G1588" t="s">
        <v>4916</v>
      </c>
      <c r="H1588" t="s">
        <v>136</v>
      </c>
      <c r="I1588" s="11">
        <v>46296</v>
      </c>
      <c r="J1588" s="12">
        <v>46296</v>
      </c>
      <c r="K1588" s="13">
        <f>INDEX(Assumptions!$B$4:$B$23,MATCH(F1588,Assumptions!$A$4:$A$23,0))</f>
        <v>1.0869565217391299</v>
      </c>
      <c r="L1588" s="14">
        <f t="shared" si="48"/>
        <v>4.0760869565217375</v>
      </c>
      <c r="M1588" t="str">
        <f t="shared" si="49"/>
        <v>No</v>
      </c>
    </row>
    <row r="1589" spans="1:13" x14ac:dyDescent="0.25">
      <c r="A1589">
        <v>338022</v>
      </c>
      <c r="B1589" t="s">
        <v>4921</v>
      </c>
      <c r="C1589" t="s">
        <v>4922</v>
      </c>
      <c r="D1589" t="s">
        <v>6220</v>
      </c>
      <c r="E1589">
        <v>1.79</v>
      </c>
      <c r="F1589" t="s">
        <v>50</v>
      </c>
      <c r="G1589" t="s">
        <v>4916</v>
      </c>
      <c r="H1589" t="s">
        <v>136</v>
      </c>
      <c r="I1589" s="11">
        <v>46296</v>
      </c>
      <c r="J1589" s="12">
        <v>46296</v>
      </c>
      <c r="K1589" s="13">
        <f>INDEX(Assumptions!$B$4:$B$23,MATCH(F1589,Assumptions!$A$4:$A$23,0))</f>
        <v>1.0869565217391299</v>
      </c>
      <c r="L1589" s="14">
        <f t="shared" si="48"/>
        <v>1.9456521739130426</v>
      </c>
      <c r="M1589" t="str">
        <f t="shared" si="49"/>
        <v>No</v>
      </c>
    </row>
    <row r="1590" spans="1:13" x14ac:dyDescent="0.25">
      <c r="A1590">
        <v>338021</v>
      </c>
      <c r="B1590" t="s">
        <v>3454</v>
      </c>
      <c r="C1590" t="s">
        <v>4924</v>
      </c>
      <c r="D1590" t="s">
        <v>6220</v>
      </c>
      <c r="E1590">
        <v>1.1200000000000001</v>
      </c>
      <c r="F1590" t="s">
        <v>50</v>
      </c>
      <c r="G1590" t="s">
        <v>4916</v>
      </c>
      <c r="H1590" t="s">
        <v>136</v>
      </c>
      <c r="I1590" s="11">
        <v>46296</v>
      </c>
      <c r="J1590" s="12">
        <v>46296</v>
      </c>
      <c r="K1590" s="13">
        <f>INDEX(Assumptions!$B$4:$B$23,MATCH(F1590,Assumptions!$A$4:$A$23,0))</f>
        <v>1.0869565217391299</v>
      </c>
      <c r="L1590" s="14">
        <f t="shared" si="48"/>
        <v>1.2173913043478257</v>
      </c>
      <c r="M1590" t="str">
        <f t="shared" si="49"/>
        <v>No</v>
      </c>
    </row>
    <row r="1591" spans="1:13" x14ac:dyDescent="0.25">
      <c r="A1591">
        <v>338020</v>
      </c>
      <c r="B1591" t="s">
        <v>455</v>
      </c>
      <c r="C1591" t="s">
        <v>4927</v>
      </c>
      <c r="D1591" t="s">
        <v>6220</v>
      </c>
      <c r="E1591">
        <v>1.43</v>
      </c>
      <c r="F1591" t="s">
        <v>50</v>
      </c>
      <c r="G1591" t="s">
        <v>4916</v>
      </c>
      <c r="H1591" t="s">
        <v>136</v>
      </c>
      <c r="I1591" s="11">
        <v>46296</v>
      </c>
      <c r="J1591" s="12">
        <v>46296</v>
      </c>
      <c r="K1591" s="13">
        <f>INDEX(Assumptions!$B$4:$B$23,MATCH(F1591,Assumptions!$A$4:$A$23,0))</f>
        <v>1.0869565217391299</v>
      </c>
      <c r="L1591" s="14">
        <f t="shared" si="48"/>
        <v>1.5543478260869557</v>
      </c>
      <c r="M1591" t="str">
        <f t="shared" si="49"/>
        <v>No</v>
      </c>
    </row>
    <row r="1592" spans="1:13" x14ac:dyDescent="0.25">
      <c r="A1592">
        <v>338019</v>
      </c>
      <c r="B1592" t="s">
        <v>4929</v>
      </c>
      <c r="C1592" t="s">
        <v>4930</v>
      </c>
      <c r="D1592" t="s">
        <v>6220</v>
      </c>
      <c r="E1592">
        <v>1.29</v>
      </c>
      <c r="F1592" t="s">
        <v>50</v>
      </c>
      <c r="G1592" t="s">
        <v>4916</v>
      </c>
      <c r="H1592" t="s">
        <v>136</v>
      </c>
      <c r="I1592" s="11">
        <v>46296</v>
      </c>
      <c r="J1592" s="12">
        <v>46296</v>
      </c>
      <c r="K1592" s="13">
        <f>INDEX(Assumptions!$B$4:$B$23,MATCH(F1592,Assumptions!$A$4:$A$23,0))</f>
        <v>1.0869565217391299</v>
      </c>
      <c r="L1592" s="14">
        <f t="shared" si="48"/>
        <v>1.4021739130434776</v>
      </c>
      <c r="M1592" t="str">
        <f t="shared" si="49"/>
        <v>No</v>
      </c>
    </row>
    <row r="1593" spans="1:13" x14ac:dyDescent="0.25">
      <c r="A1593">
        <v>338018</v>
      </c>
      <c r="B1593" t="s">
        <v>4932</v>
      </c>
      <c r="C1593" t="s">
        <v>4933</v>
      </c>
      <c r="D1593" t="s">
        <v>6220</v>
      </c>
      <c r="E1593">
        <v>1.29</v>
      </c>
      <c r="F1593" t="s">
        <v>50</v>
      </c>
      <c r="G1593" t="s">
        <v>4916</v>
      </c>
      <c r="H1593" t="s">
        <v>136</v>
      </c>
      <c r="I1593" s="11">
        <v>46296</v>
      </c>
      <c r="J1593" s="12">
        <v>46296</v>
      </c>
      <c r="K1593" s="13">
        <f>INDEX(Assumptions!$B$4:$B$23,MATCH(F1593,Assumptions!$A$4:$A$23,0))</f>
        <v>1.0869565217391299</v>
      </c>
      <c r="L1593" s="14">
        <f t="shared" si="48"/>
        <v>1.4021739130434776</v>
      </c>
      <c r="M1593" t="str">
        <f t="shared" si="49"/>
        <v>No</v>
      </c>
    </row>
    <row r="1594" spans="1:13" x14ac:dyDescent="0.25">
      <c r="A1594">
        <v>338017</v>
      </c>
      <c r="B1594" t="s">
        <v>4935</v>
      </c>
      <c r="C1594" t="s">
        <v>4936</v>
      </c>
      <c r="D1594" t="s">
        <v>6220</v>
      </c>
      <c r="E1594">
        <v>13.42</v>
      </c>
      <c r="F1594" t="s">
        <v>50</v>
      </c>
      <c r="G1594" t="s">
        <v>4916</v>
      </c>
      <c r="H1594" t="s">
        <v>136</v>
      </c>
      <c r="I1594" s="11">
        <v>46296</v>
      </c>
      <c r="J1594" s="12">
        <v>46296</v>
      </c>
      <c r="K1594" s="13">
        <f>INDEX(Assumptions!$B$4:$B$23,MATCH(F1594,Assumptions!$A$4:$A$23,0))</f>
        <v>1.0869565217391299</v>
      </c>
      <c r="L1594" s="14">
        <f t="shared" si="48"/>
        <v>14.586956521739124</v>
      </c>
      <c r="M1594" t="str">
        <f t="shared" si="49"/>
        <v>No</v>
      </c>
    </row>
    <row r="1595" spans="1:13" x14ac:dyDescent="0.25">
      <c r="A1595">
        <v>338016</v>
      </c>
      <c r="B1595" t="s">
        <v>4939</v>
      </c>
      <c r="C1595" t="s">
        <v>4940</v>
      </c>
      <c r="D1595" t="s">
        <v>6220</v>
      </c>
      <c r="E1595">
        <v>3.04</v>
      </c>
      <c r="F1595" t="s">
        <v>50</v>
      </c>
      <c r="G1595" t="s">
        <v>4916</v>
      </c>
      <c r="H1595" t="s">
        <v>136</v>
      </c>
      <c r="I1595" s="11">
        <v>46296</v>
      </c>
      <c r="J1595" s="12">
        <v>46296</v>
      </c>
      <c r="K1595" s="13">
        <f>INDEX(Assumptions!$B$4:$B$23,MATCH(F1595,Assumptions!$A$4:$A$23,0))</f>
        <v>1.0869565217391299</v>
      </c>
      <c r="L1595" s="14">
        <f t="shared" si="48"/>
        <v>3.3043478260869552</v>
      </c>
      <c r="M1595" t="str">
        <f t="shared" si="49"/>
        <v>No</v>
      </c>
    </row>
    <row r="1596" spans="1:13" x14ac:dyDescent="0.25">
      <c r="A1596">
        <v>338015</v>
      </c>
      <c r="B1596" t="s">
        <v>4942</v>
      </c>
      <c r="C1596" t="s">
        <v>4943</v>
      </c>
      <c r="D1596" t="s">
        <v>6220</v>
      </c>
      <c r="E1596">
        <v>3.4</v>
      </c>
      <c r="F1596" t="s">
        <v>50</v>
      </c>
      <c r="G1596" t="s">
        <v>4916</v>
      </c>
      <c r="H1596" t="s">
        <v>136</v>
      </c>
      <c r="I1596" s="11">
        <v>46296</v>
      </c>
      <c r="J1596" s="12">
        <v>46296</v>
      </c>
      <c r="K1596" s="13">
        <f>INDEX(Assumptions!$B$4:$B$23,MATCH(F1596,Assumptions!$A$4:$A$23,0))</f>
        <v>1.0869565217391299</v>
      </c>
      <c r="L1596" s="14">
        <f t="shared" si="48"/>
        <v>3.6956521739130417</v>
      </c>
      <c r="M1596" t="str">
        <f t="shared" si="49"/>
        <v>No</v>
      </c>
    </row>
    <row r="1597" spans="1:13" x14ac:dyDescent="0.25">
      <c r="A1597">
        <v>338014</v>
      </c>
      <c r="B1597" t="s">
        <v>4945</v>
      </c>
      <c r="C1597" t="s">
        <v>4946</v>
      </c>
      <c r="D1597" t="s">
        <v>6220</v>
      </c>
      <c r="E1597">
        <v>2.17</v>
      </c>
      <c r="F1597" t="s">
        <v>50</v>
      </c>
      <c r="G1597" t="s">
        <v>4916</v>
      </c>
      <c r="H1597" t="s">
        <v>136</v>
      </c>
      <c r="I1597" s="11">
        <v>46296</v>
      </c>
      <c r="J1597" s="12">
        <v>46296</v>
      </c>
      <c r="K1597" s="13">
        <f>INDEX(Assumptions!$B$4:$B$23,MATCH(F1597,Assumptions!$A$4:$A$23,0))</f>
        <v>1.0869565217391299</v>
      </c>
      <c r="L1597" s="14">
        <f t="shared" si="48"/>
        <v>2.3586956521739117</v>
      </c>
      <c r="M1597" t="str">
        <f t="shared" si="49"/>
        <v>No</v>
      </c>
    </row>
    <row r="1598" spans="1:13" x14ac:dyDescent="0.25">
      <c r="A1598">
        <v>338013</v>
      </c>
      <c r="B1598" t="s">
        <v>4949</v>
      </c>
      <c r="C1598" t="s">
        <v>4950</v>
      </c>
      <c r="D1598" t="s">
        <v>6220</v>
      </c>
      <c r="E1598">
        <v>1.99</v>
      </c>
      <c r="F1598" t="s">
        <v>50</v>
      </c>
      <c r="G1598" t="s">
        <v>4916</v>
      </c>
      <c r="H1598" t="s">
        <v>136</v>
      </c>
      <c r="I1598" s="11">
        <v>46296</v>
      </c>
      <c r="J1598" s="12">
        <v>46296</v>
      </c>
      <c r="K1598" s="13">
        <f>INDEX(Assumptions!$B$4:$B$23,MATCH(F1598,Assumptions!$A$4:$A$23,0))</f>
        <v>1.0869565217391299</v>
      </c>
      <c r="L1598" s="14">
        <f t="shared" si="48"/>
        <v>2.1630434782608687</v>
      </c>
      <c r="M1598" t="str">
        <f t="shared" si="49"/>
        <v>No</v>
      </c>
    </row>
    <row r="1599" spans="1:13" x14ac:dyDescent="0.25">
      <c r="A1599">
        <v>338012</v>
      </c>
      <c r="B1599" t="s">
        <v>4952</v>
      </c>
      <c r="C1599" t="s">
        <v>4953</v>
      </c>
      <c r="D1599" t="s">
        <v>6220</v>
      </c>
      <c r="E1599">
        <v>2.06</v>
      </c>
      <c r="F1599" t="s">
        <v>50</v>
      </c>
      <c r="G1599" t="s">
        <v>4916</v>
      </c>
      <c r="H1599" t="s">
        <v>136</v>
      </c>
      <c r="I1599" s="11">
        <v>46296</v>
      </c>
      <c r="J1599" s="12">
        <v>46296</v>
      </c>
      <c r="K1599" s="13">
        <f>INDEX(Assumptions!$B$4:$B$23,MATCH(F1599,Assumptions!$A$4:$A$23,0))</f>
        <v>1.0869565217391299</v>
      </c>
      <c r="L1599" s="14">
        <f t="shared" si="48"/>
        <v>2.2391304347826075</v>
      </c>
      <c r="M1599" t="str">
        <f t="shared" si="49"/>
        <v>No</v>
      </c>
    </row>
    <row r="1600" spans="1:13" x14ac:dyDescent="0.25">
      <c r="A1600">
        <v>338011</v>
      </c>
      <c r="B1600" t="s">
        <v>4955</v>
      </c>
      <c r="C1600" t="s">
        <v>4956</v>
      </c>
      <c r="D1600" t="s">
        <v>6220</v>
      </c>
      <c r="E1600">
        <v>9.0399999999999991</v>
      </c>
      <c r="F1600" t="s">
        <v>50</v>
      </c>
      <c r="G1600" t="s">
        <v>4916</v>
      </c>
      <c r="H1600" t="s">
        <v>136</v>
      </c>
      <c r="I1600" s="11">
        <v>46296</v>
      </c>
      <c r="J1600" s="12">
        <v>46296</v>
      </c>
      <c r="K1600" s="13">
        <f>INDEX(Assumptions!$B$4:$B$23,MATCH(F1600,Assumptions!$A$4:$A$23,0))</f>
        <v>1.0869565217391299</v>
      </c>
      <c r="L1600" s="14">
        <f t="shared" si="48"/>
        <v>9.826086956521733</v>
      </c>
      <c r="M1600" t="str">
        <f t="shared" si="49"/>
        <v>No</v>
      </c>
    </row>
    <row r="1601" spans="1:13" x14ac:dyDescent="0.25">
      <c r="A1601">
        <v>338010</v>
      </c>
      <c r="B1601" t="s">
        <v>4959</v>
      </c>
      <c r="C1601" t="s">
        <v>4960</v>
      </c>
      <c r="D1601" t="s">
        <v>6220</v>
      </c>
      <c r="E1601">
        <v>4.7699999999999996</v>
      </c>
      <c r="F1601" t="s">
        <v>50</v>
      </c>
      <c r="G1601" t="s">
        <v>4916</v>
      </c>
      <c r="H1601" t="s">
        <v>136</v>
      </c>
      <c r="I1601" s="11">
        <v>46296</v>
      </c>
      <c r="J1601" s="12">
        <v>46296</v>
      </c>
      <c r="K1601" s="13">
        <f>INDEX(Assumptions!$B$4:$B$23,MATCH(F1601,Assumptions!$A$4:$A$23,0))</f>
        <v>1.0869565217391299</v>
      </c>
      <c r="L1601" s="14">
        <f t="shared" si="48"/>
        <v>5.1847826086956497</v>
      </c>
      <c r="M1601" t="str">
        <f t="shared" si="49"/>
        <v>No</v>
      </c>
    </row>
    <row r="1602" spans="1:13" x14ac:dyDescent="0.25">
      <c r="A1602">
        <v>338009</v>
      </c>
      <c r="B1602" t="s">
        <v>4963</v>
      </c>
      <c r="C1602" t="s">
        <v>4964</v>
      </c>
      <c r="D1602" t="s">
        <v>6220</v>
      </c>
      <c r="E1602">
        <v>5.97</v>
      </c>
      <c r="F1602" t="s">
        <v>50</v>
      </c>
      <c r="G1602" t="s">
        <v>4916</v>
      </c>
      <c r="H1602" t="s">
        <v>136</v>
      </c>
      <c r="I1602" s="11">
        <v>46296</v>
      </c>
      <c r="J1602" s="12">
        <v>46296</v>
      </c>
      <c r="K1602" s="13">
        <f>INDEX(Assumptions!$B$4:$B$23,MATCH(F1602,Assumptions!$A$4:$A$23,0))</f>
        <v>1.0869565217391299</v>
      </c>
      <c r="L1602" s="14">
        <f t="shared" ref="L1602:L1665" si="50">E1602*K1602</f>
        <v>6.4891304347826058</v>
      </c>
      <c r="M1602" t="str">
        <f t="shared" ref="M1602:M1665" si="51">IF(C1602="Unnamed product","Yes","No")</f>
        <v>No</v>
      </c>
    </row>
    <row r="1603" spans="1:13" x14ac:dyDescent="0.25">
      <c r="A1603">
        <v>338008</v>
      </c>
      <c r="B1603" t="s">
        <v>4967</v>
      </c>
      <c r="C1603" t="s">
        <v>4968</v>
      </c>
      <c r="D1603" t="s">
        <v>6220</v>
      </c>
      <c r="E1603">
        <v>5.15</v>
      </c>
      <c r="F1603" t="s">
        <v>50</v>
      </c>
      <c r="G1603" t="s">
        <v>4916</v>
      </c>
      <c r="H1603" t="s">
        <v>136</v>
      </c>
      <c r="I1603" s="11">
        <v>46296</v>
      </c>
      <c r="J1603" s="12">
        <v>46296</v>
      </c>
      <c r="K1603" s="13">
        <f>INDEX(Assumptions!$B$4:$B$23,MATCH(F1603,Assumptions!$A$4:$A$23,0))</f>
        <v>1.0869565217391299</v>
      </c>
      <c r="L1603" s="14">
        <f t="shared" si="50"/>
        <v>5.5978260869565197</v>
      </c>
      <c r="M1603" t="str">
        <f t="shared" si="51"/>
        <v>No</v>
      </c>
    </row>
    <row r="1604" spans="1:13" x14ac:dyDescent="0.25">
      <c r="A1604">
        <v>338007</v>
      </c>
      <c r="B1604" t="s">
        <v>4970</v>
      </c>
      <c r="C1604" t="s">
        <v>4971</v>
      </c>
      <c r="D1604" t="s">
        <v>6220</v>
      </c>
      <c r="E1604">
        <v>2.83</v>
      </c>
      <c r="F1604" t="s">
        <v>50</v>
      </c>
      <c r="G1604" t="s">
        <v>4916</v>
      </c>
      <c r="H1604" t="s">
        <v>136</v>
      </c>
      <c r="I1604" s="11">
        <v>46296</v>
      </c>
      <c r="J1604" s="12">
        <v>46296</v>
      </c>
      <c r="K1604" s="13">
        <f>INDEX(Assumptions!$B$4:$B$23,MATCH(F1604,Assumptions!$A$4:$A$23,0))</f>
        <v>1.0869565217391299</v>
      </c>
      <c r="L1604" s="14">
        <f t="shared" si="50"/>
        <v>3.0760869565217379</v>
      </c>
      <c r="M1604" t="str">
        <f t="shared" si="51"/>
        <v>No</v>
      </c>
    </row>
    <row r="1605" spans="1:13" x14ac:dyDescent="0.25">
      <c r="A1605">
        <v>338006</v>
      </c>
      <c r="B1605" t="s">
        <v>4974</v>
      </c>
      <c r="C1605" t="s">
        <v>4975</v>
      </c>
      <c r="D1605" t="s">
        <v>6220</v>
      </c>
      <c r="E1605">
        <v>0.77</v>
      </c>
      <c r="F1605" t="s">
        <v>50</v>
      </c>
      <c r="G1605" t="s">
        <v>4916</v>
      </c>
      <c r="H1605" t="s">
        <v>136</v>
      </c>
      <c r="I1605" s="11">
        <v>46296</v>
      </c>
      <c r="J1605" s="12">
        <v>46296</v>
      </c>
      <c r="K1605" s="13">
        <f>INDEX(Assumptions!$B$4:$B$23,MATCH(F1605,Assumptions!$A$4:$A$23,0))</f>
        <v>1.0869565217391299</v>
      </c>
      <c r="L1605" s="14">
        <f t="shared" si="50"/>
        <v>0.83695652173913004</v>
      </c>
      <c r="M1605" t="str">
        <f t="shared" si="51"/>
        <v>No</v>
      </c>
    </row>
    <row r="1606" spans="1:13" x14ac:dyDescent="0.25">
      <c r="A1606">
        <v>338005</v>
      </c>
      <c r="B1606" t="s">
        <v>4978</v>
      </c>
      <c r="C1606" t="s">
        <v>4979</v>
      </c>
      <c r="D1606" t="s">
        <v>6220</v>
      </c>
      <c r="E1606">
        <v>1.59</v>
      </c>
      <c r="F1606" t="s">
        <v>50</v>
      </c>
      <c r="G1606" t="s">
        <v>4916</v>
      </c>
      <c r="H1606" t="s">
        <v>136</v>
      </c>
      <c r="I1606" s="11">
        <v>46296</v>
      </c>
      <c r="J1606" s="12">
        <v>46296</v>
      </c>
      <c r="K1606" s="13">
        <f>INDEX(Assumptions!$B$4:$B$23,MATCH(F1606,Assumptions!$A$4:$A$23,0))</f>
        <v>1.0869565217391299</v>
      </c>
      <c r="L1606" s="14">
        <f t="shared" si="50"/>
        <v>1.7282608695652166</v>
      </c>
      <c r="M1606" t="str">
        <f t="shared" si="51"/>
        <v>No</v>
      </c>
    </row>
    <row r="1607" spans="1:13" x14ac:dyDescent="0.25">
      <c r="A1607">
        <v>338004</v>
      </c>
      <c r="B1607" t="s">
        <v>4981</v>
      </c>
      <c r="C1607" t="s">
        <v>4982</v>
      </c>
      <c r="D1607" t="s">
        <v>6220</v>
      </c>
      <c r="E1607">
        <v>2.82</v>
      </c>
      <c r="F1607" t="s">
        <v>50</v>
      </c>
      <c r="G1607" t="s">
        <v>4916</v>
      </c>
      <c r="H1607" t="s">
        <v>136</v>
      </c>
      <c r="I1607" s="11">
        <v>46296</v>
      </c>
      <c r="J1607" s="12">
        <v>46296</v>
      </c>
      <c r="K1607" s="13">
        <f>INDEX(Assumptions!$B$4:$B$23,MATCH(F1607,Assumptions!$A$4:$A$23,0))</f>
        <v>1.0869565217391299</v>
      </c>
      <c r="L1607" s="14">
        <f t="shared" si="50"/>
        <v>3.0652173913043463</v>
      </c>
      <c r="M1607" t="str">
        <f t="shared" si="51"/>
        <v>No</v>
      </c>
    </row>
    <row r="1608" spans="1:13" x14ac:dyDescent="0.25">
      <c r="A1608">
        <v>338003</v>
      </c>
      <c r="B1608" t="s">
        <v>4985</v>
      </c>
      <c r="C1608" t="s">
        <v>4986</v>
      </c>
      <c r="D1608" t="s">
        <v>6220</v>
      </c>
      <c r="E1608">
        <v>1.69</v>
      </c>
      <c r="F1608" t="s">
        <v>50</v>
      </c>
      <c r="G1608" t="s">
        <v>4916</v>
      </c>
      <c r="H1608" t="s">
        <v>136</v>
      </c>
      <c r="I1608" s="11">
        <v>46296</v>
      </c>
      <c r="J1608" s="12">
        <v>46296</v>
      </c>
      <c r="K1608" s="13">
        <f>INDEX(Assumptions!$B$4:$B$23,MATCH(F1608,Assumptions!$A$4:$A$23,0))</f>
        <v>1.0869565217391299</v>
      </c>
      <c r="L1608" s="14">
        <f t="shared" si="50"/>
        <v>1.8369565217391295</v>
      </c>
      <c r="M1608" t="str">
        <f t="shared" si="51"/>
        <v>No</v>
      </c>
    </row>
    <row r="1609" spans="1:13" x14ac:dyDescent="0.25">
      <c r="A1609">
        <v>338002</v>
      </c>
      <c r="B1609" t="s">
        <v>4988</v>
      </c>
      <c r="C1609" t="s">
        <v>4989</v>
      </c>
      <c r="D1609" t="s">
        <v>6220</v>
      </c>
      <c r="E1609">
        <v>2.25</v>
      </c>
      <c r="F1609" t="s">
        <v>50</v>
      </c>
      <c r="G1609" t="s">
        <v>4916</v>
      </c>
      <c r="H1609" t="s">
        <v>136</v>
      </c>
      <c r="I1609" s="11">
        <v>46296</v>
      </c>
      <c r="J1609" s="12">
        <v>46296</v>
      </c>
      <c r="K1609" s="13">
        <f>INDEX(Assumptions!$B$4:$B$23,MATCH(F1609,Assumptions!$A$4:$A$23,0))</f>
        <v>1.0869565217391299</v>
      </c>
      <c r="L1609" s="14">
        <f t="shared" si="50"/>
        <v>2.4456521739130421</v>
      </c>
      <c r="M1609" t="str">
        <f t="shared" si="51"/>
        <v>No</v>
      </c>
    </row>
    <row r="1610" spans="1:13" x14ac:dyDescent="0.25">
      <c r="A1610">
        <v>338001</v>
      </c>
      <c r="B1610" t="s">
        <v>4991</v>
      </c>
      <c r="C1610" t="s">
        <v>4992</v>
      </c>
      <c r="D1610" t="s">
        <v>6220</v>
      </c>
      <c r="E1610">
        <v>1.2</v>
      </c>
      <c r="F1610" t="s">
        <v>50</v>
      </c>
      <c r="G1610" t="s">
        <v>4916</v>
      </c>
      <c r="H1610" t="s">
        <v>136</v>
      </c>
      <c r="I1610" s="11">
        <v>46296</v>
      </c>
      <c r="J1610" s="12">
        <v>46296</v>
      </c>
      <c r="K1610" s="13">
        <f>INDEX(Assumptions!$B$4:$B$23,MATCH(F1610,Assumptions!$A$4:$A$23,0))</f>
        <v>1.0869565217391299</v>
      </c>
      <c r="L1610" s="14">
        <f t="shared" si="50"/>
        <v>1.3043478260869559</v>
      </c>
      <c r="M1610" t="str">
        <f t="shared" si="51"/>
        <v>No</v>
      </c>
    </row>
    <row r="1611" spans="1:13" x14ac:dyDescent="0.25">
      <c r="A1611">
        <v>338000</v>
      </c>
      <c r="B1611" t="s">
        <v>4994</v>
      </c>
      <c r="C1611" t="s">
        <v>4995</v>
      </c>
      <c r="D1611" t="s">
        <v>6220</v>
      </c>
      <c r="E1611">
        <v>0.92</v>
      </c>
      <c r="F1611" t="s">
        <v>50</v>
      </c>
      <c r="G1611" t="s">
        <v>4916</v>
      </c>
      <c r="H1611" t="s">
        <v>136</v>
      </c>
      <c r="I1611" s="11">
        <v>46296</v>
      </c>
      <c r="J1611" s="12">
        <v>46296</v>
      </c>
      <c r="K1611" s="13">
        <f>INDEX(Assumptions!$B$4:$B$23,MATCH(F1611,Assumptions!$A$4:$A$23,0))</f>
        <v>1.0869565217391299</v>
      </c>
      <c r="L1611" s="14">
        <f t="shared" si="50"/>
        <v>0.99999999999999956</v>
      </c>
      <c r="M1611" t="str">
        <f t="shared" si="51"/>
        <v>No</v>
      </c>
    </row>
    <row r="1612" spans="1:13" x14ac:dyDescent="0.25">
      <c r="A1612">
        <v>337999</v>
      </c>
      <c r="B1612" t="s">
        <v>4997</v>
      </c>
      <c r="C1612" t="s">
        <v>4998</v>
      </c>
      <c r="D1612" t="s">
        <v>6220</v>
      </c>
      <c r="E1612">
        <v>2.06</v>
      </c>
      <c r="F1612" t="s">
        <v>50</v>
      </c>
      <c r="G1612" t="s">
        <v>4916</v>
      </c>
      <c r="H1612" t="s">
        <v>136</v>
      </c>
      <c r="I1612" s="11">
        <v>46296</v>
      </c>
      <c r="J1612" s="12">
        <v>46296</v>
      </c>
      <c r="K1612" s="13">
        <f>INDEX(Assumptions!$B$4:$B$23,MATCH(F1612,Assumptions!$A$4:$A$23,0))</f>
        <v>1.0869565217391299</v>
      </c>
      <c r="L1612" s="14">
        <f t="shared" si="50"/>
        <v>2.2391304347826075</v>
      </c>
      <c r="M1612" t="str">
        <f t="shared" si="51"/>
        <v>No</v>
      </c>
    </row>
    <row r="1613" spans="1:13" x14ac:dyDescent="0.25">
      <c r="A1613">
        <v>337998</v>
      </c>
      <c r="B1613" t="s">
        <v>5000</v>
      </c>
      <c r="C1613" t="s">
        <v>5001</v>
      </c>
      <c r="D1613" t="s">
        <v>6220</v>
      </c>
      <c r="E1613">
        <v>1.58</v>
      </c>
      <c r="F1613" t="s">
        <v>50</v>
      </c>
      <c r="G1613" t="s">
        <v>4916</v>
      </c>
      <c r="H1613" t="s">
        <v>136</v>
      </c>
      <c r="I1613" s="11">
        <v>46296</v>
      </c>
      <c r="J1613" s="12">
        <v>46296</v>
      </c>
      <c r="K1613" s="13">
        <f>INDEX(Assumptions!$B$4:$B$23,MATCH(F1613,Assumptions!$A$4:$A$23,0))</f>
        <v>1.0869565217391299</v>
      </c>
      <c r="L1613" s="14">
        <f t="shared" si="50"/>
        <v>1.7173913043478253</v>
      </c>
      <c r="M1613" t="str">
        <f t="shared" si="51"/>
        <v>No</v>
      </c>
    </row>
    <row r="1614" spans="1:13" x14ac:dyDescent="0.25">
      <c r="A1614">
        <v>337997</v>
      </c>
      <c r="B1614" t="s">
        <v>776</v>
      </c>
      <c r="C1614" t="s">
        <v>5003</v>
      </c>
      <c r="D1614" t="s">
        <v>6220</v>
      </c>
      <c r="E1614">
        <v>1.99</v>
      </c>
      <c r="F1614" t="s">
        <v>50</v>
      </c>
      <c r="G1614" t="s">
        <v>4916</v>
      </c>
      <c r="H1614" t="s">
        <v>136</v>
      </c>
      <c r="I1614" s="11">
        <v>46296</v>
      </c>
      <c r="J1614" s="12">
        <v>46296</v>
      </c>
      <c r="K1614" s="13">
        <f>INDEX(Assumptions!$B$4:$B$23,MATCH(F1614,Assumptions!$A$4:$A$23,0))</f>
        <v>1.0869565217391299</v>
      </c>
      <c r="L1614" s="14">
        <f t="shared" si="50"/>
        <v>2.1630434782608687</v>
      </c>
      <c r="M1614" t="str">
        <f t="shared" si="51"/>
        <v>No</v>
      </c>
    </row>
    <row r="1615" spans="1:13" x14ac:dyDescent="0.25">
      <c r="A1615">
        <v>337996</v>
      </c>
      <c r="B1615" t="s">
        <v>5005</v>
      </c>
      <c r="C1615" t="s">
        <v>5006</v>
      </c>
      <c r="D1615" t="s">
        <v>6220</v>
      </c>
      <c r="E1615">
        <v>1.81</v>
      </c>
      <c r="F1615" t="s">
        <v>50</v>
      </c>
      <c r="G1615" t="s">
        <v>4916</v>
      </c>
      <c r="H1615" t="s">
        <v>136</v>
      </c>
      <c r="I1615" s="11">
        <v>46296</v>
      </c>
      <c r="J1615" s="12">
        <v>46296</v>
      </c>
      <c r="K1615" s="13">
        <f>INDEX(Assumptions!$B$4:$B$23,MATCH(F1615,Assumptions!$A$4:$A$23,0))</f>
        <v>1.0869565217391299</v>
      </c>
      <c r="L1615" s="14">
        <f t="shared" si="50"/>
        <v>1.9673913043478253</v>
      </c>
      <c r="M1615" t="str">
        <f t="shared" si="51"/>
        <v>No</v>
      </c>
    </row>
    <row r="1616" spans="1:13" x14ac:dyDescent="0.25">
      <c r="A1616">
        <v>337995</v>
      </c>
      <c r="B1616" t="s">
        <v>5008</v>
      </c>
      <c r="C1616" t="s">
        <v>5009</v>
      </c>
      <c r="D1616" t="s">
        <v>6220</v>
      </c>
      <c r="E1616">
        <v>1.29</v>
      </c>
      <c r="F1616" t="s">
        <v>50</v>
      </c>
      <c r="G1616" t="s">
        <v>4916</v>
      </c>
      <c r="H1616" t="s">
        <v>136</v>
      </c>
      <c r="I1616" s="11">
        <v>46296</v>
      </c>
      <c r="J1616" s="12">
        <v>46296</v>
      </c>
      <c r="K1616" s="13">
        <f>INDEX(Assumptions!$B$4:$B$23,MATCH(F1616,Assumptions!$A$4:$A$23,0))</f>
        <v>1.0869565217391299</v>
      </c>
      <c r="L1616" s="14">
        <f t="shared" si="50"/>
        <v>1.4021739130434776</v>
      </c>
      <c r="M1616" t="str">
        <f t="shared" si="51"/>
        <v>No</v>
      </c>
    </row>
    <row r="1617" spans="1:13" x14ac:dyDescent="0.25">
      <c r="A1617">
        <v>337994</v>
      </c>
      <c r="B1617" t="s">
        <v>5011</v>
      </c>
      <c r="C1617" t="s">
        <v>5012</v>
      </c>
      <c r="D1617" t="s">
        <v>6220</v>
      </c>
      <c r="E1617">
        <v>16.7</v>
      </c>
      <c r="F1617" t="s">
        <v>50</v>
      </c>
      <c r="G1617" t="s">
        <v>4916</v>
      </c>
      <c r="H1617" t="s">
        <v>136</v>
      </c>
      <c r="I1617" s="11">
        <v>46296</v>
      </c>
      <c r="J1617" s="12">
        <v>46296</v>
      </c>
      <c r="K1617" s="13">
        <f>INDEX(Assumptions!$B$4:$B$23,MATCH(F1617,Assumptions!$A$4:$A$23,0))</f>
        <v>1.0869565217391299</v>
      </c>
      <c r="L1617" s="14">
        <f t="shared" si="50"/>
        <v>18.15217391304347</v>
      </c>
      <c r="M1617" t="str">
        <f t="shared" si="51"/>
        <v>No</v>
      </c>
    </row>
    <row r="1618" spans="1:13" x14ac:dyDescent="0.25">
      <c r="A1618">
        <v>337993</v>
      </c>
      <c r="B1618" t="s">
        <v>5015</v>
      </c>
      <c r="C1618" t="s">
        <v>5016</v>
      </c>
      <c r="D1618" t="s">
        <v>6220</v>
      </c>
      <c r="E1618">
        <v>16.59</v>
      </c>
      <c r="F1618" t="s">
        <v>50</v>
      </c>
      <c r="G1618" t="s">
        <v>4916</v>
      </c>
      <c r="H1618" t="s">
        <v>136</v>
      </c>
      <c r="I1618" s="11">
        <v>46296</v>
      </c>
      <c r="J1618" s="12">
        <v>46296</v>
      </c>
      <c r="K1618" s="13">
        <f>INDEX(Assumptions!$B$4:$B$23,MATCH(F1618,Assumptions!$A$4:$A$23,0))</f>
        <v>1.0869565217391299</v>
      </c>
      <c r="L1618" s="14">
        <f t="shared" si="50"/>
        <v>18.032608695652165</v>
      </c>
      <c r="M1618" t="str">
        <f t="shared" si="51"/>
        <v>No</v>
      </c>
    </row>
    <row r="1619" spans="1:13" x14ac:dyDescent="0.25">
      <c r="A1619">
        <v>337992</v>
      </c>
      <c r="B1619" t="s">
        <v>5019</v>
      </c>
      <c r="C1619" t="s">
        <v>5020</v>
      </c>
      <c r="D1619" t="s">
        <v>6220</v>
      </c>
      <c r="E1619">
        <v>4.6100000000000003</v>
      </c>
      <c r="F1619" t="s">
        <v>50</v>
      </c>
      <c r="G1619" t="s">
        <v>4916</v>
      </c>
      <c r="H1619" t="s">
        <v>136</v>
      </c>
      <c r="I1619" s="11">
        <v>46296</v>
      </c>
      <c r="J1619" s="12">
        <v>46296</v>
      </c>
      <c r="K1619" s="13">
        <f>INDEX(Assumptions!$B$4:$B$23,MATCH(F1619,Assumptions!$A$4:$A$23,0))</f>
        <v>1.0869565217391299</v>
      </c>
      <c r="L1619" s="14">
        <f t="shared" si="50"/>
        <v>5.0108695652173889</v>
      </c>
      <c r="M1619" t="str">
        <f t="shared" si="51"/>
        <v>No</v>
      </c>
    </row>
    <row r="1620" spans="1:13" x14ac:dyDescent="0.25">
      <c r="A1620">
        <v>337991</v>
      </c>
      <c r="B1620" t="s">
        <v>5022</v>
      </c>
      <c r="C1620" t="s">
        <v>5023</v>
      </c>
      <c r="D1620" t="s">
        <v>6220</v>
      </c>
      <c r="E1620">
        <v>6.48</v>
      </c>
      <c r="F1620" t="s">
        <v>50</v>
      </c>
      <c r="G1620" t="s">
        <v>4916</v>
      </c>
      <c r="H1620" t="s">
        <v>136</v>
      </c>
      <c r="I1620" s="11">
        <v>46296</v>
      </c>
      <c r="J1620" s="12">
        <v>46296</v>
      </c>
      <c r="K1620" s="13">
        <f>INDEX(Assumptions!$B$4:$B$23,MATCH(F1620,Assumptions!$A$4:$A$23,0))</f>
        <v>1.0869565217391299</v>
      </c>
      <c r="L1620" s="14">
        <f t="shared" si="50"/>
        <v>7.0434782608695627</v>
      </c>
      <c r="M1620" t="str">
        <f t="shared" si="51"/>
        <v>No</v>
      </c>
    </row>
    <row r="1621" spans="1:13" x14ac:dyDescent="0.25">
      <c r="A1621">
        <v>337990</v>
      </c>
      <c r="B1621" t="s">
        <v>5026</v>
      </c>
      <c r="C1621" t="s">
        <v>5027</v>
      </c>
      <c r="D1621" t="s">
        <v>6220</v>
      </c>
      <c r="E1621">
        <v>9.19</v>
      </c>
      <c r="F1621" t="s">
        <v>50</v>
      </c>
      <c r="G1621" t="s">
        <v>4916</v>
      </c>
      <c r="H1621" t="s">
        <v>136</v>
      </c>
      <c r="I1621" s="11">
        <v>46296</v>
      </c>
      <c r="J1621" s="12">
        <v>46296</v>
      </c>
      <c r="K1621" s="13">
        <f>INDEX(Assumptions!$B$4:$B$23,MATCH(F1621,Assumptions!$A$4:$A$23,0))</f>
        <v>1.0869565217391299</v>
      </c>
      <c r="L1621" s="14">
        <f t="shared" si="50"/>
        <v>9.989130434782604</v>
      </c>
      <c r="M1621" t="str">
        <f t="shared" si="51"/>
        <v>No</v>
      </c>
    </row>
    <row r="1622" spans="1:13" x14ac:dyDescent="0.25">
      <c r="A1622">
        <v>337989</v>
      </c>
      <c r="B1622" t="s">
        <v>5029</v>
      </c>
      <c r="C1622" t="s">
        <v>5030</v>
      </c>
      <c r="D1622" t="s">
        <v>6220</v>
      </c>
      <c r="E1622">
        <v>10.6</v>
      </c>
      <c r="F1622" t="s">
        <v>50</v>
      </c>
      <c r="G1622" t="s">
        <v>4916</v>
      </c>
      <c r="H1622" t="s">
        <v>136</v>
      </c>
      <c r="I1622" s="11">
        <v>46296</v>
      </c>
      <c r="J1622" s="12">
        <v>46296</v>
      </c>
      <c r="K1622" s="13">
        <f>INDEX(Assumptions!$B$4:$B$23,MATCH(F1622,Assumptions!$A$4:$A$23,0))</f>
        <v>1.0869565217391299</v>
      </c>
      <c r="L1622" s="14">
        <f t="shared" si="50"/>
        <v>11.521739130434776</v>
      </c>
      <c r="M1622" t="str">
        <f t="shared" si="51"/>
        <v>No</v>
      </c>
    </row>
    <row r="1623" spans="1:13" x14ac:dyDescent="0.25">
      <c r="A1623">
        <v>337988</v>
      </c>
      <c r="B1623" t="s">
        <v>5033</v>
      </c>
      <c r="C1623" t="s">
        <v>5034</v>
      </c>
      <c r="D1623" t="s">
        <v>6220</v>
      </c>
      <c r="E1623">
        <v>11.17</v>
      </c>
      <c r="F1623" t="s">
        <v>50</v>
      </c>
      <c r="G1623" t="s">
        <v>4916</v>
      </c>
      <c r="H1623" t="s">
        <v>136</v>
      </c>
      <c r="I1623" s="11">
        <v>46296</v>
      </c>
      <c r="J1623" s="12">
        <v>46296</v>
      </c>
      <c r="K1623" s="13">
        <f>INDEX(Assumptions!$B$4:$B$23,MATCH(F1623,Assumptions!$A$4:$A$23,0))</f>
        <v>1.0869565217391299</v>
      </c>
      <c r="L1623" s="14">
        <f t="shared" si="50"/>
        <v>12.141304347826081</v>
      </c>
      <c r="M1623" t="str">
        <f t="shared" si="51"/>
        <v>No</v>
      </c>
    </row>
    <row r="1624" spans="1:13" x14ac:dyDescent="0.25">
      <c r="A1624">
        <v>337987</v>
      </c>
      <c r="B1624" t="s">
        <v>5037</v>
      </c>
      <c r="C1624" t="s">
        <v>5038</v>
      </c>
      <c r="D1624" t="s">
        <v>6220</v>
      </c>
      <c r="E1624">
        <v>4.6100000000000003</v>
      </c>
      <c r="F1624" t="s">
        <v>50</v>
      </c>
      <c r="G1624" t="s">
        <v>4916</v>
      </c>
      <c r="H1624" t="s">
        <v>136</v>
      </c>
      <c r="I1624" s="11">
        <v>46296</v>
      </c>
      <c r="J1624" s="12">
        <v>46296</v>
      </c>
      <c r="K1624" s="13">
        <f>INDEX(Assumptions!$B$4:$B$23,MATCH(F1624,Assumptions!$A$4:$A$23,0))</f>
        <v>1.0869565217391299</v>
      </c>
      <c r="L1624" s="14">
        <f t="shared" si="50"/>
        <v>5.0108695652173889</v>
      </c>
      <c r="M1624" t="str">
        <f t="shared" si="51"/>
        <v>No</v>
      </c>
    </row>
    <row r="1625" spans="1:13" x14ac:dyDescent="0.25">
      <c r="A1625">
        <v>337986</v>
      </c>
      <c r="B1625" t="s">
        <v>5040</v>
      </c>
      <c r="C1625" t="s">
        <v>5041</v>
      </c>
      <c r="D1625" t="s">
        <v>6220</v>
      </c>
      <c r="E1625">
        <v>3.14</v>
      </c>
      <c r="F1625" t="s">
        <v>50</v>
      </c>
      <c r="G1625" t="s">
        <v>4916</v>
      </c>
      <c r="H1625" t="s">
        <v>136</v>
      </c>
      <c r="I1625" s="11">
        <v>46296</v>
      </c>
      <c r="J1625" s="12">
        <v>46296</v>
      </c>
      <c r="K1625" s="13">
        <f>INDEX(Assumptions!$B$4:$B$23,MATCH(F1625,Assumptions!$A$4:$A$23,0))</f>
        <v>1.0869565217391299</v>
      </c>
      <c r="L1625" s="14">
        <f t="shared" si="50"/>
        <v>3.4130434782608683</v>
      </c>
      <c r="M1625" t="str">
        <f t="shared" si="51"/>
        <v>No</v>
      </c>
    </row>
    <row r="1626" spans="1:13" x14ac:dyDescent="0.25">
      <c r="A1626">
        <v>337985</v>
      </c>
      <c r="B1626" t="s">
        <v>5044</v>
      </c>
      <c r="C1626" t="s">
        <v>5045</v>
      </c>
      <c r="D1626" t="s">
        <v>6220</v>
      </c>
      <c r="E1626">
        <v>2.35</v>
      </c>
      <c r="F1626" t="s">
        <v>50</v>
      </c>
      <c r="G1626" t="s">
        <v>4916</v>
      </c>
      <c r="H1626" t="s">
        <v>136</v>
      </c>
      <c r="I1626" s="11">
        <v>46296</v>
      </c>
      <c r="J1626" s="12">
        <v>46296</v>
      </c>
      <c r="K1626" s="13">
        <f>INDEX(Assumptions!$B$4:$B$23,MATCH(F1626,Assumptions!$A$4:$A$23,0))</f>
        <v>1.0869565217391299</v>
      </c>
      <c r="L1626" s="14">
        <f t="shared" si="50"/>
        <v>2.5543478260869557</v>
      </c>
      <c r="M1626" t="str">
        <f t="shared" si="51"/>
        <v>No</v>
      </c>
    </row>
    <row r="1627" spans="1:13" x14ac:dyDescent="0.25">
      <c r="A1627">
        <v>337984</v>
      </c>
      <c r="B1627" t="s">
        <v>5047</v>
      </c>
      <c r="C1627" t="s">
        <v>5048</v>
      </c>
      <c r="D1627" t="s">
        <v>6220</v>
      </c>
      <c r="E1627">
        <v>2.42</v>
      </c>
      <c r="F1627" t="s">
        <v>50</v>
      </c>
      <c r="G1627" t="s">
        <v>4916</v>
      </c>
      <c r="H1627" t="s">
        <v>136</v>
      </c>
      <c r="I1627" s="11">
        <v>46296</v>
      </c>
      <c r="J1627" s="12">
        <v>46296</v>
      </c>
      <c r="K1627" s="13">
        <f>INDEX(Assumptions!$B$4:$B$23,MATCH(F1627,Assumptions!$A$4:$A$23,0))</f>
        <v>1.0869565217391299</v>
      </c>
      <c r="L1627" s="14">
        <f t="shared" si="50"/>
        <v>2.6304347826086945</v>
      </c>
      <c r="M1627" t="str">
        <f t="shared" si="51"/>
        <v>No</v>
      </c>
    </row>
    <row r="1628" spans="1:13" x14ac:dyDescent="0.25">
      <c r="A1628">
        <v>337983</v>
      </c>
      <c r="B1628" t="s">
        <v>5050</v>
      </c>
      <c r="C1628" t="s">
        <v>5051</v>
      </c>
      <c r="D1628" t="s">
        <v>6220</v>
      </c>
      <c r="E1628">
        <v>2.34</v>
      </c>
      <c r="F1628" t="s">
        <v>50</v>
      </c>
      <c r="G1628" t="s">
        <v>4916</v>
      </c>
      <c r="H1628" t="s">
        <v>136</v>
      </c>
      <c r="I1628" s="11">
        <v>46296</v>
      </c>
      <c r="J1628" s="12">
        <v>46296</v>
      </c>
      <c r="K1628" s="13">
        <f>INDEX(Assumptions!$B$4:$B$23,MATCH(F1628,Assumptions!$A$4:$A$23,0))</f>
        <v>1.0869565217391299</v>
      </c>
      <c r="L1628" s="14">
        <f t="shared" si="50"/>
        <v>2.5434782608695641</v>
      </c>
      <c r="M1628" t="str">
        <f t="shared" si="51"/>
        <v>No</v>
      </c>
    </row>
    <row r="1629" spans="1:13" x14ac:dyDescent="0.25">
      <c r="A1629">
        <v>337982</v>
      </c>
      <c r="B1629" t="s">
        <v>5054</v>
      </c>
      <c r="C1629" t="s">
        <v>5055</v>
      </c>
      <c r="D1629" t="s">
        <v>6220</v>
      </c>
      <c r="E1629">
        <v>2.17</v>
      </c>
      <c r="F1629" t="s">
        <v>50</v>
      </c>
      <c r="G1629" t="s">
        <v>4916</v>
      </c>
      <c r="H1629" t="s">
        <v>136</v>
      </c>
      <c r="I1629" s="11">
        <v>46296</v>
      </c>
      <c r="J1629" s="12">
        <v>46296</v>
      </c>
      <c r="K1629" s="13">
        <f>INDEX(Assumptions!$B$4:$B$23,MATCH(F1629,Assumptions!$A$4:$A$23,0))</f>
        <v>1.0869565217391299</v>
      </c>
      <c r="L1629" s="14">
        <f t="shared" si="50"/>
        <v>2.3586956521739117</v>
      </c>
      <c r="M1629" t="str">
        <f t="shared" si="51"/>
        <v>No</v>
      </c>
    </row>
    <row r="1630" spans="1:13" x14ac:dyDescent="0.25">
      <c r="A1630">
        <v>337981</v>
      </c>
      <c r="B1630" t="s">
        <v>5057</v>
      </c>
      <c r="C1630" t="s">
        <v>5058</v>
      </c>
      <c r="D1630" t="s">
        <v>6220</v>
      </c>
      <c r="E1630">
        <v>2.48</v>
      </c>
      <c r="F1630" t="s">
        <v>50</v>
      </c>
      <c r="G1630" t="s">
        <v>4916</v>
      </c>
      <c r="H1630" t="s">
        <v>136</v>
      </c>
      <c r="I1630" s="11">
        <v>46296</v>
      </c>
      <c r="J1630" s="12">
        <v>46296</v>
      </c>
      <c r="K1630" s="13">
        <f>INDEX(Assumptions!$B$4:$B$23,MATCH(F1630,Assumptions!$A$4:$A$23,0))</f>
        <v>1.0869565217391299</v>
      </c>
      <c r="L1630" s="14">
        <f t="shared" si="50"/>
        <v>2.6956521739130421</v>
      </c>
      <c r="M1630" t="str">
        <f t="shared" si="51"/>
        <v>No</v>
      </c>
    </row>
    <row r="1631" spans="1:13" x14ac:dyDescent="0.25">
      <c r="A1631">
        <v>337980</v>
      </c>
      <c r="B1631" t="s">
        <v>5061</v>
      </c>
      <c r="C1631" t="s">
        <v>5062</v>
      </c>
      <c r="D1631" t="s">
        <v>6220</v>
      </c>
      <c r="E1631">
        <v>1.65</v>
      </c>
      <c r="F1631" t="s">
        <v>50</v>
      </c>
      <c r="G1631" t="s">
        <v>4916</v>
      </c>
      <c r="H1631" t="s">
        <v>136</v>
      </c>
      <c r="I1631" s="11">
        <v>46296</v>
      </c>
      <c r="J1631" s="12">
        <v>46296</v>
      </c>
      <c r="K1631" s="13">
        <f>INDEX(Assumptions!$B$4:$B$23,MATCH(F1631,Assumptions!$A$4:$A$23,0))</f>
        <v>1.0869565217391299</v>
      </c>
      <c r="L1631" s="14">
        <f t="shared" si="50"/>
        <v>1.7934782608695643</v>
      </c>
      <c r="M1631" t="str">
        <f t="shared" si="51"/>
        <v>No</v>
      </c>
    </row>
    <row r="1632" spans="1:13" x14ac:dyDescent="0.25">
      <c r="A1632">
        <v>337979</v>
      </c>
      <c r="B1632" t="s">
        <v>5064</v>
      </c>
      <c r="C1632" t="s">
        <v>5065</v>
      </c>
      <c r="D1632" t="s">
        <v>6220</v>
      </c>
      <c r="E1632">
        <v>1.97</v>
      </c>
      <c r="F1632" t="s">
        <v>50</v>
      </c>
      <c r="G1632" t="s">
        <v>4916</v>
      </c>
      <c r="H1632" t="s">
        <v>136</v>
      </c>
      <c r="I1632" s="11">
        <v>46296</v>
      </c>
      <c r="J1632" s="12">
        <v>46296</v>
      </c>
      <c r="K1632" s="13">
        <f>INDEX(Assumptions!$B$4:$B$23,MATCH(F1632,Assumptions!$A$4:$A$23,0))</f>
        <v>1.0869565217391299</v>
      </c>
      <c r="L1632" s="14">
        <f t="shared" si="50"/>
        <v>2.141304347826086</v>
      </c>
      <c r="M1632" t="str">
        <f t="shared" si="51"/>
        <v>No</v>
      </c>
    </row>
    <row r="1633" spans="1:13" x14ac:dyDescent="0.25">
      <c r="A1633">
        <v>337978</v>
      </c>
      <c r="B1633" t="s">
        <v>5068</v>
      </c>
      <c r="C1633" t="s">
        <v>5069</v>
      </c>
      <c r="D1633" t="s">
        <v>6220</v>
      </c>
      <c r="E1633">
        <v>1.67</v>
      </c>
      <c r="F1633" t="s">
        <v>50</v>
      </c>
      <c r="G1633" t="s">
        <v>4916</v>
      </c>
      <c r="H1633" t="s">
        <v>136</v>
      </c>
      <c r="I1633" s="11">
        <v>46296</v>
      </c>
      <c r="J1633" s="12">
        <v>46296</v>
      </c>
      <c r="K1633" s="13">
        <f>INDEX(Assumptions!$B$4:$B$23,MATCH(F1633,Assumptions!$A$4:$A$23,0))</f>
        <v>1.0869565217391299</v>
      </c>
      <c r="L1633" s="14">
        <f t="shared" si="50"/>
        <v>1.815217391304347</v>
      </c>
      <c r="M1633" t="str">
        <f t="shared" si="51"/>
        <v>No</v>
      </c>
    </row>
    <row r="1634" spans="1:13" x14ac:dyDescent="0.25">
      <c r="A1634">
        <v>337977</v>
      </c>
      <c r="B1634" t="s">
        <v>5072</v>
      </c>
      <c r="C1634" t="s">
        <v>5073</v>
      </c>
      <c r="D1634" t="s">
        <v>6220</v>
      </c>
      <c r="E1634">
        <v>0.88</v>
      </c>
      <c r="F1634" t="s">
        <v>50</v>
      </c>
      <c r="G1634" t="s">
        <v>4916</v>
      </c>
      <c r="H1634" t="s">
        <v>136</v>
      </c>
      <c r="I1634" s="11">
        <v>46296</v>
      </c>
      <c r="J1634" s="12">
        <v>46296</v>
      </c>
      <c r="K1634" s="13">
        <f>INDEX(Assumptions!$B$4:$B$23,MATCH(F1634,Assumptions!$A$4:$A$23,0))</f>
        <v>1.0869565217391299</v>
      </c>
      <c r="L1634" s="14">
        <f t="shared" si="50"/>
        <v>0.95652173913043437</v>
      </c>
      <c r="M1634" t="str">
        <f t="shared" si="51"/>
        <v>No</v>
      </c>
    </row>
    <row r="1635" spans="1:13" x14ac:dyDescent="0.25">
      <c r="A1635">
        <v>337976</v>
      </c>
      <c r="B1635" t="s">
        <v>5076</v>
      </c>
      <c r="C1635" t="s">
        <v>5077</v>
      </c>
      <c r="D1635" t="s">
        <v>6220</v>
      </c>
      <c r="E1635">
        <v>5.0599999999999996</v>
      </c>
      <c r="F1635" t="s">
        <v>50</v>
      </c>
      <c r="G1635" t="s">
        <v>4916</v>
      </c>
      <c r="H1635" t="s">
        <v>136</v>
      </c>
      <c r="I1635" s="11">
        <v>46296</v>
      </c>
      <c r="J1635" s="12">
        <v>46296</v>
      </c>
      <c r="K1635" s="13">
        <f>INDEX(Assumptions!$B$4:$B$23,MATCH(F1635,Assumptions!$A$4:$A$23,0))</f>
        <v>1.0869565217391299</v>
      </c>
      <c r="L1635" s="14">
        <f t="shared" si="50"/>
        <v>5.4999999999999973</v>
      </c>
      <c r="M1635" t="str">
        <f t="shared" si="51"/>
        <v>No</v>
      </c>
    </row>
    <row r="1636" spans="1:13" x14ac:dyDescent="0.25">
      <c r="A1636">
        <v>337975</v>
      </c>
      <c r="B1636" t="s">
        <v>5080</v>
      </c>
      <c r="C1636" t="s">
        <v>5081</v>
      </c>
      <c r="D1636" t="s">
        <v>6220</v>
      </c>
      <c r="E1636">
        <v>1.76</v>
      </c>
      <c r="F1636" t="s">
        <v>50</v>
      </c>
      <c r="G1636" t="s">
        <v>4916</v>
      </c>
      <c r="H1636" t="s">
        <v>136</v>
      </c>
      <c r="I1636" s="11">
        <v>46296</v>
      </c>
      <c r="J1636" s="12">
        <v>46296</v>
      </c>
      <c r="K1636" s="13">
        <f>INDEX(Assumptions!$B$4:$B$23,MATCH(F1636,Assumptions!$A$4:$A$23,0))</f>
        <v>1.0869565217391299</v>
      </c>
      <c r="L1636" s="14">
        <f t="shared" si="50"/>
        <v>1.9130434782608687</v>
      </c>
      <c r="M1636" t="str">
        <f t="shared" si="51"/>
        <v>No</v>
      </c>
    </row>
    <row r="1637" spans="1:13" x14ac:dyDescent="0.25">
      <c r="A1637">
        <v>337974</v>
      </c>
      <c r="B1637" t="s">
        <v>5083</v>
      </c>
      <c r="C1637" t="s">
        <v>5084</v>
      </c>
      <c r="D1637" t="s">
        <v>6220</v>
      </c>
      <c r="E1637">
        <v>3.52</v>
      </c>
      <c r="F1637" t="s">
        <v>50</v>
      </c>
      <c r="G1637" t="s">
        <v>4916</v>
      </c>
      <c r="H1637" t="s">
        <v>136</v>
      </c>
      <c r="I1637" s="11">
        <v>46296</v>
      </c>
      <c r="J1637" s="12">
        <v>46296</v>
      </c>
      <c r="K1637" s="13">
        <f>INDEX(Assumptions!$B$4:$B$23,MATCH(F1637,Assumptions!$A$4:$A$23,0))</f>
        <v>1.0869565217391299</v>
      </c>
      <c r="L1637" s="14">
        <f t="shared" si="50"/>
        <v>3.8260869565217375</v>
      </c>
      <c r="M1637" t="str">
        <f t="shared" si="51"/>
        <v>No</v>
      </c>
    </row>
    <row r="1638" spans="1:13" x14ac:dyDescent="0.25">
      <c r="A1638">
        <v>337973</v>
      </c>
      <c r="B1638" t="s">
        <v>5086</v>
      </c>
      <c r="C1638" t="s">
        <v>5087</v>
      </c>
      <c r="D1638" t="s">
        <v>6220</v>
      </c>
      <c r="E1638">
        <v>3.32</v>
      </c>
      <c r="F1638" t="s">
        <v>50</v>
      </c>
      <c r="G1638" t="s">
        <v>4916</v>
      </c>
      <c r="H1638" t="s">
        <v>136</v>
      </c>
      <c r="I1638" s="11">
        <v>46296</v>
      </c>
      <c r="J1638" s="12">
        <v>46296</v>
      </c>
      <c r="K1638" s="13">
        <f>INDEX(Assumptions!$B$4:$B$23,MATCH(F1638,Assumptions!$A$4:$A$23,0))</f>
        <v>1.0869565217391299</v>
      </c>
      <c r="L1638" s="14">
        <f t="shared" si="50"/>
        <v>3.6086956521739113</v>
      </c>
      <c r="M1638" t="str">
        <f t="shared" si="51"/>
        <v>No</v>
      </c>
    </row>
    <row r="1639" spans="1:13" x14ac:dyDescent="0.25">
      <c r="A1639">
        <v>337972</v>
      </c>
      <c r="B1639" t="s">
        <v>5090</v>
      </c>
      <c r="C1639" t="s">
        <v>5091</v>
      </c>
      <c r="D1639" t="s">
        <v>6220</v>
      </c>
      <c r="E1639">
        <v>2</v>
      </c>
      <c r="F1639" t="s">
        <v>50</v>
      </c>
      <c r="G1639" t="s">
        <v>4916</v>
      </c>
      <c r="H1639" t="s">
        <v>136</v>
      </c>
      <c r="I1639" s="11">
        <v>46296</v>
      </c>
      <c r="J1639" s="12">
        <v>46296</v>
      </c>
      <c r="K1639" s="13">
        <f>INDEX(Assumptions!$B$4:$B$23,MATCH(F1639,Assumptions!$A$4:$A$23,0))</f>
        <v>1.0869565217391299</v>
      </c>
      <c r="L1639" s="14">
        <f t="shared" si="50"/>
        <v>2.1739130434782599</v>
      </c>
      <c r="M1639" t="str">
        <f t="shared" si="51"/>
        <v>No</v>
      </c>
    </row>
    <row r="1640" spans="1:13" x14ac:dyDescent="0.25">
      <c r="A1640">
        <v>337971</v>
      </c>
      <c r="B1640" t="s">
        <v>5093</v>
      </c>
      <c r="C1640" t="s">
        <v>5094</v>
      </c>
      <c r="D1640" t="s">
        <v>6220</v>
      </c>
      <c r="E1640">
        <v>2.4500000000000002</v>
      </c>
      <c r="F1640" t="s">
        <v>50</v>
      </c>
      <c r="G1640" t="s">
        <v>4916</v>
      </c>
      <c r="H1640" t="s">
        <v>136</v>
      </c>
      <c r="I1640" s="11">
        <v>46296</v>
      </c>
      <c r="J1640" s="12">
        <v>46296</v>
      </c>
      <c r="K1640" s="13">
        <f>INDEX(Assumptions!$B$4:$B$23,MATCH(F1640,Assumptions!$A$4:$A$23,0))</f>
        <v>1.0869565217391299</v>
      </c>
      <c r="L1640" s="14">
        <f t="shared" si="50"/>
        <v>2.6630434782608687</v>
      </c>
      <c r="M1640" t="str">
        <f t="shared" si="51"/>
        <v>No</v>
      </c>
    </row>
    <row r="1641" spans="1:13" x14ac:dyDescent="0.25">
      <c r="A1641">
        <v>337970</v>
      </c>
      <c r="B1641" t="s">
        <v>5096</v>
      </c>
      <c r="C1641" t="s">
        <v>5097</v>
      </c>
      <c r="D1641" t="s">
        <v>6220</v>
      </c>
      <c r="E1641">
        <v>2.4500000000000002</v>
      </c>
      <c r="F1641" t="s">
        <v>50</v>
      </c>
      <c r="G1641" t="s">
        <v>4916</v>
      </c>
      <c r="H1641" t="s">
        <v>136</v>
      </c>
      <c r="I1641" s="11">
        <v>46296</v>
      </c>
      <c r="J1641" s="12">
        <v>46296</v>
      </c>
      <c r="K1641" s="13">
        <f>INDEX(Assumptions!$B$4:$B$23,MATCH(F1641,Assumptions!$A$4:$A$23,0))</f>
        <v>1.0869565217391299</v>
      </c>
      <c r="L1641" s="14">
        <f t="shared" si="50"/>
        <v>2.6630434782608687</v>
      </c>
      <c r="M1641" t="str">
        <f t="shared" si="51"/>
        <v>No</v>
      </c>
    </row>
    <row r="1642" spans="1:13" x14ac:dyDescent="0.25">
      <c r="A1642">
        <v>337969</v>
      </c>
      <c r="B1642" t="s">
        <v>5099</v>
      </c>
      <c r="C1642" t="s">
        <v>5100</v>
      </c>
      <c r="D1642" t="s">
        <v>6220</v>
      </c>
      <c r="E1642">
        <v>2.8</v>
      </c>
      <c r="F1642" t="s">
        <v>50</v>
      </c>
      <c r="G1642" t="s">
        <v>4916</v>
      </c>
      <c r="H1642" t="s">
        <v>136</v>
      </c>
      <c r="I1642" s="11">
        <v>46296</v>
      </c>
      <c r="J1642" s="12">
        <v>46296</v>
      </c>
      <c r="K1642" s="13">
        <f>INDEX(Assumptions!$B$4:$B$23,MATCH(F1642,Assumptions!$A$4:$A$23,0))</f>
        <v>1.0869565217391299</v>
      </c>
      <c r="L1642" s="14">
        <f t="shared" si="50"/>
        <v>3.0434782608695636</v>
      </c>
      <c r="M1642" t="str">
        <f t="shared" si="51"/>
        <v>No</v>
      </c>
    </row>
    <row r="1643" spans="1:13" x14ac:dyDescent="0.25">
      <c r="A1643">
        <v>337968</v>
      </c>
      <c r="B1643" t="s">
        <v>5102</v>
      </c>
      <c r="C1643" t="s">
        <v>5103</v>
      </c>
      <c r="D1643" t="s">
        <v>6220</v>
      </c>
      <c r="E1643">
        <v>0.92</v>
      </c>
      <c r="F1643" t="s">
        <v>50</v>
      </c>
      <c r="G1643" t="s">
        <v>4916</v>
      </c>
      <c r="H1643" t="s">
        <v>136</v>
      </c>
      <c r="I1643" s="11">
        <v>46296</v>
      </c>
      <c r="J1643" s="12">
        <v>46296</v>
      </c>
      <c r="K1643" s="13">
        <f>INDEX(Assumptions!$B$4:$B$23,MATCH(F1643,Assumptions!$A$4:$A$23,0))</f>
        <v>1.0869565217391299</v>
      </c>
      <c r="L1643" s="14">
        <f t="shared" si="50"/>
        <v>0.99999999999999956</v>
      </c>
      <c r="M1643" t="str">
        <f t="shared" si="51"/>
        <v>No</v>
      </c>
    </row>
    <row r="1644" spans="1:13" x14ac:dyDescent="0.25">
      <c r="A1644">
        <v>337967</v>
      </c>
      <c r="B1644" t="s">
        <v>5105</v>
      </c>
      <c r="C1644" t="s">
        <v>5106</v>
      </c>
      <c r="D1644" t="s">
        <v>6220</v>
      </c>
      <c r="E1644">
        <v>1.47</v>
      </c>
      <c r="F1644" t="s">
        <v>50</v>
      </c>
      <c r="G1644" t="s">
        <v>4916</v>
      </c>
      <c r="H1644" t="s">
        <v>136</v>
      </c>
      <c r="I1644" s="11">
        <v>46296</v>
      </c>
      <c r="J1644" s="12">
        <v>46296</v>
      </c>
      <c r="K1644" s="13">
        <f>INDEX(Assumptions!$B$4:$B$23,MATCH(F1644,Assumptions!$A$4:$A$23,0))</f>
        <v>1.0869565217391299</v>
      </c>
      <c r="L1644" s="14">
        <f t="shared" si="50"/>
        <v>1.5978260869565211</v>
      </c>
      <c r="M1644" t="str">
        <f t="shared" si="51"/>
        <v>No</v>
      </c>
    </row>
    <row r="1645" spans="1:13" x14ac:dyDescent="0.25">
      <c r="A1645">
        <v>337966</v>
      </c>
      <c r="B1645" t="s">
        <v>5108</v>
      </c>
      <c r="C1645" t="s">
        <v>5109</v>
      </c>
      <c r="D1645" t="s">
        <v>6220</v>
      </c>
      <c r="E1645">
        <v>2.96</v>
      </c>
      <c r="F1645" t="s">
        <v>50</v>
      </c>
      <c r="G1645" t="s">
        <v>4916</v>
      </c>
      <c r="H1645" t="s">
        <v>136</v>
      </c>
      <c r="I1645" s="11">
        <v>46296</v>
      </c>
      <c r="J1645" s="12">
        <v>46296</v>
      </c>
      <c r="K1645" s="13">
        <f>INDEX(Assumptions!$B$4:$B$23,MATCH(F1645,Assumptions!$A$4:$A$23,0))</f>
        <v>1.0869565217391299</v>
      </c>
      <c r="L1645" s="14">
        <f t="shared" si="50"/>
        <v>3.2173913043478244</v>
      </c>
      <c r="M1645" t="str">
        <f t="shared" si="51"/>
        <v>No</v>
      </c>
    </row>
    <row r="1646" spans="1:13" x14ac:dyDescent="0.25">
      <c r="A1646">
        <v>337965</v>
      </c>
      <c r="B1646" t="s">
        <v>5112</v>
      </c>
      <c r="C1646" t="s">
        <v>5113</v>
      </c>
      <c r="D1646" t="s">
        <v>6220</v>
      </c>
      <c r="E1646">
        <v>1.76</v>
      </c>
      <c r="F1646" t="s">
        <v>50</v>
      </c>
      <c r="G1646" t="s">
        <v>4916</v>
      </c>
      <c r="H1646" t="s">
        <v>136</v>
      </c>
      <c r="I1646" s="11">
        <v>46296</v>
      </c>
      <c r="J1646" s="12">
        <v>46296</v>
      </c>
      <c r="K1646" s="13">
        <f>INDEX(Assumptions!$B$4:$B$23,MATCH(F1646,Assumptions!$A$4:$A$23,0))</f>
        <v>1.0869565217391299</v>
      </c>
      <c r="L1646" s="14">
        <f t="shared" si="50"/>
        <v>1.9130434782608687</v>
      </c>
      <c r="M1646" t="str">
        <f t="shared" si="51"/>
        <v>No</v>
      </c>
    </row>
    <row r="1647" spans="1:13" x14ac:dyDescent="0.25">
      <c r="A1647">
        <v>337964</v>
      </c>
      <c r="B1647" t="s">
        <v>5115</v>
      </c>
      <c r="C1647" t="s">
        <v>5116</v>
      </c>
      <c r="D1647" t="s">
        <v>6220</v>
      </c>
      <c r="E1647">
        <v>2.1800000000000002</v>
      </c>
      <c r="F1647" t="s">
        <v>50</v>
      </c>
      <c r="G1647" t="s">
        <v>4916</v>
      </c>
      <c r="H1647" t="s">
        <v>136</v>
      </c>
      <c r="I1647" s="11">
        <v>46296</v>
      </c>
      <c r="J1647" s="12">
        <v>46296</v>
      </c>
      <c r="K1647" s="13">
        <f>INDEX(Assumptions!$B$4:$B$23,MATCH(F1647,Assumptions!$A$4:$A$23,0))</f>
        <v>1.0869565217391299</v>
      </c>
      <c r="L1647" s="14">
        <f t="shared" si="50"/>
        <v>2.3695652173913033</v>
      </c>
      <c r="M1647" t="str">
        <f t="shared" si="51"/>
        <v>No</v>
      </c>
    </row>
    <row r="1648" spans="1:13" x14ac:dyDescent="0.25">
      <c r="A1648">
        <v>337963</v>
      </c>
      <c r="B1648" t="s">
        <v>5119</v>
      </c>
      <c r="C1648" t="s">
        <v>5120</v>
      </c>
      <c r="D1648" t="s">
        <v>6220</v>
      </c>
      <c r="E1648">
        <v>2.79</v>
      </c>
      <c r="F1648" t="s">
        <v>50</v>
      </c>
      <c r="G1648" t="s">
        <v>4916</v>
      </c>
      <c r="H1648" t="s">
        <v>136</v>
      </c>
      <c r="I1648" s="11">
        <v>46296</v>
      </c>
      <c r="J1648" s="12">
        <v>46296</v>
      </c>
      <c r="K1648" s="13">
        <f>INDEX(Assumptions!$B$4:$B$23,MATCH(F1648,Assumptions!$A$4:$A$23,0))</f>
        <v>1.0869565217391299</v>
      </c>
      <c r="L1648" s="14">
        <f t="shared" si="50"/>
        <v>3.0326086956521725</v>
      </c>
      <c r="M1648" t="str">
        <f t="shared" si="51"/>
        <v>No</v>
      </c>
    </row>
    <row r="1649" spans="1:13" x14ac:dyDescent="0.25">
      <c r="A1649">
        <v>337962</v>
      </c>
      <c r="B1649" t="s">
        <v>5122</v>
      </c>
      <c r="C1649" t="s">
        <v>5123</v>
      </c>
      <c r="D1649" t="s">
        <v>6220</v>
      </c>
      <c r="E1649">
        <v>2.2000000000000002</v>
      </c>
      <c r="F1649" t="s">
        <v>50</v>
      </c>
      <c r="G1649" t="s">
        <v>4916</v>
      </c>
      <c r="H1649" t="s">
        <v>136</v>
      </c>
      <c r="I1649" s="11">
        <v>46296</v>
      </c>
      <c r="J1649" s="12">
        <v>46296</v>
      </c>
      <c r="K1649" s="13">
        <f>INDEX(Assumptions!$B$4:$B$23,MATCH(F1649,Assumptions!$A$4:$A$23,0))</f>
        <v>1.0869565217391299</v>
      </c>
      <c r="L1649" s="14">
        <f t="shared" si="50"/>
        <v>2.391304347826086</v>
      </c>
      <c r="M1649" t="str">
        <f t="shared" si="51"/>
        <v>No</v>
      </c>
    </row>
    <row r="1650" spans="1:13" x14ac:dyDescent="0.25">
      <c r="A1650">
        <v>337961</v>
      </c>
      <c r="B1650" t="s">
        <v>5125</v>
      </c>
      <c r="C1650" t="s">
        <v>5126</v>
      </c>
      <c r="D1650" t="s">
        <v>6220</v>
      </c>
      <c r="E1650">
        <v>1.1000000000000001</v>
      </c>
      <c r="F1650" t="s">
        <v>50</v>
      </c>
      <c r="G1650" t="s">
        <v>4916</v>
      </c>
      <c r="H1650" t="s">
        <v>136</v>
      </c>
      <c r="I1650" s="11">
        <v>46296</v>
      </c>
      <c r="J1650" s="12">
        <v>46296</v>
      </c>
      <c r="K1650" s="13">
        <f>INDEX(Assumptions!$B$4:$B$23,MATCH(F1650,Assumptions!$A$4:$A$23,0))</f>
        <v>1.0869565217391299</v>
      </c>
      <c r="L1650" s="14">
        <f t="shared" si="50"/>
        <v>1.195652173913043</v>
      </c>
      <c r="M1650" t="str">
        <f t="shared" si="51"/>
        <v>No</v>
      </c>
    </row>
    <row r="1651" spans="1:13" x14ac:dyDescent="0.25">
      <c r="A1651">
        <v>337960</v>
      </c>
      <c r="B1651" t="s">
        <v>5128</v>
      </c>
      <c r="C1651" t="s">
        <v>5129</v>
      </c>
      <c r="D1651" t="s">
        <v>6220</v>
      </c>
      <c r="E1651">
        <v>2.75</v>
      </c>
      <c r="F1651" t="s">
        <v>50</v>
      </c>
      <c r="G1651" t="s">
        <v>4916</v>
      </c>
      <c r="H1651" t="s">
        <v>136</v>
      </c>
      <c r="I1651" s="11">
        <v>46296</v>
      </c>
      <c r="J1651" s="12">
        <v>46296</v>
      </c>
      <c r="K1651" s="13">
        <f>INDEX(Assumptions!$B$4:$B$23,MATCH(F1651,Assumptions!$A$4:$A$23,0))</f>
        <v>1.0869565217391299</v>
      </c>
      <c r="L1651" s="14">
        <f t="shared" si="50"/>
        <v>2.9891304347826075</v>
      </c>
      <c r="M1651" t="str">
        <f t="shared" si="51"/>
        <v>No</v>
      </c>
    </row>
    <row r="1652" spans="1:13" x14ac:dyDescent="0.25">
      <c r="A1652">
        <v>337959</v>
      </c>
      <c r="B1652" t="s">
        <v>5131</v>
      </c>
      <c r="C1652" t="s">
        <v>5132</v>
      </c>
      <c r="D1652" t="s">
        <v>6220</v>
      </c>
      <c r="E1652">
        <v>1.99</v>
      </c>
      <c r="F1652" t="s">
        <v>50</v>
      </c>
      <c r="G1652" t="s">
        <v>4916</v>
      </c>
      <c r="H1652" t="s">
        <v>136</v>
      </c>
      <c r="I1652" s="11">
        <v>46296</v>
      </c>
      <c r="J1652" s="12">
        <v>46296</v>
      </c>
      <c r="K1652" s="13">
        <f>INDEX(Assumptions!$B$4:$B$23,MATCH(F1652,Assumptions!$A$4:$A$23,0))</f>
        <v>1.0869565217391299</v>
      </c>
      <c r="L1652" s="14">
        <f t="shared" si="50"/>
        <v>2.1630434782608687</v>
      </c>
      <c r="M1652" t="str">
        <f t="shared" si="51"/>
        <v>No</v>
      </c>
    </row>
    <row r="1653" spans="1:13" x14ac:dyDescent="0.25">
      <c r="A1653">
        <v>337958</v>
      </c>
      <c r="B1653" t="s">
        <v>5134</v>
      </c>
      <c r="C1653" t="s">
        <v>5135</v>
      </c>
      <c r="D1653" t="s">
        <v>6220</v>
      </c>
      <c r="E1653">
        <v>2.04</v>
      </c>
      <c r="F1653" t="s">
        <v>50</v>
      </c>
      <c r="G1653" t="s">
        <v>4916</v>
      </c>
      <c r="H1653" t="s">
        <v>136</v>
      </c>
      <c r="I1653" s="11">
        <v>46296</v>
      </c>
      <c r="J1653" s="12">
        <v>46296</v>
      </c>
      <c r="K1653" s="13">
        <f>INDEX(Assumptions!$B$4:$B$23,MATCH(F1653,Assumptions!$A$4:$A$23,0))</f>
        <v>1.0869565217391299</v>
      </c>
      <c r="L1653" s="14">
        <f t="shared" si="50"/>
        <v>2.2173913043478253</v>
      </c>
      <c r="M1653" t="str">
        <f t="shared" si="51"/>
        <v>No</v>
      </c>
    </row>
    <row r="1654" spans="1:13" x14ac:dyDescent="0.25">
      <c r="A1654">
        <v>337957</v>
      </c>
      <c r="B1654" t="s">
        <v>5137</v>
      </c>
      <c r="C1654" t="s">
        <v>5138</v>
      </c>
      <c r="D1654" t="s">
        <v>6220</v>
      </c>
      <c r="E1654">
        <v>2.38</v>
      </c>
      <c r="F1654" t="s">
        <v>50</v>
      </c>
      <c r="G1654" t="s">
        <v>4916</v>
      </c>
      <c r="H1654" t="s">
        <v>136</v>
      </c>
      <c r="I1654" s="11">
        <v>46296</v>
      </c>
      <c r="J1654" s="12">
        <v>46296</v>
      </c>
      <c r="K1654" s="13">
        <f>INDEX(Assumptions!$B$4:$B$23,MATCH(F1654,Assumptions!$A$4:$A$23,0))</f>
        <v>1.0869565217391299</v>
      </c>
      <c r="L1654" s="14">
        <f t="shared" si="50"/>
        <v>2.586956521739129</v>
      </c>
      <c r="M1654" t="str">
        <f t="shared" si="51"/>
        <v>No</v>
      </c>
    </row>
    <row r="1655" spans="1:13" x14ac:dyDescent="0.25">
      <c r="A1655">
        <v>337956</v>
      </c>
      <c r="B1655" t="s">
        <v>5140</v>
      </c>
      <c r="C1655" t="s">
        <v>5141</v>
      </c>
      <c r="D1655" t="s">
        <v>6220</v>
      </c>
      <c r="E1655">
        <v>1.98</v>
      </c>
      <c r="F1655" t="s">
        <v>50</v>
      </c>
      <c r="G1655" t="s">
        <v>4916</v>
      </c>
      <c r="H1655" t="s">
        <v>136</v>
      </c>
      <c r="I1655" s="11">
        <v>46296</v>
      </c>
      <c r="J1655" s="12">
        <v>46296</v>
      </c>
      <c r="K1655" s="13">
        <f>INDEX(Assumptions!$B$4:$B$23,MATCH(F1655,Assumptions!$A$4:$A$23,0))</f>
        <v>1.0869565217391299</v>
      </c>
      <c r="L1655" s="14">
        <f t="shared" si="50"/>
        <v>2.1521739130434772</v>
      </c>
      <c r="M1655" t="str">
        <f t="shared" si="51"/>
        <v>No</v>
      </c>
    </row>
    <row r="1656" spans="1:13" x14ac:dyDescent="0.25">
      <c r="A1656">
        <v>337955</v>
      </c>
      <c r="B1656" t="s">
        <v>5143</v>
      </c>
      <c r="C1656" t="s">
        <v>5144</v>
      </c>
      <c r="D1656" t="s">
        <v>6220</v>
      </c>
      <c r="E1656">
        <v>2.7</v>
      </c>
      <c r="F1656" t="s">
        <v>50</v>
      </c>
      <c r="G1656" t="s">
        <v>4916</v>
      </c>
      <c r="H1656" t="s">
        <v>136</v>
      </c>
      <c r="I1656" s="11">
        <v>46296</v>
      </c>
      <c r="J1656" s="12">
        <v>46296</v>
      </c>
      <c r="K1656" s="13">
        <f>INDEX(Assumptions!$B$4:$B$23,MATCH(F1656,Assumptions!$A$4:$A$23,0))</f>
        <v>1.0869565217391299</v>
      </c>
      <c r="L1656" s="14">
        <f t="shared" si="50"/>
        <v>2.934782608695651</v>
      </c>
      <c r="M1656" t="str">
        <f t="shared" si="51"/>
        <v>No</v>
      </c>
    </row>
    <row r="1657" spans="1:13" x14ac:dyDescent="0.25">
      <c r="A1657">
        <v>337954</v>
      </c>
      <c r="B1657" t="s">
        <v>5147</v>
      </c>
      <c r="C1657" t="s">
        <v>5148</v>
      </c>
      <c r="D1657" t="s">
        <v>6220</v>
      </c>
      <c r="E1657">
        <v>2.59</v>
      </c>
      <c r="F1657" t="s">
        <v>50</v>
      </c>
      <c r="G1657" t="s">
        <v>4916</v>
      </c>
      <c r="H1657" t="s">
        <v>136</v>
      </c>
      <c r="I1657" s="11">
        <v>46296</v>
      </c>
      <c r="J1657" s="12">
        <v>46296</v>
      </c>
      <c r="K1657" s="13">
        <f>INDEX(Assumptions!$B$4:$B$23,MATCH(F1657,Assumptions!$A$4:$A$23,0))</f>
        <v>1.0869565217391299</v>
      </c>
      <c r="L1657" s="14">
        <f t="shared" si="50"/>
        <v>2.8152173913043463</v>
      </c>
      <c r="M1657" t="str">
        <f t="shared" si="51"/>
        <v>No</v>
      </c>
    </row>
    <row r="1658" spans="1:13" x14ac:dyDescent="0.25">
      <c r="A1658">
        <v>337953</v>
      </c>
      <c r="B1658" t="s">
        <v>5150</v>
      </c>
      <c r="C1658" t="s">
        <v>5151</v>
      </c>
      <c r="D1658" t="s">
        <v>6220</v>
      </c>
      <c r="E1658">
        <v>1.39</v>
      </c>
      <c r="F1658" t="s">
        <v>50</v>
      </c>
      <c r="G1658" t="s">
        <v>4916</v>
      </c>
      <c r="H1658" t="s">
        <v>136</v>
      </c>
      <c r="I1658" s="11">
        <v>46296</v>
      </c>
      <c r="J1658" s="12">
        <v>46296</v>
      </c>
      <c r="K1658" s="13">
        <f>INDEX(Assumptions!$B$4:$B$23,MATCH(F1658,Assumptions!$A$4:$A$23,0))</f>
        <v>1.0869565217391299</v>
      </c>
      <c r="L1658" s="14">
        <f t="shared" si="50"/>
        <v>1.5108695652173905</v>
      </c>
      <c r="M1658" t="str">
        <f t="shared" si="51"/>
        <v>No</v>
      </c>
    </row>
    <row r="1659" spans="1:13" x14ac:dyDescent="0.25">
      <c r="A1659">
        <v>337952</v>
      </c>
      <c r="B1659" t="s">
        <v>5153</v>
      </c>
      <c r="C1659" t="s">
        <v>5154</v>
      </c>
      <c r="D1659" t="s">
        <v>6220</v>
      </c>
      <c r="E1659">
        <v>2.58</v>
      </c>
      <c r="F1659" t="s">
        <v>50</v>
      </c>
      <c r="G1659" t="s">
        <v>4916</v>
      </c>
      <c r="H1659" t="s">
        <v>136</v>
      </c>
      <c r="I1659" s="11">
        <v>46296</v>
      </c>
      <c r="J1659" s="12">
        <v>46296</v>
      </c>
      <c r="K1659" s="13">
        <f>INDEX(Assumptions!$B$4:$B$23,MATCH(F1659,Assumptions!$A$4:$A$23,0))</f>
        <v>1.0869565217391299</v>
      </c>
      <c r="L1659" s="14">
        <f t="shared" si="50"/>
        <v>2.8043478260869552</v>
      </c>
      <c r="M1659" t="str">
        <f t="shared" si="51"/>
        <v>No</v>
      </c>
    </row>
    <row r="1660" spans="1:13" x14ac:dyDescent="0.25">
      <c r="A1660">
        <v>337951</v>
      </c>
      <c r="B1660" t="s">
        <v>2807</v>
      </c>
      <c r="C1660" t="s">
        <v>5156</v>
      </c>
      <c r="D1660" t="s">
        <v>6220</v>
      </c>
      <c r="E1660">
        <v>2.59</v>
      </c>
      <c r="F1660" t="s">
        <v>50</v>
      </c>
      <c r="G1660" t="s">
        <v>4916</v>
      </c>
      <c r="H1660" t="s">
        <v>136</v>
      </c>
      <c r="I1660" s="11">
        <v>46296</v>
      </c>
      <c r="J1660" s="12">
        <v>46296</v>
      </c>
      <c r="K1660" s="13">
        <f>INDEX(Assumptions!$B$4:$B$23,MATCH(F1660,Assumptions!$A$4:$A$23,0))</f>
        <v>1.0869565217391299</v>
      </c>
      <c r="L1660" s="14">
        <f t="shared" si="50"/>
        <v>2.8152173913043463</v>
      </c>
      <c r="M1660" t="str">
        <f t="shared" si="51"/>
        <v>No</v>
      </c>
    </row>
    <row r="1661" spans="1:13" x14ac:dyDescent="0.25">
      <c r="A1661">
        <v>337950</v>
      </c>
      <c r="B1661" t="s">
        <v>5158</v>
      </c>
      <c r="C1661" t="s">
        <v>5159</v>
      </c>
      <c r="D1661" t="s">
        <v>6220</v>
      </c>
      <c r="E1661">
        <v>1.1000000000000001</v>
      </c>
      <c r="F1661" t="s">
        <v>50</v>
      </c>
      <c r="G1661" t="s">
        <v>4916</v>
      </c>
      <c r="H1661" t="s">
        <v>136</v>
      </c>
      <c r="I1661" s="11">
        <v>46296</v>
      </c>
      <c r="J1661" s="12">
        <v>46296</v>
      </c>
      <c r="K1661" s="13">
        <f>INDEX(Assumptions!$B$4:$B$23,MATCH(F1661,Assumptions!$A$4:$A$23,0))</f>
        <v>1.0869565217391299</v>
      </c>
      <c r="L1661" s="14">
        <f t="shared" si="50"/>
        <v>1.195652173913043</v>
      </c>
      <c r="M1661" t="str">
        <f t="shared" si="51"/>
        <v>No</v>
      </c>
    </row>
    <row r="1662" spans="1:13" x14ac:dyDescent="0.25">
      <c r="A1662">
        <v>337949</v>
      </c>
      <c r="B1662" t="s">
        <v>5161</v>
      </c>
      <c r="C1662" t="s">
        <v>5162</v>
      </c>
      <c r="D1662" t="s">
        <v>6220</v>
      </c>
      <c r="E1662">
        <v>3.83</v>
      </c>
      <c r="F1662" t="s">
        <v>50</v>
      </c>
      <c r="G1662" t="s">
        <v>4916</v>
      </c>
      <c r="H1662" t="s">
        <v>136</v>
      </c>
      <c r="I1662" s="11">
        <v>46296</v>
      </c>
      <c r="J1662" s="12">
        <v>46296</v>
      </c>
      <c r="K1662" s="13">
        <f>INDEX(Assumptions!$B$4:$B$23,MATCH(F1662,Assumptions!$A$4:$A$23,0))</f>
        <v>1.0869565217391299</v>
      </c>
      <c r="L1662" s="14">
        <f t="shared" si="50"/>
        <v>4.1630434782608674</v>
      </c>
      <c r="M1662" t="str">
        <f t="shared" si="51"/>
        <v>No</v>
      </c>
    </row>
    <row r="1663" spans="1:13" x14ac:dyDescent="0.25">
      <c r="A1663">
        <v>337948</v>
      </c>
      <c r="B1663" t="s">
        <v>5165</v>
      </c>
      <c r="C1663" t="s">
        <v>5166</v>
      </c>
      <c r="D1663" t="s">
        <v>6220</v>
      </c>
      <c r="E1663">
        <v>2.4900000000000002</v>
      </c>
      <c r="F1663" t="s">
        <v>50</v>
      </c>
      <c r="G1663" t="s">
        <v>4916</v>
      </c>
      <c r="H1663" t="s">
        <v>136</v>
      </c>
      <c r="I1663" s="11">
        <v>46296</v>
      </c>
      <c r="J1663" s="12">
        <v>46296</v>
      </c>
      <c r="K1663" s="13">
        <f>INDEX(Assumptions!$B$4:$B$23,MATCH(F1663,Assumptions!$A$4:$A$23,0))</f>
        <v>1.0869565217391299</v>
      </c>
      <c r="L1663" s="14">
        <f t="shared" si="50"/>
        <v>2.7065217391304337</v>
      </c>
      <c r="M1663" t="str">
        <f t="shared" si="51"/>
        <v>No</v>
      </c>
    </row>
    <row r="1664" spans="1:13" x14ac:dyDescent="0.25">
      <c r="A1664">
        <v>337947</v>
      </c>
      <c r="B1664" t="s">
        <v>5168</v>
      </c>
      <c r="C1664" t="s">
        <v>5169</v>
      </c>
      <c r="D1664" t="s">
        <v>6220</v>
      </c>
      <c r="E1664">
        <v>3</v>
      </c>
      <c r="F1664" t="s">
        <v>50</v>
      </c>
      <c r="G1664" t="s">
        <v>4916</v>
      </c>
      <c r="H1664" t="s">
        <v>136</v>
      </c>
      <c r="I1664" s="11">
        <v>46296</v>
      </c>
      <c r="J1664" s="12">
        <v>46296</v>
      </c>
      <c r="K1664" s="13">
        <f>INDEX(Assumptions!$B$4:$B$23,MATCH(F1664,Assumptions!$A$4:$A$23,0))</f>
        <v>1.0869565217391299</v>
      </c>
      <c r="L1664" s="14">
        <f t="shared" si="50"/>
        <v>3.2608695652173898</v>
      </c>
      <c r="M1664" t="str">
        <f t="shared" si="51"/>
        <v>No</v>
      </c>
    </row>
    <row r="1665" spans="1:13" x14ac:dyDescent="0.25">
      <c r="A1665">
        <v>337946</v>
      </c>
      <c r="B1665" t="s">
        <v>5171</v>
      </c>
      <c r="C1665" t="s">
        <v>5172</v>
      </c>
      <c r="D1665" t="s">
        <v>6220</v>
      </c>
      <c r="E1665">
        <v>1.76</v>
      </c>
      <c r="F1665" t="s">
        <v>50</v>
      </c>
      <c r="G1665" t="s">
        <v>4916</v>
      </c>
      <c r="H1665" t="s">
        <v>136</v>
      </c>
      <c r="I1665" s="11">
        <v>46296</v>
      </c>
      <c r="J1665" s="12">
        <v>46296</v>
      </c>
      <c r="K1665" s="13">
        <f>INDEX(Assumptions!$B$4:$B$23,MATCH(F1665,Assumptions!$A$4:$A$23,0))</f>
        <v>1.0869565217391299</v>
      </c>
      <c r="L1665" s="14">
        <f t="shared" si="50"/>
        <v>1.9130434782608687</v>
      </c>
      <c r="M1665" t="str">
        <f t="shared" si="51"/>
        <v>No</v>
      </c>
    </row>
    <row r="1666" spans="1:13" x14ac:dyDescent="0.25">
      <c r="A1666">
        <v>337945</v>
      </c>
      <c r="B1666" t="s">
        <v>5174</v>
      </c>
      <c r="C1666" t="s">
        <v>5175</v>
      </c>
      <c r="D1666" t="s">
        <v>6220</v>
      </c>
      <c r="E1666">
        <v>3.35</v>
      </c>
      <c r="F1666" t="s">
        <v>50</v>
      </c>
      <c r="G1666" t="s">
        <v>4916</v>
      </c>
      <c r="H1666" t="s">
        <v>136</v>
      </c>
      <c r="I1666" s="11">
        <v>46296</v>
      </c>
      <c r="J1666" s="12">
        <v>46296</v>
      </c>
      <c r="K1666" s="13">
        <f>INDEX(Assumptions!$B$4:$B$23,MATCH(F1666,Assumptions!$A$4:$A$23,0))</f>
        <v>1.0869565217391299</v>
      </c>
      <c r="L1666" s="14">
        <f t="shared" ref="L1666:L1729" si="52">E1666*K1666</f>
        <v>3.6413043478260856</v>
      </c>
      <c r="M1666" t="str">
        <f t="shared" ref="M1666:M1729" si="53">IF(C1666="Unnamed product","Yes","No")</f>
        <v>No</v>
      </c>
    </row>
    <row r="1667" spans="1:13" x14ac:dyDescent="0.25">
      <c r="A1667">
        <v>337944</v>
      </c>
      <c r="B1667" t="s">
        <v>5177</v>
      </c>
      <c r="C1667" t="s">
        <v>5178</v>
      </c>
      <c r="D1667" t="s">
        <v>6220</v>
      </c>
      <c r="E1667">
        <v>6.3</v>
      </c>
      <c r="F1667" t="s">
        <v>50</v>
      </c>
      <c r="G1667" t="s">
        <v>4916</v>
      </c>
      <c r="H1667" t="s">
        <v>136</v>
      </c>
      <c r="I1667" s="11">
        <v>46296</v>
      </c>
      <c r="J1667" s="12">
        <v>46296</v>
      </c>
      <c r="K1667" s="13">
        <f>INDEX(Assumptions!$B$4:$B$23,MATCH(F1667,Assumptions!$A$4:$A$23,0))</f>
        <v>1.0869565217391299</v>
      </c>
      <c r="L1667" s="14">
        <f t="shared" si="52"/>
        <v>6.847826086956518</v>
      </c>
      <c r="M1667" t="str">
        <f t="shared" si="53"/>
        <v>No</v>
      </c>
    </row>
    <row r="1668" spans="1:13" x14ac:dyDescent="0.25">
      <c r="A1668">
        <v>337943</v>
      </c>
      <c r="B1668" t="s">
        <v>5180</v>
      </c>
      <c r="C1668" t="s">
        <v>5181</v>
      </c>
      <c r="D1668" t="s">
        <v>6220</v>
      </c>
      <c r="E1668">
        <v>2.48</v>
      </c>
      <c r="F1668" t="s">
        <v>50</v>
      </c>
      <c r="G1668" t="s">
        <v>4916</v>
      </c>
      <c r="H1668" t="s">
        <v>136</v>
      </c>
      <c r="I1668" s="11">
        <v>46296</v>
      </c>
      <c r="J1668" s="12">
        <v>46296</v>
      </c>
      <c r="K1668" s="13">
        <f>INDEX(Assumptions!$B$4:$B$23,MATCH(F1668,Assumptions!$A$4:$A$23,0))</f>
        <v>1.0869565217391299</v>
      </c>
      <c r="L1668" s="14">
        <f t="shared" si="52"/>
        <v>2.6956521739130421</v>
      </c>
      <c r="M1668" t="str">
        <f t="shared" si="53"/>
        <v>No</v>
      </c>
    </row>
    <row r="1669" spans="1:13" x14ac:dyDescent="0.25">
      <c r="A1669">
        <v>337942</v>
      </c>
      <c r="B1669" t="s">
        <v>5183</v>
      </c>
      <c r="C1669" t="s">
        <v>5184</v>
      </c>
      <c r="D1669" t="s">
        <v>6220</v>
      </c>
      <c r="E1669">
        <v>1.5</v>
      </c>
      <c r="F1669" t="s">
        <v>50</v>
      </c>
      <c r="G1669" t="s">
        <v>4916</v>
      </c>
      <c r="H1669" t="s">
        <v>136</v>
      </c>
      <c r="I1669" s="11">
        <v>46296</v>
      </c>
      <c r="J1669" s="12">
        <v>46296</v>
      </c>
      <c r="K1669" s="13">
        <f>INDEX(Assumptions!$B$4:$B$23,MATCH(F1669,Assumptions!$A$4:$A$23,0))</f>
        <v>1.0869565217391299</v>
      </c>
      <c r="L1669" s="14">
        <f t="shared" si="52"/>
        <v>1.6304347826086949</v>
      </c>
      <c r="M1669" t="str">
        <f t="shared" si="53"/>
        <v>No</v>
      </c>
    </row>
    <row r="1670" spans="1:13" x14ac:dyDescent="0.25">
      <c r="A1670">
        <v>337941</v>
      </c>
      <c r="B1670" t="s">
        <v>5186</v>
      </c>
      <c r="C1670" t="s">
        <v>5187</v>
      </c>
      <c r="D1670" t="s">
        <v>6220</v>
      </c>
      <c r="E1670">
        <v>2.73</v>
      </c>
      <c r="F1670" t="s">
        <v>50</v>
      </c>
      <c r="G1670" t="s">
        <v>4916</v>
      </c>
      <c r="H1670" t="s">
        <v>136</v>
      </c>
      <c r="I1670" s="11">
        <v>46296</v>
      </c>
      <c r="J1670" s="12">
        <v>46296</v>
      </c>
      <c r="K1670" s="13">
        <f>INDEX(Assumptions!$B$4:$B$23,MATCH(F1670,Assumptions!$A$4:$A$23,0))</f>
        <v>1.0869565217391299</v>
      </c>
      <c r="L1670" s="14">
        <f t="shared" si="52"/>
        <v>2.9673913043478248</v>
      </c>
      <c r="M1670" t="str">
        <f t="shared" si="53"/>
        <v>No</v>
      </c>
    </row>
    <row r="1671" spans="1:13" x14ac:dyDescent="0.25">
      <c r="A1671">
        <v>337940</v>
      </c>
      <c r="B1671" t="s">
        <v>392</v>
      </c>
      <c r="C1671" t="s">
        <v>5190</v>
      </c>
      <c r="D1671" t="s">
        <v>6220</v>
      </c>
      <c r="E1671">
        <v>1.1000000000000001</v>
      </c>
      <c r="F1671" t="s">
        <v>50</v>
      </c>
      <c r="G1671" t="s">
        <v>4916</v>
      </c>
      <c r="H1671" t="s">
        <v>136</v>
      </c>
      <c r="I1671" s="11">
        <v>46296</v>
      </c>
      <c r="J1671" s="12">
        <v>46296</v>
      </c>
      <c r="K1671" s="13">
        <f>INDEX(Assumptions!$B$4:$B$23,MATCH(F1671,Assumptions!$A$4:$A$23,0))</f>
        <v>1.0869565217391299</v>
      </c>
      <c r="L1671" s="14">
        <f t="shared" si="52"/>
        <v>1.195652173913043</v>
      </c>
      <c r="M1671" t="str">
        <f t="shared" si="53"/>
        <v>No</v>
      </c>
    </row>
    <row r="1672" spans="1:13" x14ac:dyDescent="0.25">
      <c r="A1672">
        <v>337939</v>
      </c>
      <c r="B1672" t="s">
        <v>5192</v>
      </c>
      <c r="C1672" t="s">
        <v>6221</v>
      </c>
      <c r="D1672" t="s">
        <v>6220</v>
      </c>
      <c r="E1672">
        <v>299.89999999999998</v>
      </c>
      <c r="F1672" t="s">
        <v>5194</v>
      </c>
      <c r="G1672" t="s">
        <v>5195</v>
      </c>
      <c r="H1672" t="s">
        <v>52</v>
      </c>
      <c r="I1672" s="11">
        <v>46296</v>
      </c>
      <c r="J1672" s="12">
        <v>46296</v>
      </c>
      <c r="K1672" s="13">
        <f>INDEX(Assumptions!$B$4:$B$23,MATCH(F1672,Assumptions!$A$4:$A$23,0))</f>
        <v>4.4444444444444453E-2</v>
      </c>
      <c r="L1672" s="14">
        <f t="shared" si="52"/>
        <v>13.328888888888891</v>
      </c>
      <c r="M1672" t="str">
        <f t="shared" si="53"/>
        <v>Yes</v>
      </c>
    </row>
    <row r="1673" spans="1:13" x14ac:dyDescent="0.25">
      <c r="A1673">
        <v>337938</v>
      </c>
      <c r="C1673" t="s">
        <v>5197</v>
      </c>
      <c r="D1673" t="s">
        <v>5198</v>
      </c>
      <c r="E1673">
        <v>59.9</v>
      </c>
      <c r="F1673" t="s">
        <v>5194</v>
      </c>
      <c r="G1673" t="s">
        <v>5195</v>
      </c>
      <c r="H1673" t="s">
        <v>52</v>
      </c>
      <c r="I1673" s="11">
        <v>46296</v>
      </c>
      <c r="J1673" s="12">
        <v>46296</v>
      </c>
      <c r="K1673" s="13">
        <f>INDEX(Assumptions!$B$4:$B$23,MATCH(F1673,Assumptions!$A$4:$A$23,0))</f>
        <v>4.4444444444444453E-2</v>
      </c>
      <c r="L1673" s="14">
        <f t="shared" si="52"/>
        <v>2.6622222222222227</v>
      </c>
      <c r="M1673" t="str">
        <f t="shared" si="53"/>
        <v>No</v>
      </c>
    </row>
    <row r="1674" spans="1:13" x14ac:dyDescent="0.25">
      <c r="A1674">
        <v>337937</v>
      </c>
      <c r="B1674" t="s">
        <v>5200</v>
      </c>
      <c r="C1674" t="s">
        <v>5201</v>
      </c>
      <c r="D1674" t="s">
        <v>6220</v>
      </c>
      <c r="E1674">
        <v>9.9</v>
      </c>
      <c r="F1674" t="s">
        <v>5194</v>
      </c>
      <c r="G1674" t="s">
        <v>5195</v>
      </c>
      <c r="H1674" t="s">
        <v>52</v>
      </c>
      <c r="I1674" s="11">
        <v>46296</v>
      </c>
      <c r="J1674" s="12">
        <v>46296</v>
      </c>
      <c r="K1674" s="13">
        <f>INDEX(Assumptions!$B$4:$B$23,MATCH(F1674,Assumptions!$A$4:$A$23,0))</f>
        <v>4.4444444444444453E-2</v>
      </c>
      <c r="L1674" s="14">
        <f t="shared" si="52"/>
        <v>0.44000000000000011</v>
      </c>
      <c r="M1674" t="str">
        <f t="shared" si="53"/>
        <v>No</v>
      </c>
    </row>
    <row r="1675" spans="1:13" x14ac:dyDescent="0.25">
      <c r="A1675">
        <v>337936</v>
      </c>
      <c r="B1675" t="s">
        <v>5203</v>
      </c>
      <c r="C1675" t="s">
        <v>5204</v>
      </c>
      <c r="D1675" t="s">
        <v>6220</v>
      </c>
      <c r="E1675">
        <v>29.9</v>
      </c>
      <c r="F1675" t="s">
        <v>5194</v>
      </c>
      <c r="G1675" t="s">
        <v>5195</v>
      </c>
      <c r="H1675" t="s">
        <v>52</v>
      </c>
      <c r="I1675" s="11">
        <v>46296</v>
      </c>
      <c r="J1675" s="12">
        <v>46296</v>
      </c>
      <c r="K1675" s="13">
        <f>INDEX(Assumptions!$B$4:$B$23,MATCH(F1675,Assumptions!$A$4:$A$23,0))</f>
        <v>4.4444444444444453E-2</v>
      </c>
      <c r="L1675" s="14">
        <f t="shared" si="52"/>
        <v>1.328888888888889</v>
      </c>
      <c r="M1675" t="str">
        <f t="shared" si="53"/>
        <v>No</v>
      </c>
    </row>
    <row r="1676" spans="1:13" x14ac:dyDescent="0.25">
      <c r="A1676">
        <v>337935</v>
      </c>
      <c r="B1676" t="s">
        <v>5206</v>
      </c>
      <c r="C1676" t="s">
        <v>5207</v>
      </c>
      <c r="D1676" t="s">
        <v>6220</v>
      </c>
      <c r="E1676">
        <v>25.9</v>
      </c>
      <c r="F1676" t="s">
        <v>5194</v>
      </c>
      <c r="G1676" t="s">
        <v>5195</v>
      </c>
      <c r="H1676" t="s">
        <v>52</v>
      </c>
      <c r="I1676" s="11">
        <v>46296</v>
      </c>
      <c r="J1676" s="12">
        <v>46296</v>
      </c>
      <c r="K1676" s="13">
        <f>INDEX(Assumptions!$B$4:$B$23,MATCH(F1676,Assumptions!$A$4:$A$23,0))</f>
        <v>4.4444444444444453E-2</v>
      </c>
      <c r="L1676" s="14">
        <f t="shared" si="52"/>
        <v>1.1511111111111112</v>
      </c>
      <c r="M1676" t="str">
        <f t="shared" si="53"/>
        <v>No</v>
      </c>
    </row>
    <row r="1677" spans="1:13" x14ac:dyDescent="0.25">
      <c r="A1677">
        <v>337933</v>
      </c>
      <c r="B1677" t="s">
        <v>5209</v>
      </c>
      <c r="C1677" t="s">
        <v>5210</v>
      </c>
      <c r="D1677" t="s">
        <v>6220</v>
      </c>
      <c r="E1677">
        <v>9.9</v>
      </c>
      <c r="F1677" t="s">
        <v>5194</v>
      </c>
      <c r="G1677" t="s">
        <v>5195</v>
      </c>
      <c r="H1677" t="s">
        <v>52</v>
      </c>
      <c r="I1677" s="11">
        <v>46296</v>
      </c>
      <c r="J1677" s="12">
        <v>46296</v>
      </c>
      <c r="K1677" s="13">
        <f>INDEX(Assumptions!$B$4:$B$23,MATCH(F1677,Assumptions!$A$4:$A$23,0))</f>
        <v>4.4444444444444453E-2</v>
      </c>
      <c r="L1677" s="14">
        <f t="shared" si="52"/>
        <v>0.44000000000000011</v>
      </c>
      <c r="M1677" t="str">
        <f t="shared" si="53"/>
        <v>No</v>
      </c>
    </row>
    <row r="1678" spans="1:13" x14ac:dyDescent="0.25">
      <c r="A1678">
        <v>337934</v>
      </c>
      <c r="B1678" t="s">
        <v>5212</v>
      </c>
      <c r="C1678" t="s">
        <v>5213</v>
      </c>
      <c r="D1678" t="s">
        <v>6220</v>
      </c>
      <c r="E1678">
        <v>79.900000000000006</v>
      </c>
      <c r="F1678" t="s">
        <v>5194</v>
      </c>
      <c r="G1678" t="s">
        <v>5195</v>
      </c>
      <c r="H1678" t="s">
        <v>52</v>
      </c>
      <c r="I1678" s="11">
        <v>46296</v>
      </c>
      <c r="J1678" s="12">
        <v>46296</v>
      </c>
      <c r="K1678" s="13">
        <f>INDEX(Assumptions!$B$4:$B$23,MATCH(F1678,Assumptions!$A$4:$A$23,0))</f>
        <v>4.4444444444444453E-2</v>
      </c>
      <c r="L1678" s="14">
        <f t="shared" si="52"/>
        <v>3.551111111111112</v>
      </c>
      <c r="M1678" t="str">
        <f t="shared" si="53"/>
        <v>No</v>
      </c>
    </row>
    <row r="1679" spans="1:13" x14ac:dyDescent="0.25">
      <c r="A1679">
        <v>337932</v>
      </c>
      <c r="B1679" t="s">
        <v>5215</v>
      </c>
      <c r="C1679" t="s">
        <v>5216</v>
      </c>
      <c r="D1679" t="s">
        <v>6220</v>
      </c>
      <c r="E1679">
        <v>19.899999999999999</v>
      </c>
      <c r="F1679" t="s">
        <v>5194</v>
      </c>
      <c r="G1679" t="s">
        <v>5195</v>
      </c>
      <c r="H1679" t="s">
        <v>52</v>
      </c>
      <c r="I1679" s="11">
        <v>46296</v>
      </c>
      <c r="J1679" s="12">
        <v>46296</v>
      </c>
      <c r="K1679" s="13">
        <f>INDEX(Assumptions!$B$4:$B$23,MATCH(F1679,Assumptions!$A$4:$A$23,0))</f>
        <v>4.4444444444444453E-2</v>
      </c>
      <c r="L1679" s="14">
        <f t="shared" si="52"/>
        <v>0.88444444444444459</v>
      </c>
      <c r="M1679" t="str">
        <f t="shared" si="53"/>
        <v>No</v>
      </c>
    </row>
    <row r="1680" spans="1:13" x14ac:dyDescent="0.25">
      <c r="A1680">
        <v>337931</v>
      </c>
      <c r="B1680" t="s">
        <v>5218</v>
      </c>
      <c r="C1680" t="s">
        <v>5219</v>
      </c>
      <c r="D1680" t="s">
        <v>6220</v>
      </c>
      <c r="E1680">
        <v>39.9</v>
      </c>
      <c r="F1680" t="s">
        <v>5194</v>
      </c>
      <c r="G1680" t="s">
        <v>5195</v>
      </c>
      <c r="H1680" t="s">
        <v>52</v>
      </c>
      <c r="I1680" s="11">
        <v>46296</v>
      </c>
      <c r="J1680" s="12">
        <v>46296</v>
      </c>
      <c r="K1680" s="13">
        <f>INDEX(Assumptions!$B$4:$B$23,MATCH(F1680,Assumptions!$A$4:$A$23,0))</f>
        <v>4.4444444444444453E-2</v>
      </c>
      <c r="L1680" s="14">
        <f t="shared" si="52"/>
        <v>1.7733333333333337</v>
      </c>
      <c r="M1680" t="str">
        <f t="shared" si="53"/>
        <v>No</v>
      </c>
    </row>
    <row r="1681" spans="1:13" x14ac:dyDescent="0.25">
      <c r="A1681">
        <v>337930</v>
      </c>
      <c r="B1681" t="s">
        <v>5221</v>
      </c>
      <c r="C1681" t="s">
        <v>5222</v>
      </c>
      <c r="D1681" t="s">
        <v>6220</v>
      </c>
      <c r="E1681">
        <v>159.9</v>
      </c>
      <c r="F1681" t="s">
        <v>5194</v>
      </c>
      <c r="G1681" t="s">
        <v>5195</v>
      </c>
      <c r="H1681" t="s">
        <v>52</v>
      </c>
      <c r="I1681" s="11">
        <v>46296</v>
      </c>
      <c r="J1681" s="12">
        <v>46296</v>
      </c>
      <c r="K1681" s="13">
        <f>INDEX(Assumptions!$B$4:$B$23,MATCH(F1681,Assumptions!$A$4:$A$23,0))</f>
        <v>4.4444444444444453E-2</v>
      </c>
      <c r="L1681" s="14">
        <f t="shared" si="52"/>
        <v>7.1066666666666682</v>
      </c>
      <c r="M1681" t="str">
        <f t="shared" si="53"/>
        <v>No</v>
      </c>
    </row>
    <row r="1682" spans="1:13" x14ac:dyDescent="0.25">
      <c r="A1682">
        <v>337928</v>
      </c>
      <c r="B1682" t="s">
        <v>5225</v>
      </c>
      <c r="C1682" t="s">
        <v>5226</v>
      </c>
      <c r="D1682" t="s">
        <v>6220</v>
      </c>
      <c r="E1682">
        <v>11.9</v>
      </c>
      <c r="F1682" t="s">
        <v>5194</v>
      </c>
      <c r="G1682" t="s">
        <v>5195</v>
      </c>
      <c r="H1682" t="s">
        <v>52</v>
      </c>
      <c r="I1682" s="11">
        <v>46296</v>
      </c>
      <c r="J1682" s="12">
        <v>46296</v>
      </c>
      <c r="K1682" s="13">
        <f>INDEX(Assumptions!$B$4:$B$23,MATCH(F1682,Assumptions!$A$4:$A$23,0))</f>
        <v>4.4444444444444453E-2</v>
      </c>
      <c r="L1682" s="14">
        <f t="shared" si="52"/>
        <v>0.52888888888888896</v>
      </c>
      <c r="M1682" t="str">
        <f t="shared" si="53"/>
        <v>No</v>
      </c>
    </row>
    <row r="1683" spans="1:13" x14ac:dyDescent="0.25">
      <c r="A1683">
        <v>337929</v>
      </c>
      <c r="B1683" t="s">
        <v>5228</v>
      </c>
      <c r="C1683" t="s">
        <v>5229</v>
      </c>
      <c r="D1683" t="s">
        <v>6220</v>
      </c>
      <c r="E1683">
        <v>12.9</v>
      </c>
      <c r="F1683" t="s">
        <v>5194</v>
      </c>
      <c r="G1683" t="s">
        <v>5195</v>
      </c>
      <c r="H1683" t="s">
        <v>52</v>
      </c>
      <c r="I1683" s="11">
        <v>46296</v>
      </c>
      <c r="J1683" s="12">
        <v>46296</v>
      </c>
      <c r="K1683" s="13">
        <f>INDEX(Assumptions!$B$4:$B$23,MATCH(F1683,Assumptions!$A$4:$A$23,0))</f>
        <v>4.4444444444444453E-2</v>
      </c>
      <c r="L1683" s="14">
        <f t="shared" si="52"/>
        <v>0.57333333333333347</v>
      </c>
      <c r="M1683" t="str">
        <f t="shared" si="53"/>
        <v>No</v>
      </c>
    </row>
    <row r="1684" spans="1:13" x14ac:dyDescent="0.25">
      <c r="A1684">
        <v>337927</v>
      </c>
      <c r="B1684" t="s">
        <v>5231</v>
      </c>
      <c r="C1684" t="s">
        <v>5232</v>
      </c>
      <c r="D1684" t="s">
        <v>6220</v>
      </c>
      <c r="E1684">
        <v>23.9</v>
      </c>
      <c r="F1684" t="s">
        <v>5194</v>
      </c>
      <c r="G1684" t="s">
        <v>5195</v>
      </c>
      <c r="H1684" t="s">
        <v>52</v>
      </c>
      <c r="I1684" s="11">
        <v>46296</v>
      </c>
      <c r="J1684" s="12">
        <v>46296</v>
      </c>
      <c r="K1684" s="13">
        <f>INDEX(Assumptions!$B$4:$B$23,MATCH(F1684,Assumptions!$A$4:$A$23,0))</f>
        <v>4.4444444444444453E-2</v>
      </c>
      <c r="L1684" s="14">
        <f t="shared" si="52"/>
        <v>1.0622222222222224</v>
      </c>
      <c r="M1684" t="str">
        <f t="shared" si="53"/>
        <v>No</v>
      </c>
    </row>
    <row r="1685" spans="1:13" x14ac:dyDescent="0.25">
      <c r="A1685">
        <v>337926</v>
      </c>
      <c r="B1685" t="s">
        <v>5234</v>
      </c>
      <c r="C1685" t="s">
        <v>5235</v>
      </c>
      <c r="D1685" t="s">
        <v>6220</v>
      </c>
      <c r="E1685">
        <v>1.96</v>
      </c>
      <c r="F1685" t="s">
        <v>50</v>
      </c>
      <c r="G1685" t="s">
        <v>4916</v>
      </c>
      <c r="H1685" t="s">
        <v>136</v>
      </c>
      <c r="I1685" s="11">
        <v>46296</v>
      </c>
      <c r="J1685" s="12">
        <v>46296</v>
      </c>
      <c r="K1685" s="13">
        <f>INDEX(Assumptions!$B$4:$B$23,MATCH(F1685,Assumptions!$A$4:$A$23,0))</f>
        <v>1.0869565217391299</v>
      </c>
      <c r="L1685" s="14">
        <f t="shared" si="52"/>
        <v>2.1304347826086945</v>
      </c>
      <c r="M1685" t="str">
        <f t="shared" si="53"/>
        <v>No</v>
      </c>
    </row>
    <row r="1686" spans="1:13" x14ac:dyDescent="0.25">
      <c r="A1686">
        <v>337925</v>
      </c>
      <c r="B1686" t="s">
        <v>5237</v>
      </c>
      <c r="C1686" t="s">
        <v>5238</v>
      </c>
      <c r="D1686" t="s">
        <v>6220</v>
      </c>
      <c r="E1686">
        <v>2.0099999999999998</v>
      </c>
      <c r="F1686" t="s">
        <v>50</v>
      </c>
      <c r="G1686" t="s">
        <v>4916</v>
      </c>
      <c r="H1686" t="s">
        <v>136</v>
      </c>
      <c r="I1686" s="11">
        <v>46296</v>
      </c>
      <c r="J1686" s="12">
        <v>46296</v>
      </c>
      <c r="K1686" s="13">
        <f>INDEX(Assumptions!$B$4:$B$23,MATCH(F1686,Assumptions!$A$4:$A$23,0))</f>
        <v>1.0869565217391299</v>
      </c>
      <c r="L1686" s="14">
        <f t="shared" si="52"/>
        <v>2.184782608695651</v>
      </c>
      <c r="M1686" t="str">
        <f t="shared" si="53"/>
        <v>No</v>
      </c>
    </row>
    <row r="1687" spans="1:13" x14ac:dyDescent="0.25">
      <c r="A1687">
        <v>337924</v>
      </c>
      <c r="B1687" t="s">
        <v>5240</v>
      </c>
      <c r="C1687" t="s">
        <v>5241</v>
      </c>
      <c r="D1687" t="s">
        <v>6220</v>
      </c>
      <c r="E1687">
        <v>1.52</v>
      </c>
      <c r="F1687" t="s">
        <v>50</v>
      </c>
      <c r="G1687" t="s">
        <v>4916</v>
      </c>
      <c r="H1687" t="s">
        <v>136</v>
      </c>
      <c r="I1687" s="11">
        <v>46296</v>
      </c>
      <c r="J1687" s="12">
        <v>46296</v>
      </c>
      <c r="K1687" s="13">
        <f>INDEX(Assumptions!$B$4:$B$23,MATCH(F1687,Assumptions!$A$4:$A$23,0))</f>
        <v>1.0869565217391299</v>
      </c>
      <c r="L1687" s="14">
        <f t="shared" si="52"/>
        <v>1.6521739130434776</v>
      </c>
      <c r="M1687" t="str">
        <f t="shared" si="53"/>
        <v>No</v>
      </c>
    </row>
    <row r="1688" spans="1:13" x14ac:dyDescent="0.25">
      <c r="A1688">
        <v>337923</v>
      </c>
      <c r="B1688" t="s">
        <v>5243</v>
      </c>
      <c r="C1688" t="s">
        <v>5244</v>
      </c>
      <c r="D1688" t="s">
        <v>6220</v>
      </c>
      <c r="E1688">
        <v>1.55</v>
      </c>
      <c r="F1688" t="s">
        <v>50</v>
      </c>
      <c r="G1688" t="s">
        <v>4916</v>
      </c>
      <c r="H1688" t="s">
        <v>136</v>
      </c>
      <c r="I1688" s="11">
        <v>46296</v>
      </c>
      <c r="J1688" s="12">
        <v>46296</v>
      </c>
      <c r="K1688" s="13">
        <f>INDEX(Assumptions!$B$4:$B$23,MATCH(F1688,Assumptions!$A$4:$A$23,0))</f>
        <v>1.0869565217391299</v>
      </c>
      <c r="L1688" s="14">
        <f t="shared" si="52"/>
        <v>1.6847826086956514</v>
      </c>
      <c r="M1688" t="str">
        <f t="shared" si="53"/>
        <v>No</v>
      </c>
    </row>
    <row r="1689" spans="1:13" x14ac:dyDescent="0.25">
      <c r="A1689">
        <v>337922</v>
      </c>
      <c r="B1689" t="s">
        <v>5246</v>
      </c>
      <c r="C1689" t="s">
        <v>5247</v>
      </c>
      <c r="D1689" t="s">
        <v>6220</v>
      </c>
      <c r="E1689">
        <v>2.69</v>
      </c>
      <c r="F1689" t="s">
        <v>50</v>
      </c>
      <c r="G1689" t="s">
        <v>4916</v>
      </c>
      <c r="H1689" t="s">
        <v>136</v>
      </c>
      <c r="I1689" s="11">
        <v>46296</v>
      </c>
      <c r="J1689" s="12">
        <v>46296</v>
      </c>
      <c r="K1689" s="13">
        <f>INDEX(Assumptions!$B$4:$B$23,MATCH(F1689,Assumptions!$A$4:$A$23,0))</f>
        <v>1.0869565217391299</v>
      </c>
      <c r="L1689" s="14">
        <f t="shared" si="52"/>
        <v>2.9239130434782594</v>
      </c>
      <c r="M1689" t="str">
        <f t="shared" si="53"/>
        <v>No</v>
      </c>
    </row>
    <row r="1690" spans="1:13" x14ac:dyDescent="0.25">
      <c r="A1690">
        <v>337921</v>
      </c>
      <c r="B1690" t="s">
        <v>5249</v>
      </c>
      <c r="C1690" t="s">
        <v>5250</v>
      </c>
      <c r="D1690" t="s">
        <v>6220</v>
      </c>
      <c r="E1690">
        <v>2.21</v>
      </c>
      <c r="F1690" t="s">
        <v>50</v>
      </c>
      <c r="G1690" t="s">
        <v>4916</v>
      </c>
      <c r="H1690" t="s">
        <v>136</v>
      </c>
      <c r="I1690" s="11">
        <v>46296</v>
      </c>
      <c r="J1690" s="12">
        <v>46296</v>
      </c>
      <c r="K1690" s="13">
        <f>INDEX(Assumptions!$B$4:$B$23,MATCH(F1690,Assumptions!$A$4:$A$23,0))</f>
        <v>1.0869565217391299</v>
      </c>
      <c r="L1690" s="14">
        <f t="shared" si="52"/>
        <v>2.4021739130434772</v>
      </c>
      <c r="M1690" t="str">
        <f t="shared" si="53"/>
        <v>No</v>
      </c>
    </row>
    <row r="1691" spans="1:13" x14ac:dyDescent="0.25">
      <c r="A1691">
        <v>337920</v>
      </c>
      <c r="B1691" t="s">
        <v>5252</v>
      </c>
      <c r="C1691" t="s">
        <v>5253</v>
      </c>
      <c r="D1691" t="s">
        <v>6220</v>
      </c>
      <c r="E1691">
        <v>2</v>
      </c>
      <c r="F1691" t="s">
        <v>50</v>
      </c>
      <c r="G1691" t="s">
        <v>4916</v>
      </c>
      <c r="H1691" t="s">
        <v>136</v>
      </c>
      <c r="I1691" s="11">
        <v>46296</v>
      </c>
      <c r="J1691" s="12">
        <v>46296</v>
      </c>
      <c r="K1691" s="13">
        <f>INDEX(Assumptions!$B$4:$B$23,MATCH(F1691,Assumptions!$A$4:$A$23,0))</f>
        <v>1.0869565217391299</v>
      </c>
      <c r="L1691" s="14">
        <f t="shared" si="52"/>
        <v>2.1739130434782599</v>
      </c>
      <c r="M1691" t="str">
        <f t="shared" si="53"/>
        <v>No</v>
      </c>
    </row>
    <row r="1692" spans="1:13" x14ac:dyDescent="0.25">
      <c r="A1692">
        <v>337919</v>
      </c>
      <c r="B1692" t="s">
        <v>5255</v>
      </c>
      <c r="C1692" t="s">
        <v>5256</v>
      </c>
      <c r="D1692" t="s">
        <v>6220</v>
      </c>
      <c r="E1692">
        <v>1.03</v>
      </c>
      <c r="F1692" t="s">
        <v>50</v>
      </c>
      <c r="G1692" t="s">
        <v>4916</v>
      </c>
      <c r="H1692" t="s">
        <v>136</v>
      </c>
      <c r="I1692" s="11">
        <v>46296</v>
      </c>
      <c r="J1692" s="12">
        <v>46296</v>
      </c>
      <c r="K1692" s="13">
        <f>INDEX(Assumptions!$B$4:$B$23,MATCH(F1692,Assumptions!$A$4:$A$23,0))</f>
        <v>1.0869565217391299</v>
      </c>
      <c r="L1692" s="14">
        <f t="shared" si="52"/>
        <v>1.1195652173913038</v>
      </c>
      <c r="M1692" t="str">
        <f t="shared" si="53"/>
        <v>No</v>
      </c>
    </row>
    <row r="1693" spans="1:13" x14ac:dyDescent="0.25">
      <c r="A1693">
        <v>337918</v>
      </c>
      <c r="B1693" t="s">
        <v>5258</v>
      </c>
      <c r="C1693" t="s">
        <v>5259</v>
      </c>
      <c r="D1693" t="s">
        <v>6220</v>
      </c>
      <c r="E1693">
        <v>1</v>
      </c>
      <c r="F1693" t="s">
        <v>50</v>
      </c>
      <c r="G1693" t="s">
        <v>4916</v>
      </c>
      <c r="H1693" t="s">
        <v>136</v>
      </c>
      <c r="I1693" s="11">
        <v>46296</v>
      </c>
      <c r="J1693" s="12">
        <v>46296</v>
      </c>
      <c r="K1693" s="13">
        <f>INDEX(Assumptions!$B$4:$B$23,MATCH(F1693,Assumptions!$A$4:$A$23,0))</f>
        <v>1.0869565217391299</v>
      </c>
      <c r="L1693" s="14">
        <f t="shared" si="52"/>
        <v>1.0869565217391299</v>
      </c>
      <c r="M1693" t="str">
        <f t="shared" si="53"/>
        <v>No</v>
      </c>
    </row>
    <row r="1694" spans="1:13" x14ac:dyDescent="0.25">
      <c r="A1694">
        <v>337917</v>
      </c>
      <c r="B1694" t="s">
        <v>5262</v>
      </c>
      <c r="C1694" t="s">
        <v>5263</v>
      </c>
      <c r="D1694" t="s">
        <v>6220</v>
      </c>
      <c r="E1694">
        <v>3.01</v>
      </c>
      <c r="F1694" t="s">
        <v>50</v>
      </c>
      <c r="G1694" t="s">
        <v>4916</v>
      </c>
      <c r="H1694" t="s">
        <v>136</v>
      </c>
      <c r="I1694" s="11">
        <v>46296</v>
      </c>
      <c r="J1694" s="12">
        <v>46296</v>
      </c>
      <c r="K1694" s="13">
        <f>INDEX(Assumptions!$B$4:$B$23,MATCH(F1694,Assumptions!$A$4:$A$23,0))</f>
        <v>1.0869565217391299</v>
      </c>
      <c r="L1694" s="14">
        <f t="shared" si="52"/>
        <v>3.2717391304347809</v>
      </c>
      <c r="M1694" t="str">
        <f t="shared" si="53"/>
        <v>No</v>
      </c>
    </row>
    <row r="1695" spans="1:13" x14ac:dyDescent="0.25">
      <c r="A1695">
        <v>337916</v>
      </c>
      <c r="B1695" t="s">
        <v>5266</v>
      </c>
      <c r="C1695" t="s">
        <v>5267</v>
      </c>
      <c r="D1695" t="s">
        <v>6220</v>
      </c>
      <c r="E1695">
        <v>2.77</v>
      </c>
      <c r="F1695" t="s">
        <v>50</v>
      </c>
      <c r="G1695" t="s">
        <v>4916</v>
      </c>
      <c r="H1695" t="s">
        <v>136</v>
      </c>
      <c r="I1695" s="11">
        <v>46296</v>
      </c>
      <c r="J1695" s="12">
        <v>46296</v>
      </c>
      <c r="K1695" s="13">
        <f>INDEX(Assumptions!$B$4:$B$23,MATCH(F1695,Assumptions!$A$4:$A$23,0))</f>
        <v>1.0869565217391299</v>
      </c>
      <c r="L1695" s="14">
        <f t="shared" si="52"/>
        <v>3.0108695652173898</v>
      </c>
      <c r="M1695" t="str">
        <f t="shared" si="53"/>
        <v>No</v>
      </c>
    </row>
    <row r="1696" spans="1:13" x14ac:dyDescent="0.25">
      <c r="A1696">
        <v>337915</v>
      </c>
      <c r="B1696" t="s">
        <v>5270</v>
      </c>
      <c r="C1696" t="s">
        <v>5271</v>
      </c>
      <c r="D1696" t="s">
        <v>6220</v>
      </c>
      <c r="E1696">
        <v>2.84</v>
      </c>
      <c r="F1696" t="s">
        <v>50</v>
      </c>
      <c r="G1696" t="s">
        <v>4916</v>
      </c>
      <c r="H1696" t="s">
        <v>136</v>
      </c>
      <c r="I1696" s="11">
        <v>46296</v>
      </c>
      <c r="J1696" s="12">
        <v>46296</v>
      </c>
      <c r="K1696" s="13">
        <f>INDEX(Assumptions!$B$4:$B$23,MATCH(F1696,Assumptions!$A$4:$A$23,0))</f>
        <v>1.0869565217391299</v>
      </c>
      <c r="L1696" s="14">
        <f t="shared" si="52"/>
        <v>3.086956521739129</v>
      </c>
      <c r="M1696" t="str">
        <f t="shared" si="53"/>
        <v>No</v>
      </c>
    </row>
    <row r="1697" spans="1:13" x14ac:dyDescent="0.25">
      <c r="A1697">
        <v>337914</v>
      </c>
      <c r="B1697" t="s">
        <v>5273</v>
      </c>
      <c r="C1697" t="s">
        <v>5274</v>
      </c>
      <c r="D1697" t="s">
        <v>6220</v>
      </c>
      <c r="E1697">
        <v>1.71</v>
      </c>
      <c r="F1697" t="s">
        <v>50</v>
      </c>
      <c r="G1697" t="s">
        <v>4916</v>
      </c>
      <c r="H1697" t="s">
        <v>136</v>
      </c>
      <c r="I1697" s="11">
        <v>46296</v>
      </c>
      <c r="J1697" s="12">
        <v>46296</v>
      </c>
      <c r="K1697" s="13">
        <f>INDEX(Assumptions!$B$4:$B$23,MATCH(F1697,Assumptions!$A$4:$A$23,0))</f>
        <v>1.0869565217391299</v>
      </c>
      <c r="L1697" s="14">
        <f t="shared" si="52"/>
        <v>1.8586956521739122</v>
      </c>
      <c r="M1697" t="str">
        <f t="shared" si="53"/>
        <v>No</v>
      </c>
    </row>
    <row r="1698" spans="1:13" x14ac:dyDescent="0.25">
      <c r="A1698">
        <v>337913</v>
      </c>
      <c r="B1698" t="s">
        <v>5276</v>
      </c>
      <c r="C1698" t="s">
        <v>5277</v>
      </c>
      <c r="D1698" t="s">
        <v>6220</v>
      </c>
      <c r="E1698">
        <v>2.36</v>
      </c>
      <c r="F1698" t="s">
        <v>50</v>
      </c>
      <c r="G1698" t="s">
        <v>4916</v>
      </c>
      <c r="H1698" t="s">
        <v>136</v>
      </c>
      <c r="I1698" s="11">
        <v>46296</v>
      </c>
      <c r="J1698" s="12">
        <v>46296</v>
      </c>
      <c r="K1698" s="13">
        <f>INDEX(Assumptions!$B$4:$B$23,MATCH(F1698,Assumptions!$A$4:$A$23,0))</f>
        <v>1.0869565217391299</v>
      </c>
      <c r="L1698" s="14">
        <f t="shared" si="52"/>
        <v>2.5652173913043463</v>
      </c>
      <c r="M1698" t="str">
        <f t="shared" si="53"/>
        <v>No</v>
      </c>
    </row>
    <row r="1699" spans="1:13" x14ac:dyDescent="0.25">
      <c r="A1699">
        <v>337912</v>
      </c>
      <c r="B1699" t="s">
        <v>5279</v>
      </c>
      <c r="C1699" t="s">
        <v>5280</v>
      </c>
      <c r="D1699" t="s">
        <v>6220</v>
      </c>
      <c r="E1699">
        <v>1.21</v>
      </c>
      <c r="F1699" t="s">
        <v>50</v>
      </c>
      <c r="G1699" t="s">
        <v>4916</v>
      </c>
      <c r="H1699" t="s">
        <v>136</v>
      </c>
      <c r="I1699" s="11">
        <v>46296</v>
      </c>
      <c r="J1699" s="12">
        <v>46296</v>
      </c>
      <c r="K1699" s="13">
        <f>INDEX(Assumptions!$B$4:$B$23,MATCH(F1699,Assumptions!$A$4:$A$23,0))</f>
        <v>1.0869565217391299</v>
      </c>
      <c r="L1699" s="14">
        <f t="shared" si="52"/>
        <v>1.3152173913043472</v>
      </c>
      <c r="M1699" t="str">
        <f t="shared" si="53"/>
        <v>No</v>
      </c>
    </row>
    <row r="1700" spans="1:13" x14ac:dyDescent="0.25">
      <c r="A1700">
        <v>337911</v>
      </c>
      <c r="B1700" t="s">
        <v>5283</v>
      </c>
      <c r="C1700" t="s">
        <v>5284</v>
      </c>
      <c r="D1700" t="s">
        <v>6220</v>
      </c>
      <c r="E1700">
        <v>0.9</v>
      </c>
      <c r="F1700" t="s">
        <v>50</v>
      </c>
      <c r="G1700" t="s">
        <v>4916</v>
      </c>
      <c r="H1700" t="s">
        <v>136</v>
      </c>
      <c r="I1700" s="11">
        <v>46296</v>
      </c>
      <c r="J1700" s="12">
        <v>46296</v>
      </c>
      <c r="K1700" s="13">
        <f>INDEX(Assumptions!$B$4:$B$23,MATCH(F1700,Assumptions!$A$4:$A$23,0))</f>
        <v>1.0869565217391299</v>
      </c>
      <c r="L1700" s="14">
        <f t="shared" si="52"/>
        <v>0.97826086956521696</v>
      </c>
      <c r="M1700" t="str">
        <f t="shared" si="53"/>
        <v>No</v>
      </c>
    </row>
    <row r="1701" spans="1:13" x14ac:dyDescent="0.25">
      <c r="A1701">
        <v>337910</v>
      </c>
      <c r="B1701" t="s">
        <v>5287</v>
      </c>
      <c r="C1701" t="s">
        <v>5288</v>
      </c>
      <c r="D1701" t="s">
        <v>6220</v>
      </c>
      <c r="E1701">
        <v>4.95</v>
      </c>
      <c r="F1701" t="s">
        <v>50</v>
      </c>
      <c r="G1701" t="s">
        <v>4916</v>
      </c>
      <c r="H1701" t="s">
        <v>136</v>
      </c>
      <c r="I1701" s="11">
        <v>46296</v>
      </c>
      <c r="J1701" s="12">
        <v>46296</v>
      </c>
      <c r="K1701" s="13">
        <f>INDEX(Assumptions!$B$4:$B$23,MATCH(F1701,Assumptions!$A$4:$A$23,0))</f>
        <v>1.0869565217391299</v>
      </c>
      <c r="L1701" s="14">
        <f t="shared" si="52"/>
        <v>5.3804347826086936</v>
      </c>
      <c r="M1701" t="str">
        <f t="shared" si="53"/>
        <v>No</v>
      </c>
    </row>
    <row r="1702" spans="1:13" x14ac:dyDescent="0.25">
      <c r="A1702">
        <v>337909</v>
      </c>
      <c r="B1702" t="s">
        <v>5290</v>
      </c>
      <c r="C1702" t="s">
        <v>5291</v>
      </c>
      <c r="D1702" t="s">
        <v>6220</v>
      </c>
      <c r="E1702">
        <v>3.83</v>
      </c>
      <c r="F1702" t="s">
        <v>50</v>
      </c>
      <c r="G1702" t="s">
        <v>4916</v>
      </c>
      <c r="H1702" t="s">
        <v>136</v>
      </c>
      <c r="I1702" s="11">
        <v>46296</v>
      </c>
      <c r="J1702" s="12">
        <v>46296</v>
      </c>
      <c r="K1702" s="13">
        <f>INDEX(Assumptions!$B$4:$B$23,MATCH(F1702,Assumptions!$A$4:$A$23,0))</f>
        <v>1.0869565217391299</v>
      </c>
      <c r="L1702" s="14">
        <f t="shared" si="52"/>
        <v>4.1630434782608674</v>
      </c>
      <c r="M1702" t="str">
        <f t="shared" si="53"/>
        <v>No</v>
      </c>
    </row>
    <row r="1703" spans="1:13" x14ac:dyDescent="0.25">
      <c r="A1703">
        <v>337908</v>
      </c>
      <c r="B1703" t="s">
        <v>5293</v>
      </c>
      <c r="C1703" t="s">
        <v>5294</v>
      </c>
      <c r="D1703" t="s">
        <v>6220</v>
      </c>
      <c r="E1703">
        <v>2.0499999999999998</v>
      </c>
      <c r="F1703" t="s">
        <v>50</v>
      </c>
      <c r="G1703" t="s">
        <v>4916</v>
      </c>
      <c r="H1703" t="s">
        <v>136</v>
      </c>
      <c r="I1703" s="11">
        <v>46296</v>
      </c>
      <c r="J1703" s="12">
        <v>46296</v>
      </c>
      <c r="K1703" s="13">
        <f>INDEX(Assumptions!$B$4:$B$23,MATCH(F1703,Assumptions!$A$4:$A$23,0))</f>
        <v>1.0869565217391299</v>
      </c>
      <c r="L1703" s="14">
        <f t="shared" si="52"/>
        <v>2.228260869565216</v>
      </c>
      <c r="M1703" t="str">
        <f t="shared" si="53"/>
        <v>No</v>
      </c>
    </row>
    <row r="1704" spans="1:13" x14ac:dyDescent="0.25">
      <c r="A1704">
        <v>337907</v>
      </c>
      <c r="B1704" t="s">
        <v>5296</v>
      </c>
      <c r="C1704" t="s">
        <v>5297</v>
      </c>
      <c r="D1704" t="s">
        <v>6220</v>
      </c>
      <c r="E1704">
        <v>3.49</v>
      </c>
      <c r="F1704" t="s">
        <v>50</v>
      </c>
      <c r="G1704" t="s">
        <v>4916</v>
      </c>
      <c r="H1704" t="s">
        <v>136</v>
      </c>
      <c r="I1704" s="11">
        <v>46296</v>
      </c>
      <c r="J1704" s="12">
        <v>46296</v>
      </c>
      <c r="K1704" s="13">
        <f>INDEX(Assumptions!$B$4:$B$23,MATCH(F1704,Assumptions!$A$4:$A$23,0))</f>
        <v>1.0869565217391299</v>
      </c>
      <c r="L1704" s="14">
        <f t="shared" si="52"/>
        <v>3.7934782608695636</v>
      </c>
      <c r="M1704" t="str">
        <f t="shared" si="53"/>
        <v>No</v>
      </c>
    </row>
    <row r="1705" spans="1:13" x14ac:dyDescent="0.25">
      <c r="A1705">
        <v>337906</v>
      </c>
      <c r="B1705" t="s">
        <v>5299</v>
      </c>
      <c r="C1705" t="s">
        <v>5300</v>
      </c>
      <c r="D1705" t="s">
        <v>6220</v>
      </c>
      <c r="E1705">
        <v>3.53</v>
      </c>
      <c r="F1705" t="s">
        <v>50</v>
      </c>
      <c r="G1705" t="s">
        <v>4916</v>
      </c>
      <c r="H1705" t="s">
        <v>136</v>
      </c>
      <c r="I1705" s="11">
        <v>46296</v>
      </c>
      <c r="J1705" s="12">
        <v>46296</v>
      </c>
      <c r="K1705" s="13">
        <f>INDEX(Assumptions!$B$4:$B$23,MATCH(F1705,Assumptions!$A$4:$A$23,0))</f>
        <v>1.0869565217391299</v>
      </c>
      <c r="L1705" s="14">
        <f t="shared" si="52"/>
        <v>3.8369565217391286</v>
      </c>
      <c r="M1705" t="str">
        <f t="shared" si="53"/>
        <v>No</v>
      </c>
    </row>
    <row r="1706" spans="1:13" x14ac:dyDescent="0.25">
      <c r="A1706">
        <v>337905</v>
      </c>
      <c r="B1706" t="s">
        <v>5303</v>
      </c>
      <c r="C1706" t="s">
        <v>5304</v>
      </c>
      <c r="D1706" t="s">
        <v>6220</v>
      </c>
      <c r="E1706">
        <v>0.79</v>
      </c>
      <c r="F1706" t="s">
        <v>50</v>
      </c>
      <c r="G1706" t="s">
        <v>4916</v>
      </c>
      <c r="H1706" t="s">
        <v>136</v>
      </c>
      <c r="I1706" s="11">
        <v>46296</v>
      </c>
      <c r="J1706" s="12">
        <v>46296</v>
      </c>
      <c r="K1706" s="13">
        <f>INDEX(Assumptions!$B$4:$B$23,MATCH(F1706,Assumptions!$A$4:$A$23,0))</f>
        <v>1.0869565217391299</v>
      </c>
      <c r="L1706" s="14">
        <f t="shared" si="52"/>
        <v>0.85869565217391264</v>
      </c>
      <c r="M1706" t="str">
        <f t="shared" si="53"/>
        <v>No</v>
      </c>
    </row>
    <row r="1707" spans="1:13" x14ac:dyDescent="0.25">
      <c r="A1707">
        <v>337904</v>
      </c>
      <c r="B1707" t="s">
        <v>5306</v>
      </c>
      <c r="C1707" t="s">
        <v>5307</v>
      </c>
      <c r="D1707" t="s">
        <v>6220</v>
      </c>
      <c r="E1707">
        <v>2.19</v>
      </c>
      <c r="F1707" t="s">
        <v>50</v>
      </c>
      <c r="G1707" t="s">
        <v>4916</v>
      </c>
      <c r="H1707" t="s">
        <v>136</v>
      </c>
      <c r="I1707" s="11">
        <v>46296</v>
      </c>
      <c r="J1707" s="12">
        <v>46296</v>
      </c>
      <c r="K1707" s="13">
        <f>INDEX(Assumptions!$B$4:$B$23,MATCH(F1707,Assumptions!$A$4:$A$23,0))</f>
        <v>1.0869565217391299</v>
      </c>
      <c r="L1707" s="14">
        <f t="shared" si="52"/>
        <v>2.3804347826086945</v>
      </c>
      <c r="M1707" t="str">
        <f t="shared" si="53"/>
        <v>No</v>
      </c>
    </row>
    <row r="1708" spans="1:13" x14ac:dyDescent="0.25">
      <c r="A1708">
        <v>337903</v>
      </c>
      <c r="B1708" t="s">
        <v>5309</v>
      </c>
      <c r="C1708" t="s">
        <v>5310</v>
      </c>
      <c r="D1708" t="s">
        <v>6220</v>
      </c>
      <c r="E1708">
        <v>2.2999999999999998</v>
      </c>
      <c r="F1708" t="s">
        <v>50</v>
      </c>
      <c r="G1708" t="s">
        <v>4916</v>
      </c>
      <c r="H1708" t="s">
        <v>136</v>
      </c>
      <c r="I1708" s="11">
        <v>46296</v>
      </c>
      <c r="J1708" s="12">
        <v>46296</v>
      </c>
      <c r="K1708" s="13">
        <f>INDEX(Assumptions!$B$4:$B$23,MATCH(F1708,Assumptions!$A$4:$A$23,0))</f>
        <v>1.0869565217391299</v>
      </c>
      <c r="L1708" s="14">
        <f t="shared" si="52"/>
        <v>2.4999999999999987</v>
      </c>
      <c r="M1708" t="str">
        <f t="shared" si="53"/>
        <v>No</v>
      </c>
    </row>
    <row r="1709" spans="1:13" x14ac:dyDescent="0.25">
      <c r="A1709">
        <v>337902</v>
      </c>
      <c r="B1709" t="s">
        <v>5312</v>
      </c>
      <c r="C1709" t="s">
        <v>5313</v>
      </c>
      <c r="D1709" t="s">
        <v>6220</v>
      </c>
      <c r="E1709">
        <v>1.98</v>
      </c>
      <c r="F1709" t="s">
        <v>50</v>
      </c>
      <c r="G1709" t="s">
        <v>4916</v>
      </c>
      <c r="H1709" t="s">
        <v>136</v>
      </c>
      <c r="I1709" s="11">
        <v>46296</v>
      </c>
      <c r="J1709" s="12">
        <v>46296</v>
      </c>
      <c r="K1709" s="13">
        <f>INDEX(Assumptions!$B$4:$B$23,MATCH(F1709,Assumptions!$A$4:$A$23,0))</f>
        <v>1.0869565217391299</v>
      </c>
      <c r="L1709" s="14">
        <f t="shared" si="52"/>
        <v>2.1521739130434772</v>
      </c>
      <c r="M1709" t="str">
        <f t="shared" si="53"/>
        <v>No</v>
      </c>
    </row>
    <row r="1710" spans="1:13" x14ac:dyDescent="0.25">
      <c r="A1710">
        <v>337901</v>
      </c>
      <c r="B1710" t="s">
        <v>5315</v>
      </c>
      <c r="C1710" t="s">
        <v>5316</v>
      </c>
      <c r="D1710" t="s">
        <v>6220</v>
      </c>
      <c r="E1710">
        <v>4.1900000000000004</v>
      </c>
      <c r="F1710" t="s">
        <v>50</v>
      </c>
      <c r="G1710" t="s">
        <v>4916</v>
      </c>
      <c r="H1710" t="s">
        <v>136</v>
      </c>
      <c r="I1710" s="11">
        <v>46296</v>
      </c>
      <c r="J1710" s="12">
        <v>46296</v>
      </c>
      <c r="K1710" s="13">
        <f>INDEX(Assumptions!$B$4:$B$23,MATCH(F1710,Assumptions!$A$4:$A$23,0))</f>
        <v>1.0869565217391299</v>
      </c>
      <c r="L1710" s="14">
        <f t="shared" si="52"/>
        <v>4.5543478260869552</v>
      </c>
      <c r="M1710" t="str">
        <f t="shared" si="53"/>
        <v>No</v>
      </c>
    </row>
    <row r="1711" spans="1:13" x14ac:dyDescent="0.25">
      <c r="A1711">
        <v>337900</v>
      </c>
      <c r="B1711" t="s">
        <v>5318</v>
      </c>
      <c r="C1711" t="s">
        <v>5319</v>
      </c>
      <c r="D1711" t="s">
        <v>6220</v>
      </c>
      <c r="E1711">
        <v>3.07</v>
      </c>
      <c r="F1711" t="s">
        <v>50</v>
      </c>
      <c r="G1711" t="s">
        <v>4916</v>
      </c>
      <c r="H1711" t="s">
        <v>136</v>
      </c>
      <c r="I1711" s="11">
        <v>46296</v>
      </c>
      <c r="J1711" s="12">
        <v>46296</v>
      </c>
      <c r="K1711" s="13">
        <f>INDEX(Assumptions!$B$4:$B$23,MATCH(F1711,Assumptions!$A$4:$A$23,0))</f>
        <v>1.0869565217391299</v>
      </c>
      <c r="L1711" s="14">
        <f t="shared" si="52"/>
        <v>3.3369565217391286</v>
      </c>
      <c r="M1711" t="str">
        <f t="shared" si="53"/>
        <v>No</v>
      </c>
    </row>
    <row r="1712" spans="1:13" x14ac:dyDescent="0.25">
      <c r="A1712">
        <v>337899</v>
      </c>
      <c r="B1712" t="s">
        <v>5322</v>
      </c>
      <c r="C1712" t="s">
        <v>5323</v>
      </c>
      <c r="D1712" t="s">
        <v>6220</v>
      </c>
      <c r="E1712">
        <v>1.93</v>
      </c>
      <c r="F1712" t="s">
        <v>50</v>
      </c>
      <c r="G1712" t="s">
        <v>4916</v>
      </c>
      <c r="H1712" t="s">
        <v>136</v>
      </c>
      <c r="I1712" s="11">
        <v>46296</v>
      </c>
      <c r="J1712" s="12">
        <v>46296</v>
      </c>
      <c r="K1712" s="13">
        <f>INDEX(Assumptions!$B$4:$B$23,MATCH(F1712,Assumptions!$A$4:$A$23,0))</f>
        <v>1.0869565217391299</v>
      </c>
      <c r="L1712" s="14">
        <f t="shared" si="52"/>
        <v>2.0978260869565206</v>
      </c>
      <c r="M1712" t="str">
        <f t="shared" si="53"/>
        <v>No</v>
      </c>
    </row>
    <row r="1713" spans="1:13" x14ac:dyDescent="0.25">
      <c r="A1713">
        <v>337898</v>
      </c>
      <c r="B1713" t="s">
        <v>549</v>
      </c>
      <c r="C1713" t="s">
        <v>5326</v>
      </c>
      <c r="D1713" t="s">
        <v>6220</v>
      </c>
      <c r="E1713">
        <v>3.2</v>
      </c>
      <c r="F1713" t="s">
        <v>50</v>
      </c>
      <c r="G1713" t="s">
        <v>4916</v>
      </c>
      <c r="H1713" t="s">
        <v>136</v>
      </c>
      <c r="I1713" s="11">
        <v>46296</v>
      </c>
      <c r="J1713" s="12">
        <v>46296</v>
      </c>
      <c r="K1713" s="13">
        <f>INDEX(Assumptions!$B$4:$B$23,MATCH(F1713,Assumptions!$A$4:$A$23,0))</f>
        <v>1.0869565217391299</v>
      </c>
      <c r="L1713" s="14">
        <f t="shared" si="52"/>
        <v>3.478260869565216</v>
      </c>
      <c r="M1713" t="str">
        <f t="shared" si="53"/>
        <v>No</v>
      </c>
    </row>
    <row r="1714" spans="1:13" x14ac:dyDescent="0.25">
      <c r="A1714">
        <v>337897</v>
      </c>
      <c r="B1714" t="s">
        <v>5328</v>
      </c>
      <c r="C1714" t="s">
        <v>5329</v>
      </c>
      <c r="D1714" t="s">
        <v>6220</v>
      </c>
      <c r="E1714">
        <v>2.2799999999999998</v>
      </c>
      <c r="F1714" t="s">
        <v>50</v>
      </c>
      <c r="G1714" t="s">
        <v>4916</v>
      </c>
      <c r="H1714" t="s">
        <v>136</v>
      </c>
      <c r="I1714" s="11">
        <v>46296</v>
      </c>
      <c r="J1714" s="12">
        <v>46296</v>
      </c>
      <c r="K1714" s="13">
        <f>INDEX(Assumptions!$B$4:$B$23,MATCH(F1714,Assumptions!$A$4:$A$23,0))</f>
        <v>1.0869565217391299</v>
      </c>
      <c r="L1714" s="14">
        <f t="shared" si="52"/>
        <v>2.478260869565216</v>
      </c>
      <c r="M1714" t="str">
        <f t="shared" si="53"/>
        <v>No</v>
      </c>
    </row>
    <row r="1715" spans="1:13" x14ac:dyDescent="0.25">
      <c r="A1715">
        <v>337896</v>
      </c>
      <c r="B1715" t="s">
        <v>5331</v>
      </c>
      <c r="C1715" t="s">
        <v>5332</v>
      </c>
      <c r="D1715" t="s">
        <v>6220</v>
      </c>
      <c r="E1715">
        <v>1.31</v>
      </c>
      <c r="F1715" t="s">
        <v>50</v>
      </c>
      <c r="G1715" t="s">
        <v>4916</v>
      </c>
      <c r="H1715" t="s">
        <v>136</v>
      </c>
      <c r="I1715" s="11">
        <v>46296</v>
      </c>
      <c r="J1715" s="12">
        <v>46296</v>
      </c>
      <c r="K1715" s="13">
        <f>INDEX(Assumptions!$B$4:$B$23,MATCH(F1715,Assumptions!$A$4:$A$23,0))</f>
        <v>1.0869565217391299</v>
      </c>
      <c r="L1715" s="14">
        <f t="shared" si="52"/>
        <v>1.4239130434782603</v>
      </c>
      <c r="M1715" t="str">
        <f t="shared" si="53"/>
        <v>No</v>
      </c>
    </row>
    <row r="1716" spans="1:13" x14ac:dyDescent="0.25">
      <c r="A1716">
        <v>337895</v>
      </c>
      <c r="B1716" t="s">
        <v>5335</v>
      </c>
      <c r="C1716" t="s">
        <v>5336</v>
      </c>
      <c r="D1716" t="s">
        <v>6220</v>
      </c>
      <c r="E1716">
        <v>1.56</v>
      </c>
      <c r="F1716" t="s">
        <v>50</v>
      </c>
      <c r="G1716" t="s">
        <v>4916</v>
      </c>
      <c r="H1716" t="s">
        <v>136</v>
      </c>
      <c r="I1716" s="11">
        <v>46296</v>
      </c>
      <c r="J1716" s="12">
        <v>46296</v>
      </c>
      <c r="K1716" s="13">
        <f>INDEX(Assumptions!$B$4:$B$23,MATCH(F1716,Assumptions!$A$4:$A$23,0))</f>
        <v>1.0869565217391299</v>
      </c>
      <c r="L1716" s="14">
        <f t="shared" si="52"/>
        <v>1.6956521739130428</v>
      </c>
      <c r="M1716" t="str">
        <f t="shared" si="53"/>
        <v>No</v>
      </c>
    </row>
    <row r="1717" spans="1:13" x14ac:dyDescent="0.25">
      <c r="A1717">
        <v>337894</v>
      </c>
      <c r="B1717" t="s">
        <v>5339</v>
      </c>
      <c r="C1717" t="s">
        <v>5340</v>
      </c>
      <c r="D1717" t="s">
        <v>6220</v>
      </c>
      <c r="E1717">
        <v>3.12</v>
      </c>
      <c r="F1717" t="s">
        <v>50</v>
      </c>
      <c r="G1717" t="s">
        <v>4916</v>
      </c>
      <c r="H1717" t="s">
        <v>136</v>
      </c>
      <c r="I1717" s="11">
        <v>46296</v>
      </c>
      <c r="J1717" s="12">
        <v>46296</v>
      </c>
      <c r="K1717" s="13">
        <f>INDEX(Assumptions!$B$4:$B$23,MATCH(F1717,Assumptions!$A$4:$A$23,0))</f>
        <v>1.0869565217391299</v>
      </c>
      <c r="L1717" s="14">
        <f t="shared" si="52"/>
        <v>3.3913043478260856</v>
      </c>
      <c r="M1717" t="str">
        <f t="shared" si="53"/>
        <v>No</v>
      </c>
    </row>
    <row r="1718" spans="1:13" x14ac:dyDescent="0.25">
      <c r="A1718">
        <v>337893</v>
      </c>
      <c r="B1718" t="s">
        <v>5343</v>
      </c>
      <c r="C1718" t="s">
        <v>5344</v>
      </c>
      <c r="D1718" t="s">
        <v>6220</v>
      </c>
      <c r="E1718">
        <v>2.69</v>
      </c>
      <c r="F1718" t="s">
        <v>50</v>
      </c>
      <c r="G1718" t="s">
        <v>4916</v>
      </c>
      <c r="H1718" t="s">
        <v>136</v>
      </c>
      <c r="I1718" s="11">
        <v>46296</v>
      </c>
      <c r="J1718" s="12">
        <v>46296</v>
      </c>
      <c r="K1718" s="13">
        <f>INDEX(Assumptions!$B$4:$B$23,MATCH(F1718,Assumptions!$A$4:$A$23,0))</f>
        <v>1.0869565217391299</v>
      </c>
      <c r="L1718" s="14">
        <f t="shared" si="52"/>
        <v>2.9239130434782594</v>
      </c>
      <c r="M1718" t="str">
        <f t="shared" si="53"/>
        <v>No</v>
      </c>
    </row>
    <row r="1719" spans="1:13" x14ac:dyDescent="0.25">
      <c r="A1719">
        <v>337892</v>
      </c>
      <c r="B1719" t="s">
        <v>5346</v>
      </c>
      <c r="C1719" t="s">
        <v>5347</v>
      </c>
      <c r="D1719" t="s">
        <v>6220</v>
      </c>
      <c r="E1719">
        <v>0.88</v>
      </c>
      <c r="F1719" t="s">
        <v>50</v>
      </c>
      <c r="G1719" t="s">
        <v>4916</v>
      </c>
      <c r="H1719" t="s">
        <v>136</v>
      </c>
      <c r="I1719" s="11">
        <v>46296</v>
      </c>
      <c r="J1719" s="12">
        <v>46296</v>
      </c>
      <c r="K1719" s="13">
        <f>INDEX(Assumptions!$B$4:$B$23,MATCH(F1719,Assumptions!$A$4:$A$23,0))</f>
        <v>1.0869565217391299</v>
      </c>
      <c r="L1719" s="14">
        <f t="shared" si="52"/>
        <v>0.95652173913043437</v>
      </c>
      <c r="M1719" t="str">
        <f t="shared" si="53"/>
        <v>No</v>
      </c>
    </row>
    <row r="1720" spans="1:13" x14ac:dyDescent="0.25">
      <c r="A1720">
        <v>337891</v>
      </c>
      <c r="B1720" t="s">
        <v>5349</v>
      </c>
      <c r="C1720" t="s">
        <v>5350</v>
      </c>
      <c r="D1720" t="s">
        <v>6220</v>
      </c>
      <c r="E1720">
        <v>0.9</v>
      </c>
      <c r="F1720" t="s">
        <v>50</v>
      </c>
      <c r="G1720" t="s">
        <v>4916</v>
      </c>
      <c r="H1720" t="s">
        <v>136</v>
      </c>
      <c r="I1720" s="11">
        <v>46296</v>
      </c>
      <c r="J1720" s="12">
        <v>46296</v>
      </c>
      <c r="K1720" s="13">
        <f>INDEX(Assumptions!$B$4:$B$23,MATCH(F1720,Assumptions!$A$4:$A$23,0))</f>
        <v>1.0869565217391299</v>
      </c>
      <c r="L1720" s="14">
        <f t="shared" si="52"/>
        <v>0.97826086956521696</v>
      </c>
      <c r="M1720" t="str">
        <f t="shared" si="53"/>
        <v>No</v>
      </c>
    </row>
    <row r="1721" spans="1:13" x14ac:dyDescent="0.25">
      <c r="A1721">
        <v>337890</v>
      </c>
      <c r="B1721" t="s">
        <v>5352</v>
      </c>
      <c r="C1721" t="s">
        <v>5353</v>
      </c>
      <c r="D1721" t="s">
        <v>6220</v>
      </c>
      <c r="E1721">
        <v>3.65</v>
      </c>
      <c r="F1721" t="s">
        <v>50</v>
      </c>
      <c r="G1721" t="s">
        <v>4916</v>
      </c>
      <c r="H1721" t="s">
        <v>136</v>
      </c>
      <c r="I1721" s="11">
        <v>46296</v>
      </c>
      <c r="J1721" s="12">
        <v>46296</v>
      </c>
      <c r="K1721" s="13">
        <f>INDEX(Assumptions!$B$4:$B$23,MATCH(F1721,Assumptions!$A$4:$A$23,0))</f>
        <v>1.0869565217391299</v>
      </c>
      <c r="L1721" s="14">
        <f t="shared" si="52"/>
        <v>3.9673913043478239</v>
      </c>
      <c r="M1721" t="str">
        <f t="shared" si="53"/>
        <v>No</v>
      </c>
    </row>
    <row r="1722" spans="1:13" x14ac:dyDescent="0.25">
      <c r="A1722">
        <v>337889</v>
      </c>
      <c r="B1722" t="s">
        <v>5355</v>
      </c>
      <c r="C1722" t="s">
        <v>5356</v>
      </c>
      <c r="D1722" t="s">
        <v>6220</v>
      </c>
      <c r="E1722">
        <v>1.56</v>
      </c>
      <c r="F1722" t="s">
        <v>50</v>
      </c>
      <c r="G1722" t="s">
        <v>4916</v>
      </c>
      <c r="H1722" t="s">
        <v>136</v>
      </c>
      <c r="I1722" s="11">
        <v>46296</v>
      </c>
      <c r="J1722" s="12">
        <v>46296</v>
      </c>
      <c r="K1722" s="13">
        <f>INDEX(Assumptions!$B$4:$B$23,MATCH(F1722,Assumptions!$A$4:$A$23,0))</f>
        <v>1.0869565217391299</v>
      </c>
      <c r="L1722" s="14">
        <f t="shared" si="52"/>
        <v>1.6956521739130428</v>
      </c>
      <c r="M1722" t="str">
        <f t="shared" si="53"/>
        <v>No</v>
      </c>
    </row>
    <row r="1723" spans="1:13" x14ac:dyDescent="0.25">
      <c r="A1723">
        <v>337888</v>
      </c>
      <c r="B1723" t="s">
        <v>5358</v>
      </c>
      <c r="C1723" t="s">
        <v>5359</v>
      </c>
      <c r="D1723" t="s">
        <v>6220</v>
      </c>
      <c r="E1723">
        <v>3.23</v>
      </c>
      <c r="F1723" t="s">
        <v>50</v>
      </c>
      <c r="G1723" t="s">
        <v>4916</v>
      </c>
      <c r="H1723" t="s">
        <v>136</v>
      </c>
      <c r="I1723" s="11">
        <v>46296</v>
      </c>
      <c r="J1723" s="12">
        <v>46296</v>
      </c>
      <c r="K1723" s="13">
        <f>INDEX(Assumptions!$B$4:$B$23,MATCH(F1723,Assumptions!$A$4:$A$23,0))</f>
        <v>1.0869565217391299</v>
      </c>
      <c r="L1723" s="14">
        <f t="shared" si="52"/>
        <v>3.5108695652173898</v>
      </c>
      <c r="M1723" t="str">
        <f t="shared" si="53"/>
        <v>No</v>
      </c>
    </row>
    <row r="1724" spans="1:13" x14ac:dyDescent="0.25">
      <c r="A1724">
        <v>337887</v>
      </c>
      <c r="B1724" t="s">
        <v>5361</v>
      </c>
      <c r="C1724" t="s">
        <v>5362</v>
      </c>
      <c r="D1724" t="s">
        <v>6220</v>
      </c>
      <c r="E1724">
        <v>2.78</v>
      </c>
      <c r="F1724" t="s">
        <v>50</v>
      </c>
      <c r="G1724" t="s">
        <v>4916</v>
      </c>
      <c r="H1724" t="s">
        <v>136</v>
      </c>
      <c r="I1724" s="11">
        <v>46296</v>
      </c>
      <c r="J1724" s="12">
        <v>46296</v>
      </c>
      <c r="K1724" s="13">
        <f>INDEX(Assumptions!$B$4:$B$23,MATCH(F1724,Assumptions!$A$4:$A$23,0))</f>
        <v>1.0869565217391299</v>
      </c>
      <c r="L1724" s="14">
        <f t="shared" si="52"/>
        <v>3.0217391304347809</v>
      </c>
      <c r="M1724" t="str">
        <f t="shared" si="53"/>
        <v>No</v>
      </c>
    </row>
    <row r="1725" spans="1:13" x14ac:dyDescent="0.25">
      <c r="A1725">
        <v>337886</v>
      </c>
      <c r="B1725" t="s">
        <v>5364</v>
      </c>
      <c r="C1725" t="s">
        <v>5365</v>
      </c>
      <c r="D1725" t="s">
        <v>6220</v>
      </c>
      <c r="E1725">
        <v>1.48</v>
      </c>
      <c r="F1725" t="s">
        <v>50</v>
      </c>
      <c r="G1725" t="s">
        <v>4916</v>
      </c>
      <c r="H1725" t="s">
        <v>136</v>
      </c>
      <c r="I1725" s="11">
        <v>46296</v>
      </c>
      <c r="J1725" s="12">
        <v>46296</v>
      </c>
      <c r="K1725" s="13">
        <f>INDEX(Assumptions!$B$4:$B$23,MATCH(F1725,Assumptions!$A$4:$A$23,0))</f>
        <v>1.0869565217391299</v>
      </c>
      <c r="L1725" s="14">
        <f t="shared" si="52"/>
        <v>1.6086956521739122</v>
      </c>
      <c r="M1725" t="str">
        <f t="shared" si="53"/>
        <v>No</v>
      </c>
    </row>
    <row r="1726" spans="1:13" x14ac:dyDescent="0.25">
      <c r="A1726">
        <v>337885</v>
      </c>
      <c r="B1726" t="s">
        <v>5368</v>
      </c>
      <c r="C1726" t="s">
        <v>5369</v>
      </c>
      <c r="D1726" t="s">
        <v>6220</v>
      </c>
      <c r="E1726">
        <v>2</v>
      </c>
      <c r="F1726" t="s">
        <v>50</v>
      </c>
      <c r="G1726" t="s">
        <v>4916</v>
      </c>
      <c r="H1726" t="s">
        <v>136</v>
      </c>
      <c r="I1726" s="11">
        <v>46296</v>
      </c>
      <c r="J1726" s="12">
        <v>46296</v>
      </c>
      <c r="K1726" s="13">
        <f>INDEX(Assumptions!$B$4:$B$23,MATCH(F1726,Assumptions!$A$4:$A$23,0))</f>
        <v>1.0869565217391299</v>
      </c>
      <c r="L1726" s="14">
        <f t="shared" si="52"/>
        <v>2.1739130434782599</v>
      </c>
      <c r="M1726" t="str">
        <f t="shared" si="53"/>
        <v>No</v>
      </c>
    </row>
    <row r="1727" spans="1:13" x14ac:dyDescent="0.25">
      <c r="A1727">
        <v>337884</v>
      </c>
      <c r="B1727" t="s">
        <v>5371</v>
      </c>
      <c r="C1727" t="s">
        <v>5372</v>
      </c>
      <c r="D1727" t="s">
        <v>6220</v>
      </c>
      <c r="E1727">
        <v>1.58</v>
      </c>
      <c r="F1727" t="s">
        <v>50</v>
      </c>
      <c r="G1727" t="s">
        <v>4916</v>
      </c>
      <c r="H1727" t="s">
        <v>136</v>
      </c>
      <c r="I1727" s="11">
        <v>46296</v>
      </c>
      <c r="J1727" s="12">
        <v>46296</v>
      </c>
      <c r="K1727" s="13">
        <f>INDEX(Assumptions!$B$4:$B$23,MATCH(F1727,Assumptions!$A$4:$A$23,0))</f>
        <v>1.0869565217391299</v>
      </c>
      <c r="L1727" s="14">
        <f t="shared" si="52"/>
        <v>1.7173913043478253</v>
      </c>
      <c r="M1727" t="str">
        <f t="shared" si="53"/>
        <v>No</v>
      </c>
    </row>
    <row r="1728" spans="1:13" x14ac:dyDescent="0.25">
      <c r="A1728">
        <v>337883</v>
      </c>
      <c r="B1728" t="s">
        <v>5374</v>
      </c>
      <c r="C1728" t="s">
        <v>5375</v>
      </c>
      <c r="D1728" t="s">
        <v>6220</v>
      </c>
      <c r="E1728">
        <v>4.24</v>
      </c>
      <c r="F1728" t="s">
        <v>50</v>
      </c>
      <c r="G1728" t="s">
        <v>4916</v>
      </c>
      <c r="H1728" t="s">
        <v>136</v>
      </c>
      <c r="I1728" s="11">
        <v>46296</v>
      </c>
      <c r="J1728" s="12">
        <v>46296</v>
      </c>
      <c r="K1728" s="13">
        <f>INDEX(Assumptions!$B$4:$B$23,MATCH(F1728,Assumptions!$A$4:$A$23,0))</f>
        <v>1.0869565217391299</v>
      </c>
      <c r="L1728" s="14">
        <f t="shared" si="52"/>
        <v>4.6086956521739113</v>
      </c>
      <c r="M1728" t="str">
        <f t="shared" si="53"/>
        <v>No</v>
      </c>
    </row>
    <row r="1729" spans="1:13" x14ac:dyDescent="0.25">
      <c r="A1729">
        <v>337882</v>
      </c>
      <c r="B1729" t="s">
        <v>5378</v>
      </c>
      <c r="C1729" t="s">
        <v>5379</v>
      </c>
      <c r="D1729" t="s">
        <v>6220</v>
      </c>
      <c r="E1729">
        <v>1.98</v>
      </c>
      <c r="F1729" t="s">
        <v>50</v>
      </c>
      <c r="G1729" t="s">
        <v>4916</v>
      </c>
      <c r="H1729" t="s">
        <v>136</v>
      </c>
      <c r="I1729" s="11">
        <v>46296</v>
      </c>
      <c r="J1729" s="12">
        <v>46296</v>
      </c>
      <c r="K1729" s="13">
        <f>INDEX(Assumptions!$B$4:$B$23,MATCH(F1729,Assumptions!$A$4:$A$23,0))</f>
        <v>1.0869565217391299</v>
      </c>
      <c r="L1729" s="14">
        <f t="shared" si="52"/>
        <v>2.1521739130434772</v>
      </c>
      <c r="M1729" t="str">
        <f t="shared" si="53"/>
        <v>No</v>
      </c>
    </row>
    <row r="1730" spans="1:13" x14ac:dyDescent="0.25">
      <c r="A1730">
        <v>337881</v>
      </c>
      <c r="B1730" t="s">
        <v>5381</v>
      </c>
      <c r="C1730" t="s">
        <v>5382</v>
      </c>
      <c r="D1730" t="s">
        <v>6220</v>
      </c>
      <c r="E1730">
        <v>3.62</v>
      </c>
      <c r="F1730" t="s">
        <v>50</v>
      </c>
      <c r="G1730" t="s">
        <v>4916</v>
      </c>
      <c r="H1730" t="s">
        <v>136</v>
      </c>
      <c r="I1730" s="11">
        <v>46296</v>
      </c>
      <c r="J1730" s="12">
        <v>46296</v>
      </c>
      <c r="K1730" s="13">
        <f>INDEX(Assumptions!$B$4:$B$23,MATCH(F1730,Assumptions!$A$4:$A$23,0))</f>
        <v>1.0869565217391299</v>
      </c>
      <c r="L1730" s="14">
        <f t="shared" ref="L1730:L1793" si="54">E1730*K1730</f>
        <v>3.9347826086956506</v>
      </c>
      <c r="M1730" t="str">
        <f t="shared" ref="M1730:M1793" si="55">IF(C1730="Unnamed product","Yes","No")</f>
        <v>No</v>
      </c>
    </row>
    <row r="1731" spans="1:13" x14ac:dyDescent="0.25">
      <c r="A1731">
        <v>337880</v>
      </c>
      <c r="B1731" t="s">
        <v>5385</v>
      </c>
      <c r="C1731" t="s">
        <v>5386</v>
      </c>
      <c r="D1731" t="s">
        <v>6220</v>
      </c>
      <c r="E1731">
        <v>5</v>
      </c>
      <c r="F1731" t="s">
        <v>50</v>
      </c>
      <c r="G1731" t="s">
        <v>4916</v>
      </c>
      <c r="H1731" t="s">
        <v>136</v>
      </c>
      <c r="I1731" s="11">
        <v>46296</v>
      </c>
      <c r="J1731" s="12">
        <v>46296</v>
      </c>
      <c r="K1731" s="13">
        <f>INDEX(Assumptions!$B$4:$B$23,MATCH(F1731,Assumptions!$A$4:$A$23,0))</f>
        <v>1.0869565217391299</v>
      </c>
      <c r="L1731" s="14">
        <f t="shared" si="54"/>
        <v>5.4347826086956497</v>
      </c>
      <c r="M1731" t="str">
        <f t="shared" si="55"/>
        <v>No</v>
      </c>
    </row>
    <row r="1732" spans="1:13" x14ac:dyDescent="0.25">
      <c r="A1732">
        <v>337879</v>
      </c>
      <c r="B1732" t="s">
        <v>5388</v>
      </c>
      <c r="C1732" t="s">
        <v>5389</v>
      </c>
      <c r="D1732" t="s">
        <v>6220</v>
      </c>
      <c r="E1732">
        <v>5.05</v>
      </c>
      <c r="F1732" t="s">
        <v>50</v>
      </c>
      <c r="G1732" t="s">
        <v>4916</v>
      </c>
      <c r="H1732" t="s">
        <v>136</v>
      </c>
      <c r="I1732" s="11">
        <v>46296</v>
      </c>
      <c r="J1732" s="12">
        <v>46296</v>
      </c>
      <c r="K1732" s="13">
        <f>INDEX(Assumptions!$B$4:$B$23,MATCH(F1732,Assumptions!$A$4:$A$23,0))</f>
        <v>1.0869565217391299</v>
      </c>
      <c r="L1732" s="14">
        <f t="shared" si="54"/>
        <v>5.4891304347826058</v>
      </c>
      <c r="M1732" t="str">
        <f t="shared" si="55"/>
        <v>No</v>
      </c>
    </row>
    <row r="1733" spans="1:13" x14ac:dyDescent="0.25">
      <c r="A1733">
        <v>337878</v>
      </c>
      <c r="B1733" t="s">
        <v>5315</v>
      </c>
      <c r="C1733" t="s">
        <v>5392</v>
      </c>
      <c r="D1733" t="s">
        <v>6220</v>
      </c>
      <c r="E1733">
        <v>4.1900000000000004</v>
      </c>
      <c r="F1733" t="s">
        <v>50</v>
      </c>
      <c r="G1733" t="s">
        <v>4916</v>
      </c>
      <c r="H1733" t="s">
        <v>136</v>
      </c>
      <c r="I1733" s="11">
        <v>46296</v>
      </c>
      <c r="J1733" s="12">
        <v>46296</v>
      </c>
      <c r="K1733" s="13">
        <f>INDEX(Assumptions!$B$4:$B$23,MATCH(F1733,Assumptions!$A$4:$A$23,0))</f>
        <v>1.0869565217391299</v>
      </c>
      <c r="L1733" s="14">
        <f t="shared" si="54"/>
        <v>4.5543478260869552</v>
      </c>
      <c r="M1733" t="str">
        <f t="shared" si="55"/>
        <v>No</v>
      </c>
    </row>
    <row r="1734" spans="1:13" x14ac:dyDescent="0.25">
      <c r="A1734">
        <v>337877</v>
      </c>
      <c r="B1734" t="s">
        <v>5394</v>
      </c>
      <c r="C1734" t="s">
        <v>5395</v>
      </c>
      <c r="D1734" t="s">
        <v>6220</v>
      </c>
      <c r="E1734">
        <v>3.57</v>
      </c>
      <c r="F1734" t="s">
        <v>50</v>
      </c>
      <c r="G1734" t="s">
        <v>4916</v>
      </c>
      <c r="H1734" t="s">
        <v>136</v>
      </c>
      <c r="I1734" s="11">
        <v>46296</v>
      </c>
      <c r="J1734" s="12">
        <v>46296</v>
      </c>
      <c r="K1734" s="13">
        <f>INDEX(Assumptions!$B$4:$B$23,MATCH(F1734,Assumptions!$A$4:$A$23,0))</f>
        <v>1.0869565217391299</v>
      </c>
      <c r="L1734" s="14">
        <f t="shared" si="54"/>
        <v>3.8804347826086936</v>
      </c>
      <c r="M1734" t="str">
        <f t="shared" si="55"/>
        <v>No</v>
      </c>
    </row>
    <row r="1735" spans="1:13" x14ac:dyDescent="0.25">
      <c r="A1735">
        <v>337876</v>
      </c>
      <c r="B1735" t="s">
        <v>5398</v>
      </c>
      <c r="C1735" t="s">
        <v>5399</v>
      </c>
      <c r="D1735" t="s">
        <v>6220</v>
      </c>
      <c r="E1735">
        <v>1.91</v>
      </c>
      <c r="F1735" t="s">
        <v>50</v>
      </c>
      <c r="G1735" t="s">
        <v>4916</v>
      </c>
      <c r="H1735" t="s">
        <v>136</v>
      </c>
      <c r="I1735" s="11">
        <v>46296</v>
      </c>
      <c r="J1735" s="12">
        <v>46296</v>
      </c>
      <c r="K1735" s="13">
        <f>INDEX(Assumptions!$B$4:$B$23,MATCH(F1735,Assumptions!$A$4:$A$23,0))</f>
        <v>1.0869565217391299</v>
      </c>
      <c r="L1735" s="14">
        <f t="shared" si="54"/>
        <v>2.0760869565217379</v>
      </c>
      <c r="M1735" t="str">
        <f t="shared" si="55"/>
        <v>No</v>
      </c>
    </row>
    <row r="1736" spans="1:13" x14ac:dyDescent="0.25">
      <c r="A1736">
        <v>337875</v>
      </c>
      <c r="B1736" t="s">
        <v>5401</v>
      </c>
      <c r="C1736" t="s">
        <v>5402</v>
      </c>
      <c r="D1736" t="s">
        <v>6220</v>
      </c>
      <c r="E1736">
        <v>4.54</v>
      </c>
      <c r="F1736" t="s">
        <v>50</v>
      </c>
      <c r="G1736" t="s">
        <v>4916</v>
      </c>
      <c r="H1736" t="s">
        <v>136</v>
      </c>
      <c r="I1736" s="11">
        <v>46296</v>
      </c>
      <c r="J1736" s="12">
        <v>46296</v>
      </c>
      <c r="K1736" s="13">
        <f>INDEX(Assumptions!$B$4:$B$23,MATCH(F1736,Assumptions!$A$4:$A$23,0))</f>
        <v>1.0869565217391299</v>
      </c>
      <c r="L1736" s="14">
        <f t="shared" si="54"/>
        <v>4.9347826086956497</v>
      </c>
      <c r="M1736" t="str">
        <f t="shared" si="55"/>
        <v>No</v>
      </c>
    </row>
    <row r="1737" spans="1:13" x14ac:dyDescent="0.25">
      <c r="A1737">
        <v>337874</v>
      </c>
      <c r="B1737" t="s">
        <v>5405</v>
      </c>
      <c r="C1737" t="s">
        <v>5406</v>
      </c>
      <c r="D1737" t="s">
        <v>6220</v>
      </c>
      <c r="E1737">
        <v>3.65</v>
      </c>
      <c r="F1737" t="s">
        <v>50</v>
      </c>
      <c r="G1737" t="s">
        <v>4916</v>
      </c>
      <c r="H1737" t="s">
        <v>136</v>
      </c>
      <c r="I1737" s="11">
        <v>46296</v>
      </c>
      <c r="J1737" s="12">
        <v>46296</v>
      </c>
      <c r="K1737" s="13">
        <f>INDEX(Assumptions!$B$4:$B$23,MATCH(F1737,Assumptions!$A$4:$A$23,0))</f>
        <v>1.0869565217391299</v>
      </c>
      <c r="L1737" s="14">
        <f t="shared" si="54"/>
        <v>3.9673913043478239</v>
      </c>
      <c r="M1737" t="str">
        <f t="shared" si="55"/>
        <v>No</v>
      </c>
    </row>
    <row r="1738" spans="1:13" x14ac:dyDescent="0.25">
      <c r="A1738">
        <v>337873</v>
      </c>
      <c r="B1738" t="s">
        <v>5408</v>
      </c>
      <c r="C1738" t="s">
        <v>5409</v>
      </c>
      <c r="D1738" t="s">
        <v>6220</v>
      </c>
      <c r="E1738">
        <v>2.54</v>
      </c>
      <c r="F1738" t="s">
        <v>50</v>
      </c>
      <c r="G1738" t="s">
        <v>4916</v>
      </c>
      <c r="H1738" t="s">
        <v>136</v>
      </c>
      <c r="I1738" s="11">
        <v>46296</v>
      </c>
      <c r="J1738" s="12">
        <v>46296</v>
      </c>
      <c r="K1738" s="13">
        <f>INDEX(Assumptions!$B$4:$B$23,MATCH(F1738,Assumptions!$A$4:$A$23,0))</f>
        <v>1.0869565217391299</v>
      </c>
      <c r="L1738" s="14">
        <f t="shared" si="54"/>
        <v>2.7608695652173902</v>
      </c>
      <c r="M1738" t="str">
        <f t="shared" si="55"/>
        <v>No</v>
      </c>
    </row>
    <row r="1739" spans="1:13" x14ac:dyDescent="0.25">
      <c r="A1739">
        <v>337872</v>
      </c>
      <c r="B1739" t="s">
        <v>5412</v>
      </c>
      <c r="C1739" t="s">
        <v>5413</v>
      </c>
      <c r="D1739" t="s">
        <v>6220</v>
      </c>
      <c r="E1739">
        <v>3.71</v>
      </c>
      <c r="F1739" t="s">
        <v>50</v>
      </c>
      <c r="G1739" t="s">
        <v>4916</v>
      </c>
      <c r="H1739" t="s">
        <v>136</v>
      </c>
      <c r="I1739" s="11">
        <v>46296</v>
      </c>
      <c r="J1739" s="12">
        <v>46296</v>
      </c>
      <c r="K1739" s="13">
        <f>INDEX(Assumptions!$B$4:$B$23,MATCH(F1739,Assumptions!$A$4:$A$23,0))</f>
        <v>1.0869565217391299</v>
      </c>
      <c r="L1739" s="14">
        <f t="shared" si="54"/>
        <v>4.0326086956521721</v>
      </c>
      <c r="M1739" t="str">
        <f t="shared" si="55"/>
        <v>No</v>
      </c>
    </row>
    <row r="1740" spans="1:13" x14ac:dyDescent="0.25">
      <c r="A1740">
        <v>337871</v>
      </c>
      <c r="B1740" t="s">
        <v>5415</v>
      </c>
      <c r="C1740" t="s">
        <v>5416</v>
      </c>
      <c r="D1740" t="s">
        <v>6220</v>
      </c>
      <c r="E1740">
        <v>4.0999999999999996</v>
      </c>
      <c r="F1740" t="s">
        <v>50</v>
      </c>
      <c r="G1740" t="s">
        <v>4916</v>
      </c>
      <c r="H1740" t="s">
        <v>136</v>
      </c>
      <c r="I1740" s="11">
        <v>46296</v>
      </c>
      <c r="J1740" s="12">
        <v>46296</v>
      </c>
      <c r="K1740" s="13">
        <f>INDEX(Assumptions!$B$4:$B$23,MATCH(F1740,Assumptions!$A$4:$A$23,0))</f>
        <v>1.0869565217391299</v>
      </c>
      <c r="L1740" s="14">
        <f t="shared" si="54"/>
        <v>4.4565217391304319</v>
      </c>
      <c r="M1740" t="str">
        <f t="shared" si="55"/>
        <v>No</v>
      </c>
    </row>
    <row r="1741" spans="1:13" x14ac:dyDescent="0.25">
      <c r="A1741">
        <v>337870</v>
      </c>
      <c r="B1741" t="s">
        <v>5419</v>
      </c>
      <c r="C1741" t="s">
        <v>5420</v>
      </c>
      <c r="D1741" t="s">
        <v>6220</v>
      </c>
      <c r="E1741">
        <v>1.67</v>
      </c>
      <c r="F1741" t="s">
        <v>50</v>
      </c>
      <c r="G1741" t="s">
        <v>4916</v>
      </c>
      <c r="H1741" t="s">
        <v>136</v>
      </c>
      <c r="I1741" s="11">
        <v>46296</v>
      </c>
      <c r="J1741" s="12">
        <v>46296</v>
      </c>
      <c r="K1741" s="13">
        <f>INDEX(Assumptions!$B$4:$B$23,MATCH(F1741,Assumptions!$A$4:$A$23,0))</f>
        <v>1.0869565217391299</v>
      </c>
      <c r="L1741" s="14">
        <f t="shared" si="54"/>
        <v>1.815217391304347</v>
      </c>
      <c r="M1741" t="str">
        <f t="shared" si="55"/>
        <v>No</v>
      </c>
    </row>
    <row r="1742" spans="1:13" x14ac:dyDescent="0.25">
      <c r="A1742">
        <v>337869</v>
      </c>
      <c r="B1742" t="s">
        <v>5422</v>
      </c>
      <c r="C1742" t="s">
        <v>5423</v>
      </c>
      <c r="D1742" t="s">
        <v>6220</v>
      </c>
      <c r="E1742">
        <v>1.38</v>
      </c>
      <c r="F1742" t="s">
        <v>50</v>
      </c>
      <c r="G1742" t="s">
        <v>4916</v>
      </c>
      <c r="H1742" t="s">
        <v>136</v>
      </c>
      <c r="I1742" s="11">
        <v>46296</v>
      </c>
      <c r="J1742" s="12">
        <v>46296</v>
      </c>
      <c r="K1742" s="13">
        <f>INDEX(Assumptions!$B$4:$B$23,MATCH(F1742,Assumptions!$A$4:$A$23,0))</f>
        <v>1.0869565217391299</v>
      </c>
      <c r="L1742" s="14">
        <f t="shared" si="54"/>
        <v>1.4999999999999991</v>
      </c>
      <c r="M1742" t="str">
        <f t="shared" si="55"/>
        <v>No</v>
      </c>
    </row>
    <row r="1743" spans="1:13" x14ac:dyDescent="0.25">
      <c r="A1743">
        <v>337868</v>
      </c>
      <c r="B1743" t="s">
        <v>5425</v>
      </c>
      <c r="C1743" t="s">
        <v>5426</v>
      </c>
      <c r="D1743" t="s">
        <v>6220</v>
      </c>
      <c r="E1743">
        <v>2.54</v>
      </c>
      <c r="F1743" t="s">
        <v>50</v>
      </c>
      <c r="G1743" t="s">
        <v>4916</v>
      </c>
      <c r="H1743" t="s">
        <v>136</v>
      </c>
      <c r="I1743" s="11">
        <v>46296</v>
      </c>
      <c r="J1743" s="12">
        <v>46296</v>
      </c>
      <c r="K1743" s="13">
        <f>INDEX(Assumptions!$B$4:$B$23,MATCH(F1743,Assumptions!$A$4:$A$23,0))</f>
        <v>1.0869565217391299</v>
      </c>
      <c r="L1743" s="14">
        <f t="shared" si="54"/>
        <v>2.7608695652173902</v>
      </c>
      <c r="M1743" t="str">
        <f t="shared" si="55"/>
        <v>No</v>
      </c>
    </row>
    <row r="1744" spans="1:13" x14ac:dyDescent="0.25">
      <c r="A1744">
        <v>337867</v>
      </c>
      <c r="B1744" t="s">
        <v>5428</v>
      </c>
      <c r="C1744" t="s">
        <v>5429</v>
      </c>
      <c r="D1744" t="s">
        <v>6220</v>
      </c>
      <c r="E1744">
        <v>1.61</v>
      </c>
      <c r="F1744" t="s">
        <v>50</v>
      </c>
      <c r="G1744" t="s">
        <v>4916</v>
      </c>
      <c r="H1744" t="s">
        <v>136</v>
      </c>
      <c r="I1744" s="11">
        <v>46296</v>
      </c>
      <c r="J1744" s="12">
        <v>46296</v>
      </c>
      <c r="K1744" s="13">
        <f>INDEX(Assumptions!$B$4:$B$23,MATCH(F1744,Assumptions!$A$4:$A$23,0))</f>
        <v>1.0869565217391299</v>
      </c>
      <c r="L1744" s="14">
        <f t="shared" si="54"/>
        <v>1.7499999999999993</v>
      </c>
      <c r="M1744" t="str">
        <f t="shared" si="55"/>
        <v>No</v>
      </c>
    </row>
    <row r="1745" spans="1:13" x14ac:dyDescent="0.25">
      <c r="A1745">
        <v>337866</v>
      </c>
      <c r="B1745" t="s">
        <v>5431</v>
      </c>
      <c r="C1745" t="s">
        <v>5432</v>
      </c>
      <c r="D1745" t="s">
        <v>6220</v>
      </c>
      <c r="E1745">
        <v>2.27</v>
      </c>
      <c r="F1745" t="s">
        <v>50</v>
      </c>
      <c r="G1745" t="s">
        <v>4916</v>
      </c>
      <c r="H1745" t="s">
        <v>136</v>
      </c>
      <c r="I1745" s="11">
        <v>46296</v>
      </c>
      <c r="J1745" s="12">
        <v>46296</v>
      </c>
      <c r="K1745" s="13">
        <f>INDEX(Assumptions!$B$4:$B$23,MATCH(F1745,Assumptions!$A$4:$A$23,0))</f>
        <v>1.0869565217391299</v>
      </c>
      <c r="L1745" s="14">
        <f t="shared" si="54"/>
        <v>2.4673913043478248</v>
      </c>
      <c r="M1745" t="str">
        <f t="shared" si="55"/>
        <v>No</v>
      </c>
    </row>
    <row r="1746" spans="1:13" x14ac:dyDescent="0.25">
      <c r="A1746">
        <v>337865</v>
      </c>
      <c r="B1746" t="s">
        <v>5435</v>
      </c>
      <c r="C1746" t="s">
        <v>5436</v>
      </c>
      <c r="D1746" t="s">
        <v>6220</v>
      </c>
      <c r="E1746">
        <v>2.0299999999999998</v>
      </c>
      <c r="F1746" t="s">
        <v>50</v>
      </c>
      <c r="G1746" t="s">
        <v>4916</v>
      </c>
      <c r="H1746" t="s">
        <v>136</v>
      </c>
      <c r="I1746" s="11">
        <v>46296</v>
      </c>
      <c r="J1746" s="12">
        <v>46296</v>
      </c>
      <c r="K1746" s="13">
        <f>INDEX(Assumptions!$B$4:$B$23,MATCH(F1746,Assumptions!$A$4:$A$23,0))</f>
        <v>1.0869565217391299</v>
      </c>
      <c r="L1746" s="14">
        <f t="shared" si="54"/>
        <v>2.2065217391304337</v>
      </c>
      <c r="M1746" t="str">
        <f t="shared" si="55"/>
        <v>No</v>
      </c>
    </row>
    <row r="1747" spans="1:13" x14ac:dyDescent="0.25">
      <c r="A1747">
        <v>337864</v>
      </c>
      <c r="B1747" t="s">
        <v>5438</v>
      </c>
      <c r="C1747" t="s">
        <v>5439</v>
      </c>
      <c r="D1747" t="s">
        <v>6220</v>
      </c>
      <c r="E1747">
        <v>1.64</v>
      </c>
      <c r="F1747" t="s">
        <v>50</v>
      </c>
      <c r="G1747" t="s">
        <v>4916</v>
      </c>
      <c r="H1747" t="s">
        <v>136</v>
      </c>
      <c r="I1747" s="11">
        <v>46296</v>
      </c>
      <c r="J1747" s="12">
        <v>46296</v>
      </c>
      <c r="K1747" s="13">
        <f>INDEX(Assumptions!$B$4:$B$23,MATCH(F1747,Assumptions!$A$4:$A$23,0))</f>
        <v>1.0869565217391299</v>
      </c>
      <c r="L1747" s="14">
        <f t="shared" si="54"/>
        <v>1.7826086956521729</v>
      </c>
      <c r="M1747" t="str">
        <f t="shared" si="55"/>
        <v>No</v>
      </c>
    </row>
    <row r="1748" spans="1:13" x14ac:dyDescent="0.25">
      <c r="A1748">
        <v>337863</v>
      </c>
      <c r="B1748" t="s">
        <v>473</v>
      </c>
      <c r="C1748" t="s">
        <v>5441</v>
      </c>
      <c r="D1748" t="s">
        <v>6220</v>
      </c>
      <c r="E1748">
        <v>1.7</v>
      </c>
      <c r="F1748" t="s">
        <v>50</v>
      </c>
      <c r="G1748" t="s">
        <v>4916</v>
      </c>
      <c r="H1748" t="s">
        <v>136</v>
      </c>
      <c r="I1748" s="11">
        <v>46296</v>
      </c>
      <c r="J1748" s="12">
        <v>46296</v>
      </c>
      <c r="K1748" s="13">
        <f>INDEX(Assumptions!$B$4:$B$23,MATCH(F1748,Assumptions!$A$4:$A$23,0))</f>
        <v>1.0869565217391299</v>
      </c>
      <c r="L1748" s="14">
        <f t="shared" si="54"/>
        <v>1.8478260869565208</v>
      </c>
      <c r="M1748" t="str">
        <f t="shared" si="55"/>
        <v>No</v>
      </c>
    </row>
    <row r="1749" spans="1:13" x14ac:dyDescent="0.25">
      <c r="A1749">
        <v>337862</v>
      </c>
      <c r="B1749" t="s">
        <v>5443</v>
      </c>
      <c r="C1749" t="s">
        <v>5444</v>
      </c>
      <c r="D1749" t="s">
        <v>6220</v>
      </c>
      <c r="E1749">
        <v>1.34</v>
      </c>
      <c r="F1749" t="s">
        <v>50</v>
      </c>
      <c r="G1749" t="s">
        <v>4916</v>
      </c>
      <c r="H1749" t="s">
        <v>136</v>
      </c>
      <c r="I1749" s="11">
        <v>46296</v>
      </c>
      <c r="J1749" s="12">
        <v>46296</v>
      </c>
      <c r="K1749" s="13">
        <f>INDEX(Assumptions!$B$4:$B$23,MATCH(F1749,Assumptions!$A$4:$A$23,0))</f>
        <v>1.0869565217391299</v>
      </c>
      <c r="L1749" s="14">
        <f t="shared" si="54"/>
        <v>1.4565217391304341</v>
      </c>
      <c r="M1749" t="str">
        <f t="shared" si="55"/>
        <v>No</v>
      </c>
    </row>
    <row r="1750" spans="1:13" x14ac:dyDescent="0.25">
      <c r="A1750">
        <v>337861</v>
      </c>
      <c r="B1750" t="s">
        <v>5447</v>
      </c>
      <c r="C1750" t="s">
        <v>5448</v>
      </c>
      <c r="D1750" t="s">
        <v>6220</v>
      </c>
      <c r="E1750">
        <v>1.52</v>
      </c>
      <c r="F1750" t="s">
        <v>50</v>
      </c>
      <c r="G1750" t="s">
        <v>4916</v>
      </c>
      <c r="H1750" t="s">
        <v>136</v>
      </c>
      <c r="I1750" s="11">
        <v>46296</v>
      </c>
      <c r="J1750" s="12">
        <v>46296</v>
      </c>
      <c r="K1750" s="13">
        <f>INDEX(Assumptions!$B$4:$B$23,MATCH(F1750,Assumptions!$A$4:$A$23,0))</f>
        <v>1.0869565217391299</v>
      </c>
      <c r="L1750" s="14">
        <f t="shared" si="54"/>
        <v>1.6521739130434776</v>
      </c>
      <c r="M1750" t="str">
        <f t="shared" si="55"/>
        <v>No</v>
      </c>
    </row>
    <row r="1751" spans="1:13" x14ac:dyDescent="0.25">
      <c r="A1751">
        <v>337860</v>
      </c>
      <c r="B1751" t="s">
        <v>5450</v>
      </c>
      <c r="C1751" t="s">
        <v>6221</v>
      </c>
      <c r="D1751" t="s">
        <v>6220</v>
      </c>
      <c r="E1751">
        <v>6.99</v>
      </c>
      <c r="F1751" t="s">
        <v>5451</v>
      </c>
      <c r="G1751" t="s">
        <v>5453</v>
      </c>
      <c r="H1751" t="s">
        <v>5452</v>
      </c>
      <c r="I1751" s="11">
        <v>46296</v>
      </c>
      <c r="J1751" s="12">
        <v>46296</v>
      </c>
      <c r="K1751" s="13">
        <f>INDEX(Assumptions!$B$4:$B$23,MATCH(F1751,Assumptions!$A$4:$A$23,0))</f>
        <v>0.1818181818181818</v>
      </c>
      <c r="L1751" s="14">
        <f t="shared" si="54"/>
        <v>1.2709090909090908</v>
      </c>
      <c r="M1751" t="str">
        <f t="shared" si="55"/>
        <v>Yes</v>
      </c>
    </row>
    <row r="1752" spans="1:13" x14ac:dyDescent="0.25">
      <c r="A1752">
        <v>337858</v>
      </c>
      <c r="B1752" t="s">
        <v>5455</v>
      </c>
      <c r="C1752" t="s">
        <v>5456</v>
      </c>
      <c r="D1752" t="s">
        <v>6220</v>
      </c>
      <c r="E1752">
        <v>1.29</v>
      </c>
      <c r="F1752" t="s">
        <v>50</v>
      </c>
      <c r="G1752" t="s">
        <v>5457</v>
      </c>
      <c r="H1752" t="s">
        <v>3467</v>
      </c>
      <c r="I1752" s="11">
        <v>46296</v>
      </c>
      <c r="J1752" s="12">
        <v>46296</v>
      </c>
      <c r="K1752" s="13">
        <f>INDEX(Assumptions!$B$4:$B$23,MATCH(F1752,Assumptions!$A$4:$A$23,0))</f>
        <v>1.0869565217391299</v>
      </c>
      <c r="L1752" s="14">
        <f t="shared" si="54"/>
        <v>1.4021739130434776</v>
      </c>
      <c r="M1752" t="str">
        <f t="shared" si="55"/>
        <v>No</v>
      </c>
    </row>
    <row r="1753" spans="1:13" x14ac:dyDescent="0.25">
      <c r="A1753">
        <v>337859</v>
      </c>
      <c r="B1753" t="s">
        <v>5459</v>
      </c>
      <c r="C1753" t="s">
        <v>5460</v>
      </c>
      <c r="D1753" t="s">
        <v>6220</v>
      </c>
      <c r="E1753">
        <v>1.39</v>
      </c>
      <c r="F1753" t="s">
        <v>50</v>
      </c>
      <c r="G1753" t="s">
        <v>5457</v>
      </c>
      <c r="H1753" t="s">
        <v>3467</v>
      </c>
      <c r="I1753" s="11">
        <v>46296</v>
      </c>
      <c r="J1753" s="12">
        <v>46296</v>
      </c>
      <c r="K1753" s="13">
        <f>INDEX(Assumptions!$B$4:$B$23,MATCH(F1753,Assumptions!$A$4:$A$23,0))</f>
        <v>1.0869565217391299</v>
      </c>
      <c r="L1753" s="14">
        <f t="shared" si="54"/>
        <v>1.5108695652173905</v>
      </c>
      <c r="M1753" t="str">
        <f t="shared" si="55"/>
        <v>No</v>
      </c>
    </row>
    <row r="1754" spans="1:13" x14ac:dyDescent="0.25">
      <c r="A1754">
        <v>337857</v>
      </c>
      <c r="B1754" t="s">
        <v>5462</v>
      </c>
      <c r="C1754" t="s">
        <v>5463</v>
      </c>
      <c r="D1754" t="s">
        <v>6220</v>
      </c>
      <c r="E1754">
        <v>0.49</v>
      </c>
      <c r="F1754" t="s">
        <v>50</v>
      </c>
      <c r="G1754" t="s">
        <v>5457</v>
      </c>
      <c r="H1754" t="s">
        <v>3467</v>
      </c>
      <c r="I1754" s="11">
        <v>46296</v>
      </c>
      <c r="J1754" s="12">
        <v>46296</v>
      </c>
      <c r="K1754" s="13">
        <f>INDEX(Assumptions!$B$4:$B$23,MATCH(F1754,Assumptions!$A$4:$A$23,0))</f>
        <v>1.0869565217391299</v>
      </c>
      <c r="L1754" s="14">
        <f t="shared" si="54"/>
        <v>0.53260869565217361</v>
      </c>
      <c r="M1754" t="str">
        <f t="shared" si="55"/>
        <v>No</v>
      </c>
    </row>
    <row r="1755" spans="1:13" x14ac:dyDescent="0.25">
      <c r="A1755">
        <v>337856</v>
      </c>
      <c r="B1755" t="s">
        <v>5465</v>
      </c>
      <c r="C1755" t="s">
        <v>5466</v>
      </c>
      <c r="D1755" t="s">
        <v>6220</v>
      </c>
      <c r="E1755">
        <v>0.49</v>
      </c>
      <c r="F1755" t="s">
        <v>50</v>
      </c>
      <c r="G1755" t="s">
        <v>5457</v>
      </c>
      <c r="H1755" t="s">
        <v>3467</v>
      </c>
      <c r="I1755" s="11">
        <v>46296</v>
      </c>
      <c r="J1755" s="12">
        <v>46296</v>
      </c>
      <c r="K1755" s="13">
        <f>INDEX(Assumptions!$B$4:$B$23,MATCH(F1755,Assumptions!$A$4:$A$23,0))</f>
        <v>1.0869565217391299</v>
      </c>
      <c r="L1755" s="14">
        <f t="shared" si="54"/>
        <v>0.53260869565217361</v>
      </c>
      <c r="M1755" t="str">
        <f t="shared" si="55"/>
        <v>No</v>
      </c>
    </row>
    <row r="1756" spans="1:13" x14ac:dyDescent="0.25">
      <c r="A1756">
        <v>337855</v>
      </c>
      <c r="B1756" t="s">
        <v>5468</v>
      </c>
      <c r="C1756" t="s">
        <v>5469</v>
      </c>
      <c r="D1756" t="s">
        <v>6220</v>
      </c>
      <c r="E1756">
        <v>1.39</v>
      </c>
      <c r="F1756" t="s">
        <v>50</v>
      </c>
      <c r="G1756" t="s">
        <v>5457</v>
      </c>
      <c r="H1756" t="s">
        <v>3467</v>
      </c>
      <c r="I1756" s="11">
        <v>46296</v>
      </c>
      <c r="J1756" s="12">
        <v>46296</v>
      </c>
      <c r="K1756" s="13">
        <f>INDEX(Assumptions!$B$4:$B$23,MATCH(F1756,Assumptions!$A$4:$A$23,0))</f>
        <v>1.0869565217391299</v>
      </c>
      <c r="L1756" s="14">
        <f t="shared" si="54"/>
        <v>1.5108695652173905</v>
      </c>
      <c r="M1756" t="str">
        <f t="shared" si="55"/>
        <v>No</v>
      </c>
    </row>
    <row r="1757" spans="1:13" x14ac:dyDescent="0.25">
      <c r="A1757">
        <v>337854</v>
      </c>
      <c r="B1757" t="s">
        <v>5471</v>
      </c>
      <c r="C1757" t="s">
        <v>5472</v>
      </c>
      <c r="D1757" t="s">
        <v>6220</v>
      </c>
      <c r="E1757">
        <v>0.49</v>
      </c>
      <c r="F1757" t="s">
        <v>50</v>
      </c>
      <c r="G1757" t="s">
        <v>5457</v>
      </c>
      <c r="H1757" t="s">
        <v>3467</v>
      </c>
      <c r="I1757" s="11">
        <v>46296</v>
      </c>
      <c r="J1757" s="12">
        <v>46296</v>
      </c>
      <c r="K1757" s="13">
        <f>INDEX(Assumptions!$B$4:$B$23,MATCH(F1757,Assumptions!$A$4:$A$23,0))</f>
        <v>1.0869565217391299</v>
      </c>
      <c r="L1757" s="14">
        <f t="shared" si="54"/>
        <v>0.53260869565217361</v>
      </c>
      <c r="M1757" t="str">
        <f t="shared" si="55"/>
        <v>No</v>
      </c>
    </row>
    <row r="1758" spans="1:13" x14ac:dyDescent="0.25">
      <c r="A1758">
        <v>337853</v>
      </c>
      <c r="B1758" t="s">
        <v>5474</v>
      </c>
      <c r="C1758" t="s">
        <v>5475</v>
      </c>
      <c r="D1758" t="s">
        <v>6220</v>
      </c>
      <c r="E1758">
        <v>1.35</v>
      </c>
      <c r="F1758" t="s">
        <v>50</v>
      </c>
      <c r="G1758" t="s">
        <v>5457</v>
      </c>
      <c r="H1758" t="s">
        <v>3467</v>
      </c>
      <c r="I1758" s="11">
        <v>46296</v>
      </c>
      <c r="J1758" s="12">
        <v>46296</v>
      </c>
      <c r="K1758" s="13">
        <f>INDEX(Assumptions!$B$4:$B$23,MATCH(F1758,Assumptions!$A$4:$A$23,0))</f>
        <v>1.0869565217391299</v>
      </c>
      <c r="L1758" s="14">
        <f t="shared" si="54"/>
        <v>1.4673913043478255</v>
      </c>
      <c r="M1758" t="str">
        <f t="shared" si="55"/>
        <v>No</v>
      </c>
    </row>
    <row r="1759" spans="1:13" x14ac:dyDescent="0.25">
      <c r="A1759">
        <v>337851</v>
      </c>
      <c r="B1759" t="s">
        <v>5477</v>
      </c>
      <c r="C1759" t="s">
        <v>5478</v>
      </c>
      <c r="D1759" t="s">
        <v>6220</v>
      </c>
      <c r="E1759">
        <v>1.25</v>
      </c>
      <c r="F1759" t="s">
        <v>50</v>
      </c>
      <c r="G1759" t="s">
        <v>5457</v>
      </c>
      <c r="H1759" t="s">
        <v>3467</v>
      </c>
      <c r="I1759" s="11">
        <v>46296</v>
      </c>
      <c r="J1759" s="12">
        <v>46296</v>
      </c>
      <c r="K1759" s="13">
        <f>INDEX(Assumptions!$B$4:$B$23,MATCH(F1759,Assumptions!$A$4:$A$23,0))</f>
        <v>1.0869565217391299</v>
      </c>
      <c r="L1759" s="14">
        <f t="shared" si="54"/>
        <v>1.3586956521739124</v>
      </c>
      <c r="M1759" t="str">
        <f t="shared" si="55"/>
        <v>No</v>
      </c>
    </row>
    <row r="1760" spans="1:13" x14ac:dyDescent="0.25">
      <c r="A1760">
        <v>337852</v>
      </c>
      <c r="B1760" t="s">
        <v>5480</v>
      </c>
      <c r="C1760" t="s">
        <v>5481</v>
      </c>
      <c r="D1760" t="s">
        <v>6220</v>
      </c>
      <c r="E1760">
        <v>0.95</v>
      </c>
      <c r="F1760" t="s">
        <v>50</v>
      </c>
      <c r="G1760" t="s">
        <v>5457</v>
      </c>
      <c r="H1760" t="s">
        <v>3467</v>
      </c>
      <c r="I1760" s="11">
        <v>46296</v>
      </c>
      <c r="J1760" s="12">
        <v>46296</v>
      </c>
      <c r="K1760" s="13">
        <f>INDEX(Assumptions!$B$4:$B$23,MATCH(F1760,Assumptions!$A$4:$A$23,0))</f>
        <v>1.0869565217391299</v>
      </c>
      <c r="L1760" s="14">
        <f t="shared" si="54"/>
        <v>1.0326086956521734</v>
      </c>
      <c r="M1760" t="str">
        <f t="shared" si="55"/>
        <v>No</v>
      </c>
    </row>
    <row r="1761" spans="1:13" x14ac:dyDescent="0.25">
      <c r="A1761">
        <v>337850</v>
      </c>
      <c r="B1761" t="s">
        <v>5483</v>
      </c>
      <c r="C1761" t="s">
        <v>5484</v>
      </c>
      <c r="D1761" t="s">
        <v>6220</v>
      </c>
      <c r="E1761">
        <v>1.99</v>
      </c>
      <c r="F1761" t="s">
        <v>50</v>
      </c>
      <c r="G1761" t="s">
        <v>5457</v>
      </c>
      <c r="H1761" t="s">
        <v>3467</v>
      </c>
      <c r="I1761" s="11">
        <v>46296</v>
      </c>
      <c r="J1761" s="12">
        <v>46296</v>
      </c>
      <c r="K1761" s="13">
        <f>INDEX(Assumptions!$B$4:$B$23,MATCH(F1761,Assumptions!$A$4:$A$23,0))</f>
        <v>1.0869565217391299</v>
      </c>
      <c r="L1761" s="14">
        <f t="shared" si="54"/>
        <v>2.1630434782608687</v>
      </c>
      <c r="M1761" t="str">
        <f t="shared" si="55"/>
        <v>No</v>
      </c>
    </row>
    <row r="1762" spans="1:13" x14ac:dyDescent="0.25">
      <c r="A1762">
        <v>337849</v>
      </c>
      <c r="B1762" t="s">
        <v>5486</v>
      </c>
      <c r="C1762" t="s">
        <v>5487</v>
      </c>
      <c r="D1762" t="s">
        <v>6220</v>
      </c>
      <c r="E1762">
        <v>3.9</v>
      </c>
      <c r="F1762" t="s">
        <v>50</v>
      </c>
      <c r="G1762" t="s">
        <v>5489</v>
      </c>
      <c r="H1762" t="s">
        <v>5488</v>
      </c>
      <c r="I1762" s="11">
        <v>46295</v>
      </c>
      <c r="J1762" s="12">
        <v>46266</v>
      </c>
      <c r="K1762" s="13">
        <f>INDEX(Assumptions!$B$4:$B$23,MATCH(F1762,Assumptions!$A$4:$A$23,0))</f>
        <v>1.0869565217391299</v>
      </c>
      <c r="L1762" s="14">
        <f t="shared" si="54"/>
        <v>4.2391304347826066</v>
      </c>
      <c r="M1762" t="str">
        <f t="shared" si="55"/>
        <v>No</v>
      </c>
    </row>
    <row r="1763" spans="1:13" x14ac:dyDescent="0.25">
      <c r="A1763">
        <v>337847</v>
      </c>
      <c r="C1763" t="s">
        <v>5491</v>
      </c>
      <c r="D1763" t="s">
        <v>5492</v>
      </c>
      <c r="E1763">
        <v>5.95</v>
      </c>
      <c r="F1763" t="s">
        <v>50</v>
      </c>
      <c r="G1763" t="s">
        <v>5489</v>
      </c>
      <c r="H1763" t="s">
        <v>5488</v>
      </c>
      <c r="I1763" s="11">
        <v>46295</v>
      </c>
      <c r="J1763" s="12">
        <v>46266</v>
      </c>
      <c r="K1763" s="13">
        <f>INDEX(Assumptions!$B$4:$B$23,MATCH(F1763,Assumptions!$A$4:$A$23,0))</f>
        <v>1.0869565217391299</v>
      </c>
      <c r="L1763" s="14">
        <f t="shared" si="54"/>
        <v>6.4673913043478235</v>
      </c>
      <c r="M1763" t="str">
        <f t="shared" si="55"/>
        <v>No</v>
      </c>
    </row>
    <row r="1764" spans="1:13" x14ac:dyDescent="0.25">
      <c r="A1764">
        <v>337848</v>
      </c>
      <c r="C1764" t="s">
        <v>5494</v>
      </c>
      <c r="D1764" t="s">
        <v>2075</v>
      </c>
      <c r="E1764">
        <v>4.95</v>
      </c>
      <c r="F1764" t="s">
        <v>50</v>
      </c>
      <c r="G1764" t="s">
        <v>5489</v>
      </c>
      <c r="H1764" t="s">
        <v>5488</v>
      </c>
      <c r="I1764" s="11">
        <v>46295</v>
      </c>
      <c r="J1764" s="12">
        <v>46266</v>
      </c>
      <c r="K1764" s="13">
        <f>INDEX(Assumptions!$B$4:$B$23,MATCH(F1764,Assumptions!$A$4:$A$23,0))</f>
        <v>1.0869565217391299</v>
      </c>
      <c r="L1764" s="14">
        <f t="shared" si="54"/>
        <v>5.3804347826086936</v>
      </c>
      <c r="M1764" t="str">
        <f t="shared" si="55"/>
        <v>No</v>
      </c>
    </row>
    <row r="1765" spans="1:13" x14ac:dyDescent="0.25">
      <c r="A1765">
        <v>337846</v>
      </c>
      <c r="B1765" t="s">
        <v>5496</v>
      </c>
      <c r="C1765" t="s">
        <v>5497</v>
      </c>
      <c r="D1765" t="s">
        <v>6220</v>
      </c>
      <c r="E1765">
        <v>4.55</v>
      </c>
      <c r="F1765" t="s">
        <v>50</v>
      </c>
      <c r="G1765" t="s">
        <v>5498</v>
      </c>
      <c r="H1765" t="s">
        <v>5488</v>
      </c>
      <c r="I1765" s="11">
        <v>46294</v>
      </c>
      <c r="J1765" s="12">
        <v>46266</v>
      </c>
      <c r="K1765" s="13">
        <f>INDEX(Assumptions!$B$4:$B$23,MATCH(F1765,Assumptions!$A$4:$A$23,0))</f>
        <v>1.0869565217391299</v>
      </c>
      <c r="L1765" s="14">
        <f t="shared" si="54"/>
        <v>4.9456521739130412</v>
      </c>
      <c r="M1765" t="str">
        <f t="shared" si="55"/>
        <v>No</v>
      </c>
    </row>
    <row r="1766" spans="1:13" x14ac:dyDescent="0.25">
      <c r="A1766">
        <v>337845</v>
      </c>
      <c r="B1766" t="s">
        <v>5500</v>
      </c>
      <c r="C1766" t="s">
        <v>5501</v>
      </c>
      <c r="D1766" t="s">
        <v>6220</v>
      </c>
      <c r="E1766">
        <v>2.99</v>
      </c>
      <c r="F1766" t="s">
        <v>50</v>
      </c>
      <c r="G1766" t="s">
        <v>5498</v>
      </c>
      <c r="H1766" t="s">
        <v>5488</v>
      </c>
      <c r="I1766" s="11">
        <v>46294</v>
      </c>
      <c r="J1766" s="12">
        <v>46266</v>
      </c>
      <c r="K1766" s="13">
        <f>INDEX(Assumptions!$B$4:$B$23,MATCH(F1766,Assumptions!$A$4:$A$23,0))</f>
        <v>1.0869565217391299</v>
      </c>
      <c r="L1766" s="14">
        <f t="shared" si="54"/>
        <v>3.2499999999999987</v>
      </c>
      <c r="M1766" t="str">
        <f t="shared" si="55"/>
        <v>No</v>
      </c>
    </row>
    <row r="1767" spans="1:13" x14ac:dyDescent="0.25">
      <c r="A1767">
        <v>337844</v>
      </c>
      <c r="B1767" t="s">
        <v>5503</v>
      </c>
      <c r="C1767" t="s">
        <v>5504</v>
      </c>
      <c r="D1767" t="s">
        <v>6220</v>
      </c>
      <c r="E1767">
        <v>1.75</v>
      </c>
      <c r="F1767" t="s">
        <v>50</v>
      </c>
      <c r="G1767" t="s">
        <v>5498</v>
      </c>
      <c r="H1767" t="s">
        <v>5488</v>
      </c>
      <c r="I1767" s="11">
        <v>46294</v>
      </c>
      <c r="J1767" s="12">
        <v>46266</v>
      </c>
      <c r="K1767" s="13">
        <f>INDEX(Assumptions!$B$4:$B$23,MATCH(F1767,Assumptions!$A$4:$A$23,0))</f>
        <v>1.0869565217391299</v>
      </c>
      <c r="L1767" s="14">
        <f t="shared" si="54"/>
        <v>1.9021739130434774</v>
      </c>
      <c r="M1767" t="str">
        <f t="shared" si="55"/>
        <v>No</v>
      </c>
    </row>
    <row r="1768" spans="1:13" x14ac:dyDescent="0.25">
      <c r="A1768">
        <v>337843</v>
      </c>
      <c r="B1768" t="s">
        <v>5506</v>
      </c>
      <c r="C1768" t="s">
        <v>5507</v>
      </c>
      <c r="D1768" t="s">
        <v>6220</v>
      </c>
      <c r="E1768">
        <v>3.75</v>
      </c>
      <c r="F1768" t="s">
        <v>50</v>
      </c>
      <c r="G1768" t="s">
        <v>5498</v>
      </c>
      <c r="H1768" t="s">
        <v>5488</v>
      </c>
      <c r="I1768" s="11">
        <v>46294</v>
      </c>
      <c r="J1768" s="12">
        <v>46266</v>
      </c>
      <c r="K1768" s="13">
        <f>INDEX(Assumptions!$B$4:$B$23,MATCH(F1768,Assumptions!$A$4:$A$23,0))</f>
        <v>1.0869565217391299</v>
      </c>
      <c r="L1768" s="14">
        <f t="shared" si="54"/>
        <v>4.0760869565217375</v>
      </c>
      <c r="M1768" t="str">
        <f t="shared" si="55"/>
        <v>No</v>
      </c>
    </row>
    <row r="1769" spans="1:13" x14ac:dyDescent="0.25">
      <c r="A1769">
        <v>337842</v>
      </c>
      <c r="B1769" t="s">
        <v>5509</v>
      </c>
      <c r="C1769" t="s">
        <v>6221</v>
      </c>
      <c r="D1769" t="s">
        <v>6220</v>
      </c>
      <c r="E1769">
        <v>1.79</v>
      </c>
      <c r="F1769" t="s">
        <v>50</v>
      </c>
      <c r="G1769" t="s">
        <v>1270</v>
      </c>
      <c r="H1769" t="s">
        <v>5510</v>
      </c>
      <c r="I1769" s="11">
        <v>46296</v>
      </c>
      <c r="J1769" s="12">
        <v>46296</v>
      </c>
      <c r="K1769" s="13">
        <f>INDEX(Assumptions!$B$4:$B$23,MATCH(F1769,Assumptions!$A$4:$A$23,0))</f>
        <v>1.0869565217391299</v>
      </c>
      <c r="L1769" s="14">
        <f t="shared" si="54"/>
        <v>1.9456521739130426</v>
      </c>
      <c r="M1769" t="str">
        <f t="shared" si="55"/>
        <v>Yes</v>
      </c>
    </row>
    <row r="1770" spans="1:13" x14ac:dyDescent="0.25">
      <c r="A1770">
        <v>337841</v>
      </c>
      <c r="B1770" t="s">
        <v>5512</v>
      </c>
      <c r="C1770" t="s">
        <v>6221</v>
      </c>
      <c r="D1770" t="s">
        <v>6220</v>
      </c>
      <c r="E1770">
        <v>4.99</v>
      </c>
      <c r="F1770" t="s">
        <v>50</v>
      </c>
      <c r="G1770" t="s">
        <v>1270</v>
      </c>
      <c r="H1770" t="s">
        <v>5510</v>
      </c>
      <c r="I1770" s="11">
        <v>46296</v>
      </c>
      <c r="J1770" s="12">
        <v>46296</v>
      </c>
      <c r="K1770" s="13">
        <f>INDEX(Assumptions!$B$4:$B$23,MATCH(F1770,Assumptions!$A$4:$A$23,0))</f>
        <v>1.0869565217391299</v>
      </c>
      <c r="L1770" s="14">
        <f t="shared" si="54"/>
        <v>5.423913043478259</v>
      </c>
      <c r="M1770" t="str">
        <f t="shared" si="55"/>
        <v>Yes</v>
      </c>
    </row>
    <row r="1771" spans="1:13" x14ac:dyDescent="0.25">
      <c r="A1771">
        <v>337840</v>
      </c>
      <c r="B1771" t="s">
        <v>5514</v>
      </c>
      <c r="C1771" t="s">
        <v>6221</v>
      </c>
      <c r="D1771" t="s">
        <v>6220</v>
      </c>
      <c r="E1771">
        <v>6.99</v>
      </c>
      <c r="F1771" t="s">
        <v>50</v>
      </c>
      <c r="G1771" t="s">
        <v>1270</v>
      </c>
      <c r="H1771" t="s">
        <v>5510</v>
      </c>
      <c r="I1771" s="11">
        <v>46296</v>
      </c>
      <c r="J1771" s="12">
        <v>46296</v>
      </c>
      <c r="K1771" s="13">
        <f>INDEX(Assumptions!$B$4:$B$23,MATCH(F1771,Assumptions!$A$4:$A$23,0))</f>
        <v>1.0869565217391299</v>
      </c>
      <c r="L1771" s="14">
        <f t="shared" si="54"/>
        <v>7.5978260869565188</v>
      </c>
      <c r="M1771" t="str">
        <f t="shared" si="55"/>
        <v>Yes</v>
      </c>
    </row>
    <row r="1772" spans="1:13" x14ac:dyDescent="0.25">
      <c r="A1772">
        <v>337839</v>
      </c>
      <c r="B1772" t="s">
        <v>5516</v>
      </c>
      <c r="C1772" t="s">
        <v>6221</v>
      </c>
      <c r="D1772" t="s">
        <v>6220</v>
      </c>
      <c r="E1772">
        <v>2.4900000000000002</v>
      </c>
      <c r="F1772" t="s">
        <v>50</v>
      </c>
      <c r="G1772" t="s">
        <v>1270</v>
      </c>
      <c r="H1772" t="s">
        <v>5510</v>
      </c>
      <c r="I1772" s="11">
        <v>46296</v>
      </c>
      <c r="J1772" s="12">
        <v>46296</v>
      </c>
      <c r="K1772" s="13">
        <f>INDEX(Assumptions!$B$4:$B$23,MATCH(F1772,Assumptions!$A$4:$A$23,0))</f>
        <v>1.0869565217391299</v>
      </c>
      <c r="L1772" s="14">
        <f t="shared" si="54"/>
        <v>2.7065217391304337</v>
      </c>
      <c r="M1772" t="str">
        <f t="shared" si="55"/>
        <v>Yes</v>
      </c>
    </row>
    <row r="1773" spans="1:13" x14ac:dyDescent="0.25">
      <c r="A1773">
        <v>337838</v>
      </c>
      <c r="B1773" t="s">
        <v>5518</v>
      </c>
      <c r="C1773" t="s">
        <v>6221</v>
      </c>
      <c r="D1773" t="s">
        <v>6220</v>
      </c>
      <c r="E1773">
        <v>1.49</v>
      </c>
      <c r="F1773" t="s">
        <v>50</v>
      </c>
      <c r="G1773" t="s">
        <v>1270</v>
      </c>
      <c r="H1773" t="s">
        <v>5510</v>
      </c>
      <c r="I1773" s="11">
        <v>46296</v>
      </c>
      <c r="J1773" s="12">
        <v>46296</v>
      </c>
      <c r="K1773" s="13">
        <f>INDEX(Assumptions!$B$4:$B$23,MATCH(F1773,Assumptions!$A$4:$A$23,0))</f>
        <v>1.0869565217391299</v>
      </c>
      <c r="L1773" s="14">
        <f t="shared" si="54"/>
        <v>1.6195652173913035</v>
      </c>
      <c r="M1773" t="str">
        <f t="shared" si="55"/>
        <v>Yes</v>
      </c>
    </row>
    <row r="1774" spans="1:13" x14ac:dyDescent="0.25">
      <c r="A1774">
        <v>337837</v>
      </c>
      <c r="B1774" t="s">
        <v>5520</v>
      </c>
      <c r="C1774" t="s">
        <v>6221</v>
      </c>
      <c r="D1774" t="s">
        <v>6220</v>
      </c>
      <c r="E1774">
        <v>1.49</v>
      </c>
      <c r="F1774" t="s">
        <v>50</v>
      </c>
      <c r="G1774" t="s">
        <v>1270</v>
      </c>
      <c r="H1774" t="s">
        <v>5510</v>
      </c>
      <c r="I1774" s="11">
        <v>46296</v>
      </c>
      <c r="J1774" s="12">
        <v>46296</v>
      </c>
      <c r="K1774" s="13">
        <f>INDEX(Assumptions!$B$4:$B$23,MATCH(F1774,Assumptions!$A$4:$A$23,0))</f>
        <v>1.0869565217391299</v>
      </c>
      <c r="L1774" s="14">
        <f t="shared" si="54"/>
        <v>1.6195652173913035</v>
      </c>
      <c r="M1774" t="str">
        <f t="shared" si="55"/>
        <v>Yes</v>
      </c>
    </row>
    <row r="1775" spans="1:13" x14ac:dyDescent="0.25">
      <c r="A1775">
        <v>337836</v>
      </c>
      <c r="B1775" t="s">
        <v>5522</v>
      </c>
      <c r="C1775" t="s">
        <v>6221</v>
      </c>
      <c r="D1775" t="s">
        <v>6220</v>
      </c>
      <c r="E1775">
        <v>1.69</v>
      </c>
      <c r="F1775" t="s">
        <v>50</v>
      </c>
      <c r="G1775" t="s">
        <v>1270</v>
      </c>
      <c r="H1775" t="s">
        <v>5510</v>
      </c>
      <c r="I1775" s="11">
        <v>46296</v>
      </c>
      <c r="J1775" s="12">
        <v>46296</v>
      </c>
      <c r="K1775" s="13">
        <f>INDEX(Assumptions!$B$4:$B$23,MATCH(F1775,Assumptions!$A$4:$A$23,0))</f>
        <v>1.0869565217391299</v>
      </c>
      <c r="L1775" s="14">
        <f t="shared" si="54"/>
        <v>1.8369565217391295</v>
      </c>
      <c r="M1775" t="str">
        <f t="shared" si="55"/>
        <v>Yes</v>
      </c>
    </row>
    <row r="1776" spans="1:13" x14ac:dyDescent="0.25">
      <c r="A1776">
        <v>337835</v>
      </c>
      <c r="B1776" t="s">
        <v>5524</v>
      </c>
      <c r="C1776" t="s">
        <v>6221</v>
      </c>
      <c r="D1776" t="s">
        <v>6220</v>
      </c>
      <c r="E1776">
        <v>1.32</v>
      </c>
      <c r="F1776" t="s">
        <v>50</v>
      </c>
      <c r="G1776" t="s">
        <v>3634</v>
      </c>
      <c r="H1776" t="s">
        <v>3633</v>
      </c>
      <c r="I1776" s="11">
        <v>46294</v>
      </c>
      <c r="J1776" s="12">
        <v>46266</v>
      </c>
      <c r="K1776" s="13">
        <f>INDEX(Assumptions!$B$4:$B$23,MATCH(F1776,Assumptions!$A$4:$A$23,0))</f>
        <v>1.0869565217391299</v>
      </c>
      <c r="L1776" s="14">
        <f t="shared" si="54"/>
        <v>1.4347826086956517</v>
      </c>
      <c r="M1776" t="str">
        <f t="shared" si="55"/>
        <v>Yes</v>
      </c>
    </row>
    <row r="1777" spans="1:13" x14ac:dyDescent="0.25">
      <c r="A1777">
        <v>337834</v>
      </c>
      <c r="B1777" t="s">
        <v>5526</v>
      </c>
      <c r="C1777" t="s">
        <v>6221</v>
      </c>
      <c r="D1777" t="s">
        <v>6220</v>
      </c>
      <c r="E1777">
        <v>3</v>
      </c>
      <c r="F1777" t="s">
        <v>50</v>
      </c>
      <c r="G1777" t="s">
        <v>5527</v>
      </c>
      <c r="H1777" t="s">
        <v>3502</v>
      </c>
      <c r="I1777" s="11">
        <v>46296</v>
      </c>
      <c r="J1777" s="12">
        <v>46296</v>
      </c>
      <c r="K1777" s="13">
        <f>INDEX(Assumptions!$B$4:$B$23,MATCH(F1777,Assumptions!$A$4:$A$23,0))</f>
        <v>1.0869565217391299</v>
      </c>
      <c r="L1777" s="14">
        <f t="shared" si="54"/>
        <v>3.2608695652173898</v>
      </c>
      <c r="M1777" t="str">
        <f t="shared" si="55"/>
        <v>Yes</v>
      </c>
    </row>
    <row r="1778" spans="1:13" x14ac:dyDescent="0.25">
      <c r="A1778">
        <v>337833</v>
      </c>
      <c r="B1778" t="s">
        <v>5529</v>
      </c>
      <c r="C1778" t="s">
        <v>6221</v>
      </c>
      <c r="D1778" t="s">
        <v>6220</v>
      </c>
      <c r="E1778">
        <v>0.95</v>
      </c>
      <c r="F1778" t="s">
        <v>50</v>
      </c>
      <c r="G1778" t="s">
        <v>1270</v>
      </c>
      <c r="H1778" t="s">
        <v>5510</v>
      </c>
      <c r="I1778" s="11">
        <v>46296</v>
      </c>
      <c r="J1778" s="12">
        <v>46296</v>
      </c>
      <c r="K1778" s="13">
        <f>INDEX(Assumptions!$B$4:$B$23,MATCH(F1778,Assumptions!$A$4:$A$23,0))</f>
        <v>1.0869565217391299</v>
      </c>
      <c r="L1778" s="14">
        <f t="shared" si="54"/>
        <v>1.0326086956521734</v>
      </c>
      <c r="M1778" t="str">
        <f t="shared" si="55"/>
        <v>Yes</v>
      </c>
    </row>
    <row r="1779" spans="1:13" x14ac:dyDescent="0.25">
      <c r="A1779">
        <v>337832</v>
      </c>
      <c r="B1779" t="s">
        <v>5531</v>
      </c>
      <c r="C1779" t="s">
        <v>6221</v>
      </c>
      <c r="D1779" t="s">
        <v>6220</v>
      </c>
      <c r="E1779">
        <v>1.99</v>
      </c>
      <c r="F1779" t="s">
        <v>50</v>
      </c>
      <c r="G1779" t="s">
        <v>5533</v>
      </c>
      <c r="H1779" t="s">
        <v>5532</v>
      </c>
      <c r="I1779" s="11">
        <v>46296</v>
      </c>
      <c r="J1779" s="12">
        <v>46296</v>
      </c>
      <c r="K1779" s="13">
        <f>INDEX(Assumptions!$B$4:$B$23,MATCH(F1779,Assumptions!$A$4:$A$23,0))</f>
        <v>1.0869565217391299</v>
      </c>
      <c r="L1779" s="14">
        <f t="shared" si="54"/>
        <v>2.1630434782608687</v>
      </c>
      <c r="M1779" t="str">
        <f t="shared" si="55"/>
        <v>Yes</v>
      </c>
    </row>
    <row r="1780" spans="1:13" x14ac:dyDescent="0.25">
      <c r="A1780">
        <v>337831</v>
      </c>
      <c r="B1780" t="s">
        <v>5535</v>
      </c>
      <c r="C1780" t="s">
        <v>6221</v>
      </c>
      <c r="D1780" t="s">
        <v>6220</v>
      </c>
      <c r="E1780">
        <v>3.95</v>
      </c>
      <c r="F1780" t="s">
        <v>50</v>
      </c>
      <c r="G1780" t="s">
        <v>3494</v>
      </c>
      <c r="H1780" t="s">
        <v>3493</v>
      </c>
      <c r="I1780" s="11">
        <v>46296</v>
      </c>
      <c r="J1780" s="12">
        <v>46296</v>
      </c>
      <c r="K1780" s="13">
        <f>INDEX(Assumptions!$B$4:$B$23,MATCH(F1780,Assumptions!$A$4:$A$23,0))</f>
        <v>1.0869565217391299</v>
      </c>
      <c r="L1780" s="14">
        <f t="shared" si="54"/>
        <v>4.2934782608695636</v>
      </c>
      <c r="M1780" t="str">
        <f t="shared" si="55"/>
        <v>Yes</v>
      </c>
    </row>
    <row r="1781" spans="1:13" x14ac:dyDescent="0.25">
      <c r="A1781">
        <v>337830</v>
      </c>
      <c r="B1781" t="s">
        <v>5537</v>
      </c>
      <c r="C1781" t="s">
        <v>6221</v>
      </c>
      <c r="D1781" t="s">
        <v>6220</v>
      </c>
      <c r="E1781">
        <v>5.63</v>
      </c>
      <c r="F1781" t="s">
        <v>50</v>
      </c>
      <c r="G1781" t="s">
        <v>5527</v>
      </c>
      <c r="H1781" t="s">
        <v>3502</v>
      </c>
      <c r="I1781" s="11">
        <v>46296</v>
      </c>
      <c r="J1781" s="12">
        <v>46296</v>
      </c>
      <c r="K1781" s="13">
        <f>INDEX(Assumptions!$B$4:$B$23,MATCH(F1781,Assumptions!$A$4:$A$23,0))</f>
        <v>1.0869565217391299</v>
      </c>
      <c r="L1781" s="14">
        <f t="shared" si="54"/>
        <v>6.1195652173913011</v>
      </c>
      <c r="M1781" t="str">
        <f t="shared" si="55"/>
        <v>Yes</v>
      </c>
    </row>
    <row r="1782" spans="1:13" x14ac:dyDescent="0.25">
      <c r="A1782">
        <v>337829</v>
      </c>
      <c r="B1782" t="s">
        <v>5540</v>
      </c>
      <c r="C1782" t="s">
        <v>6221</v>
      </c>
      <c r="D1782" t="s">
        <v>6220</v>
      </c>
      <c r="E1782">
        <v>3.28</v>
      </c>
      <c r="F1782" t="s">
        <v>50</v>
      </c>
      <c r="G1782" t="s">
        <v>5527</v>
      </c>
      <c r="H1782" t="s">
        <v>3502</v>
      </c>
      <c r="I1782" s="11">
        <v>46296</v>
      </c>
      <c r="J1782" s="12">
        <v>46296</v>
      </c>
      <c r="K1782" s="13">
        <f>INDEX(Assumptions!$B$4:$B$23,MATCH(F1782,Assumptions!$A$4:$A$23,0))</f>
        <v>1.0869565217391299</v>
      </c>
      <c r="L1782" s="14">
        <f t="shared" si="54"/>
        <v>3.5652173913043459</v>
      </c>
      <c r="M1782" t="str">
        <f t="shared" si="55"/>
        <v>Yes</v>
      </c>
    </row>
    <row r="1783" spans="1:13" x14ac:dyDescent="0.25">
      <c r="A1783">
        <v>337828</v>
      </c>
      <c r="B1783" t="s">
        <v>5542</v>
      </c>
      <c r="C1783" t="s">
        <v>6221</v>
      </c>
      <c r="D1783" t="s">
        <v>6220</v>
      </c>
      <c r="E1783">
        <v>2.99</v>
      </c>
      <c r="F1783" t="s">
        <v>50</v>
      </c>
      <c r="G1783" t="s">
        <v>5533</v>
      </c>
      <c r="H1783" t="s">
        <v>5532</v>
      </c>
      <c r="I1783" s="11">
        <v>46296</v>
      </c>
      <c r="J1783" s="12">
        <v>46296</v>
      </c>
      <c r="K1783" s="13">
        <f>INDEX(Assumptions!$B$4:$B$23,MATCH(F1783,Assumptions!$A$4:$A$23,0))</f>
        <v>1.0869565217391299</v>
      </c>
      <c r="L1783" s="14">
        <f t="shared" si="54"/>
        <v>3.2499999999999987</v>
      </c>
      <c r="M1783" t="str">
        <f t="shared" si="55"/>
        <v>Yes</v>
      </c>
    </row>
    <row r="1784" spans="1:13" x14ac:dyDescent="0.25">
      <c r="A1784">
        <v>337827</v>
      </c>
      <c r="B1784" t="s">
        <v>5544</v>
      </c>
      <c r="C1784" t="s">
        <v>6221</v>
      </c>
      <c r="D1784" t="s">
        <v>6220</v>
      </c>
      <c r="E1784">
        <v>2.02</v>
      </c>
      <c r="F1784" t="s">
        <v>50</v>
      </c>
      <c r="G1784" t="s">
        <v>5527</v>
      </c>
      <c r="H1784" t="s">
        <v>3502</v>
      </c>
      <c r="I1784" s="11">
        <v>46296</v>
      </c>
      <c r="J1784" s="12">
        <v>46296</v>
      </c>
      <c r="K1784" s="13">
        <f>INDEX(Assumptions!$B$4:$B$23,MATCH(F1784,Assumptions!$A$4:$A$23,0))</f>
        <v>1.0869565217391299</v>
      </c>
      <c r="L1784" s="14">
        <f t="shared" si="54"/>
        <v>2.1956521739130426</v>
      </c>
      <c r="M1784" t="str">
        <f t="shared" si="55"/>
        <v>Yes</v>
      </c>
    </row>
    <row r="1785" spans="1:13" x14ac:dyDescent="0.25">
      <c r="A1785">
        <v>337826</v>
      </c>
      <c r="B1785" t="s">
        <v>5547</v>
      </c>
      <c r="C1785" t="s">
        <v>6221</v>
      </c>
      <c r="D1785" t="s">
        <v>6220</v>
      </c>
      <c r="E1785">
        <v>7.99</v>
      </c>
      <c r="F1785" t="s">
        <v>50</v>
      </c>
      <c r="G1785" t="s">
        <v>1270</v>
      </c>
      <c r="H1785" t="s">
        <v>5510</v>
      </c>
      <c r="I1785" s="11">
        <v>46296</v>
      </c>
      <c r="J1785" s="12">
        <v>46296</v>
      </c>
      <c r="K1785" s="13">
        <f>INDEX(Assumptions!$B$4:$B$23,MATCH(F1785,Assumptions!$A$4:$A$23,0))</f>
        <v>1.0869565217391299</v>
      </c>
      <c r="L1785" s="14">
        <f t="shared" si="54"/>
        <v>8.6847826086956488</v>
      </c>
      <c r="M1785" t="str">
        <f t="shared" si="55"/>
        <v>Yes</v>
      </c>
    </row>
    <row r="1786" spans="1:13" x14ac:dyDescent="0.25">
      <c r="A1786">
        <v>337824</v>
      </c>
      <c r="B1786" t="s">
        <v>5549</v>
      </c>
      <c r="C1786" t="s">
        <v>5550</v>
      </c>
      <c r="D1786" t="s">
        <v>6220</v>
      </c>
      <c r="E1786">
        <v>3.95</v>
      </c>
      <c r="F1786" t="s">
        <v>1426</v>
      </c>
      <c r="G1786" t="s">
        <v>1428</v>
      </c>
      <c r="H1786" t="s">
        <v>1427</v>
      </c>
      <c r="I1786" s="11">
        <v>46295</v>
      </c>
      <c r="J1786" s="12">
        <v>46266</v>
      </c>
      <c r="K1786" s="13">
        <f>INDEX(Assumptions!$B$4:$B$23,MATCH(F1786,Assumptions!$A$4:$A$23,0))</f>
        <v>0.7407407407407407</v>
      </c>
      <c r="L1786" s="14">
        <f t="shared" si="54"/>
        <v>2.925925925925926</v>
      </c>
      <c r="M1786" t="str">
        <f t="shared" si="55"/>
        <v>No</v>
      </c>
    </row>
    <row r="1787" spans="1:13" x14ac:dyDescent="0.25">
      <c r="A1787">
        <v>337825</v>
      </c>
      <c r="B1787" t="s">
        <v>5552</v>
      </c>
      <c r="C1787" t="s">
        <v>5553</v>
      </c>
      <c r="D1787" t="s">
        <v>6220</v>
      </c>
      <c r="E1787">
        <v>3.7</v>
      </c>
      <c r="F1787" t="s">
        <v>1426</v>
      </c>
      <c r="G1787" t="s">
        <v>1428</v>
      </c>
      <c r="H1787" t="s">
        <v>1427</v>
      </c>
      <c r="I1787" s="11">
        <v>46295</v>
      </c>
      <c r="J1787" s="12">
        <v>46266</v>
      </c>
      <c r="K1787" s="13">
        <f>INDEX(Assumptions!$B$4:$B$23,MATCH(F1787,Assumptions!$A$4:$A$23,0))</f>
        <v>0.7407407407407407</v>
      </c>
      <c r="L1787" s="14">
        <f t="shared" si="54"/>
        <v>2.7407407407407409</v>
      </c>
      <c r="M1787" t="str">
        <f t="shared" si="55"/>
        <v>No</v>
      </c>
    </row>
    <row r="1788" spans="1:13" x14ac:dyDescent="0.25">
      <c r="A1788">
        <v>337823</v>
      </c>
      <c r="B1788" t="s">
        <v>5556</v>
      </c>
      <c r="C1788" t="s">
        <v>5557</v>
      </c>
      <c r="D1788" t="s">
        <v>6220</v>
      </c>
      <c r="E1788">
        <v>2.1</v>
      </c>
      <c r="F1788" t="s">
        <v>1426</v>
      </c>
      <c r="G1788" t="s">
        <v>1428</v>
      </c>
      <c r="H1788" t="s">
        <v>1427</v>
      </c>
      <c r="I1788" s="11">
        <v>46295</v>
      </c>
      <c r="J1788" s="12">
        <v>46266</v>
      </c>
      <c r="K1788" s="13">
        <f>INDEX(Assumptions!$B$4:$B$23,MATCH(F1788,Assumptions!$A$4:$A$23,0))</f>
        <v>0.7407407407407407</v>
      </c>
      <c r="L1788" s="14">
        <f t="shared" si="54"/>
        <v>1.5555555555555556</v>
      </c>
      <c r="M1788" t="str">
        <f t="shared" si="55"/>
        <v>No</v>
      </c>
    </row>
    <row r="1789" spans="1:13" x14ac:dyDescent="0.25">
      <c r="A1789">
        <v>337822</v>
      </c>
      <c r="B1789" t="s">
        <v>5559</v>
      </c>
      <c r="C1789" t="s">
        <v>5560</v>
      </c>
      <c r="D1789" t="s">
        <v>6220</v>
      </c>
      <c r="E1789">
        <v>2.85</v>
      </c>
      <c r="F1789" t="s">
        <v>1426</v>
      </c>
      <c r="G1789" t="s">
        <v>1428</v>
      </c>
      <c r="H1789" t="s">
        <v>1427</v>
      </c>
      <c r="I1789" s="11">
        <v>46295</v>
      </c>
      <c r="J1789" s="12">
        <v>46266</v>
      </c>
      <c r="K1789" s="13">
        <f>INDEX(Assumptions!$B$4:$B$23,MATCH(F1789,Assumptions!$A$4:$A$23,0))</f>
        <v>0.7407407407407407</v>
      </c>
      <c r="L1789" s="14">
        <f t="shared" si="54"/>
        <v>2.1111111111111112</v>
      </c>
      <c r="M1789" t="str">
        <f t="shared" si="55"/>
        <v>No</v>
      </c>
    </row>
    <row r="1790" spans="1:13" x14ac:dyDescent="0.25">
      <c r="A1790">
        <v>337821</v>
      </c>
      <c r="B1790" t="s">
        <v>5562</v>
      </c>
      <c r="C1790" t="s">
        <v>5563</v>
      </c>
      <c r="D1790" t="s">
        <v>6220</v>
      </c>
      <c r="E1790">
        <v>4.8</v>
      </c>
      <c r="F1790" t="s">
        <v>1426</v>
      </c>
      <c r="G1790" t="s">
        <v>1428</v>
      </c>
      <c r="H1790" t="s">
        <v>1427</v>
      </c>
      <c r="I1790" s="11">
        <v>46295</v>
      </c>
      <c r="J1790" s="12">
        <v>46266</v>
      </c>
      <c r="K1790" s="13">
        <f>INDEX(Assumptions!$B$4:$B$23,MATCH(F1790,Assumptions!$A$4:$A$23,0))</f>
        <v>0.7407407407407407</v>
      </c>
      <c r="L1790" s="14">
        <f t="shared" si="54"/>
        <v>3.5555555555555554</v>
      </c>
      <c r="M1790" t="str">
        <f t="shared" si="55"/>
        <v>No</v>
      </c>
    </row>
    <row r="1791" spans="1:13" x14ac:dyDescent="0.25">
      <c r="A1791">
        <v>337820</v>
      </c>
      <c r="B1791" t="s">
        <v>5566</v>
      </c>
      <c r="C1791" t="s">
        <v>5567</v>
      </c>
      <c r="D1791" t="s">
        <v>6220</v>
      </c>
      <c r="E1791">
        <v>2.2999999999999998</v>
      </c>
      <c r="F1791" t="s">
        <v>1426</v>
      </c>
      <c r="G1791" t="s">
        <v>1428</v>
      </c>
      <c r="H1791" t="s">
        <v>1427</v>
      </c>
      <c r="I1791" s="11">
        <v>46295</v>
      </c>
      <c r="J1791" s="12">
        <v>46266</v>
      </c>
      <c r="K1791" s="13">
        <f>INDEX(Assumptions!$B$4:$B$23,MATCH(F1791,Assumptions!$A$4:$A$23,0))</f>
        <v>0.7407407407407407</v>
      </c>
      <c r="L1791" s="14">
        <f t="shared" si="54"/>
        <v>1.7037037037037035</v>
      </c>
      <c r="M1791" t="str">
        <f t="shared" si="55"/>
        <v>No</v>
      </c>
    </row>
    <row r="1792" spans="1:13" x14ac:dyDescent="0.25">
      <c r="A1792">
        <v>337819</v>
      </c>
      <c r="B1792" t="s">
        <v>5569</v>
      </c>
      <c r="C1792" t="s">
        <v>5570</v>
      </c>
      <c r="D1792" t="s">
        <v>6220</v>
      </c>
      <c r="E1792">
        <v>1.8</v>
      </c>
      <c r="F1792" t="s">
        <v>1426</v>
      </c>
      <c r="G1792" t="s">
        <v>1428</v>
      </c>
      <c r="H1792" t="s">
        <v>1427</v>
      </c>
      <c r="I1792" s="11">
        <v>46295</v>
      </c>
      <c r="J1792" s="12">
        <v>46266</v>
      </c>
      <c r="K1792" s="13">
        <f>INDEX(Assumptions!$B$4:$B$23,MATCH(F1792,Assumptions!$A$4:$A$23,0))</f>
        <v>0.7407407407407407</v>
      </c>
      <c r="L1792" s="14">
        <f t="shared" si="54"/>
        <v>1.3333333333333333</v>
      </c>
      <c r="M1792" t="str">
        <f t="shared" si="55"/>
        <v>No</v>
      </c>
    </row>
    <row r="1793" spans="1:13" x14ac:dyDescent="0.25">
      <c r="A1793">
        <v>337818</v>
      </c>
      <c r="B1793" t="s">
        <v>5572</v>
      </c>
      <c r="C1793" t="s">
        <v>5573</v>
      </c>
      <c r="D1793" t="s">
        <v>6220</v>
      </c>
      <c r="E1793">
        <v>4.8</v>
      </c>
      <c r="F1793" t="s">
        <v>1426</v>
      </c>
      <c r="G1793" t="s">
        <v>5574</v>
      </c>
      <c r="H1793" t="s">
        <v>1427</v>
      </c>
      <c r="I1793" s="11">
        <v>46295</v>
      </c>
      <c r="J1793" s="12">
        <v>46266</v>
      </c>
      <c r="K1793" s="13">
        <f>INDEX(Assumptions!$B$4:$B$23,MATCH(F1793,Assumptions!$A$4:$A$23,0))</f>
        <v>0.7407407407407407</v>
      </c>
      <c r="L1793" s="14">
        <f t="shared" si="54"/>
        <v>3.5555555555555554</v>
      </c>
      <c r="M1793" t="str">
        <f t="shared" si="55"/>
        <v>No</v>
      </c>
    </row>
    <row r="1794" spans="1:13" x14ac:dyDescent="0.25">
      <c r="A1794">
        <v>337817</v>
      </c>
      <c r="B1794" t="s">
        <v>5576</v>
      </c>
      <c r="C1794" t="s">
        <v>5577</v>
      </c>
      <c r="D1794" t="s">
        <v>6220</v>
      </c>
      <c r="E1794">
        <v>1090</v>
      </c>
      <c r="F1794" t="s">
        <v>5579</v>
      </c>
      <c r="G1794" t="s">
        <v>5580</v>
      </c>
      <c r="H1794" t="s">
        <v>1427</v>
      </c>
      <c r="I1794" s="11">
        <v>46291</v>
      </c>
      <c r="J1794" s="12">
        <v>46266</v>
      </c>
      <c r="K1794" s="13">
        <f>INDEX(Assumptions!$B$4:$B$23,MATCH(F1794,Assumptions!$A$4:$A$23,0))</f>
        <v>2.9411764705882349E-2</v>
      </c>
      <c r="L1794" s="14">
        <f t="shared" ref="L1794:L1857" si="56">E1794*K1794</f>
        <v>32.058823529411761</v>
      </c>
      <c r="M1794" t="str">
        <f t="shared" ref="M1794:M1857" si="57">IF(C1794="Unnamed product","Yes","No")</f>
        <v>No</v>
      </c>
    </row>
    <row r="1795" spans="1:13" x14ac:dyDescent="0.25">
      <c r="A1795">
        <v>337816</v>
      </c>
      <c r="B1795" t="s">
        <v>5582</v>
      </c>
      <c r="C1795" t="s">
        <v>6221</v>
      </c>
      <c r="D1795" t="s">
        <v>6220</v>
      </c>
      <c r="E1795">
        <v>159</v>
      </c>
      <c r="F1795" t="s">
        <v>1460</v>
      </c>
      <c r="G1795" t="s">
        <v>5585</v>
      </c>
      <c r="H1795" t="s">
        <v>5584</v>
      </c>
      <c r="I1795" s="11">
        <v>46296</v>
      </c>
      <c r="J1795" s="12">
        <v>46296</v>
      </c>
      <c r="K1795" s="13">
        <f>INDEX(Assumptions!$B$4:$B$23,MATCH(F1795,Assumptions!$A$4:$A$23,0))</f>
        <v>1.1904761904761901E-2</v>
      </c>
      <c r="L1795" s="14">
        <f t="shared" si="56"/>
        <v>1.8928571428571421</v>
      </c>
      <c r="M1795" t="str">
        <f t="shared" si="57"/>
        <v>Yes</v>
      </c>
    </row>
    <row r="1796" spans="1:13" x14ac:dyDescent="0.25">
      <c r="A1796">
        <v>337815</v>
      </c>
      <c r="B1796" t="s">
        <v>5587</v>
      </c>
      <c r="C1796" t="s">
        <v>6221</v>
      </c>
      <c r="D1796" t="s">
        <v>6220</v>
      </c>
      <c r="E1796">
        <v>209</v>
      </c>
      <c r="F1796" t="s">
        <v>1460</v>
      </c>
      <c r="G1796" t="s">
        <v>5585</v>
      </c>
      <c r="H1796" t="s">
        <v>5584</v>
      </c>
      <c r="I1796" s="11">
        <v>46296</v>
      </c>
      <c r="J1796" s="12">
        <v>46296</v>
      </c>
      <c r="K1796" s="13">
        <f>INDEX(Assumptions!$B$4:$B$23,MATCH(F1796,Assumptions!$A$4:$A$23,0))</f>
        <v>1.1904761904761901E-2</v>
      </c>
      <c r="L1796" s="14">
        <f t="shared" si="56"/>
        <v>2.4880952380952372</v>
      </c>
      <c r="M1796" t="str">
        <f t="shared" si="57"/>
        <v>Yes</v>
      </c>
    </row>
    <row r="1797" spans="1:13" x14ac:dyDescent="0.25">
      <c r="A1797">
        <v>337814</v>
      </c>
      <c r="B1797" t="s">
        <v>5590</v>
      </c>
      <c r="C1797" t="s">
        <v>6221</v>
      </c>
      <c r="D1797" t="s">
        <v>6220</v>
      </c>
      <c r="E1797">
        <v>2.29</v>
      </c>
      <c r="F1797" t="s">
        <v>50</v>
      </c>
      <c r="G1797" t="s">
        <v>1270</v>
      </c>
      <c r="H1797" t="s">
        <v>5510</v>
      </c>
      <c r="I1797" s="11">
        <v>46296</v>
      </c>
      <c r="J1797" s="12">
        <v>46296</v>
      </c>
      <c r="K1797" s="13">
        <f>INDEX(Assumptions!$B$4:$B$23,MATCH(F1797,Assumptions!$A$4:$A$23,0))</f>
        <v>1.0869565217391299</v>
      </c>
      <c r="L1797" s="14">
        <f t="shared" si="56"/>
        <v>2.4891304347826075</v>
      </c>
      <c r="M1797" t="str">
        <f t="shared" si="57"/>
        <v>Yes</v>
      </c>
    </row>
    <row r="1798" spans="1:13" x14ac:dyDescent="0.25">
      <c r="A1798">
        <v>337813</v>
      </c>
      <c r="B1798" t="s">
        <v>5592</v>
      </c>
      <c r="C1798" t="s">
        <v>6221</v>
      </c>
      <c r="D1798" t="s">
        <v>6220</v>
      </c>
      <c r="E1798">
        <v>2.79</v>
      </c>
      <c r="F1798" t="s">
        <v>50</v>
      </c>
      <c r="G1798" t="s">
        <v>1270</v>
      </c>
      <c r="H1798" t="s">
        <v>5510</v>
      </c>
      <c r="I1798" s="11">
        <v>46296</v>
      </c>
      <c r="J1798" s="12">
        <v>46296</v>
      </c>
      <c r="K1798" s="13">
        <f>INDEX(Assumptions!$B$4:$B$23,MATCH(F1798,Assumptions!$A$4:$A$23,0))</f>
        <v>1.0869565217391299</v>
      </c>
      <c r="L1798" s="14">
        <f t="shared" si="56"/>
        <v>3.0326086956521725</v>
      </c>
      <c r="M1798" t="str">
        <f t="shared" si="57"/>
        <v>Yes</v>
      </c>
    </row>
    <row r="1799" spans="1:13" x14ac:dyDescent="0.25">
      <c r="A1799">
        <v>337812</v>
      </c>
      <c r="B1799" t="s">
        <v>5594</v>
      </c>
      <c r="C1799" t="s">
        <v>6221</v>
      </c>
      <c r="D1799" t="s">
        <v>6220</v>
      </c>
      <c r="E1799">
        <v>2.79</v>
      </c>
      <c r="F1799" t="s">
        <v>50</v>
      </c>
      <c r="G1799" t="s">
        <v>1270</v>
      </c>
      <c r="H1799" t="s">
        <v>5510</v>
      </c>
      <c r="I1799" s="11">
        <v>46296</v>
      </c>
      <c r="J1799" s="12">
        <v>46296</v>
      </c>
      <c r="K1799" s="13">
        <f>INDEX(Assumptions!$B$4:$B$23,MATCH(F1799,Assumptions!$A$4:$A$23,0))</f>
        <v>1.0869565217391299</v>
      </c>
      <c r="L1799" s="14">
        <f t="shared" si="56"/>
        <v>3.0326086956521725</v>
      </c>
      <c r="M1799" t="str">
        <f t="shared" si="57"/>
        <v>Yes</v>
      </c>
    </row>
    <row r="1800" spans="1:13" x14ac:dyDescent="0.25">
      <c r="A1800">
        <v>337811</v>
      </c>
      <c r="B1800" t="s">
        <v>5596</v>
      </c>
      <c r="C1800" t="s">
        <v>6221</v>
      </c>
      <c r="D1800" t="s">
        <v>6220</v>
      </c>
      <c r="E1800">
        <v>2.99</v>
      </c>
      <c r="F1800" t="s">
        <v>50</v>
      </c>
      <c r="G1800" t="s">
        <v>1270</v>
      </c>
      <c r="H1800" t="s">
        <v>5510</v>
      </c>
      <c r="I1800" s="11">
        <v>46296</v>
      </c>
      <c r="J1800" s="12">
        <v>46296</v>
      </c>
      <c r="K1800" s="13">
        <f>INDEX(Assumptions!$B$4:$B$23,MATCH(F1800,Assumptions!$A$4:$A$23,0))</f>
        <v>1.0869565217391299</v>
      </c>
      <c r="L1800" s="14">
        <f t="shared" si="56"/>
        <v>3.2499999999999987</v>
      </c>
      <c r="M1800" t="str">
        <f t="shared" si="57"/>
        <v>Yes</v>
      </c>
    </row>
    <row r="1801" spans="1:13" x14ac:dyDescent="0.25">
      <c r="A1801">
        <v>337810</v>
      </c>
      <c r="B1801" t="s">
        <v>5598</v>
      </c>
      <c r="C1801" t="s">
        <v>6221</v>
      </c>
      <c r="D1801" t="s">
        <v>6220</v>
      </c>
      <c r="E1801">
        <v>2.4900000000000002</v>
      </c>
      <c r="F1801" t="s">
        <v>50</v>
      </c>
      <c r="G1801" t="s">
        <v>1270</v>
      </c>
      <c r="H1801" t="s">
        <v>5510</v>
      </c>
      <c r="I1801" s="11">
        <v>46296</v>
      </c>
      <c r="J1801" s="12">
        <v>46296</v>
      </c>
      <c r="K1801" s="13">
        <f>INDEX(Assumptions!$B$4:$B$23,MATCH(F1801,Assumptions!$A$4:$A$23,0))</f>
        <v>1.0869565217391299</v>
      </c>
      <c r="L1801" s="14">
        <f t="shared" si="56"/>
        <v>2.7065217391304337</v>
      </c>
      <c r="M1801" t="str">
        <f t="shared" si="57"/>
        <v>Yes</v>
      </c>
    </row>
    <row r="1802" spans="1:13" x14ac:dyDescent="0.25">
      <c r="A1802">
        <v>337809</v>
      </c>
      <c r="B1802" t="s">
        <v>5600</v>
      </c>
      <c r="C1802" t="s">
        <v>6221</v>
      </c>
      <c r="D1802" t="s">
        <v>6220</v>
      </c>
      <c r="E1802">
        <v>2.39</v>
      </c>
      <c r="F1802" t="s">
        <v>50</v>
      </c>
      <c r="G1802" t="s">
        <v>1270</v>
      </c>
      <c r="H1802" t="s">
        <v>5510</v>
      </c>
      <c r="I1802" s="11">
        <v>46296</v>
      </c>
      <c r="J1802" s="12">
        <v>46296</v>
      </c>
      <c r="K1802" s="13">
        <f>INDEX(Assumptions!$B$4:$B$23,MATCH(F1802,Assumptions!$A$4:$A$23,0))</f>
        <v>1.0869565217391299</v>
      </c>
      <c r="L1802" s="14">
        <f t="shared" si="56"/>
        <v>2.5978260869565206</v>
      </c>
      <c r="M1802" t="str">
        <f t="shared" si="57"/>
        <v>Yes</v>
      </c>
    </row>
    <row r="1803" spans="1:13" x14ac:dyDescent="0.25">
      <c r="A1803">
        <v>337808</v>
      </c>
      <c r="B1803" t="s">
        <v>5602</v>
      </c>
      <c r="C1803" t="s">
        <v>6221</v>
      </c>
      <c r="D1803" t="s">
        <v>6220</v>
      </c>
      <c r="E1803">
        <v>2.29</v>
      </c>
      <c r="F1803" t="s">
        <v>50</v>
      </c>
      <c r="G1803" t="s">
        <v>1270</v>
      </c>
      <c r="H1803" t="s">
        <v>5510</v>
      </c>
      <c r="I1803" s="11">
        <v>46296</v>
      </c>
      <c r="J1803" s="12">
        <v>46296</v>
      </c>
      <c r="K1803" s="13">
        <f>INDEX(Assumptions!$B$4:$B$23,MATCH(F1803,Assumptions!$A$4:$A$23,0))</f>
        <v>1.0869565217391299</v>
      </c>
      <c r="L1803" s="14">
        <f t="shared" si="56"/>
        <v>2.4891304347826075</v>
      </c>
      <c r="M1803" t="str">
        <f t="shared" si="57"/>
        <v>Yes</v>
      </c>
    </row>
    <row r="1804" spans="1:13" x14ac:dyDescent="0.25">
      <c r="A1804">
        <v>337807</v>
      </c>
      <c r="B1804" t="s">
        <v>5604</v>
      </c>
      <c r="C1804" t="s">
        <v>6221</v>
      </c>
      <c r="D1804" t="s">
        <v>6220</v>
      </c>
      <c r="E1804">
        <v>3.29</v>
      </c>
      <c r="F1804" t="s">
        <v>50</v>
      </c>
      <c r="G1804" t="s">
        <v>1270</v>
      </c>
      <c r="H1804" t="s">
        <v>5510</v>
      </c>
      <c r="I1804" s="11">
        <v>46296</v>
      </c>
      <c r="J1804" s="12">
        <v>46296</v>
      </c>
      <c r="K1804" s="13">
        <f>INDEX(Assumptions!$B$4:$B$23,MATCH(F1804,Assumptions!$A$4:$A$23,0))</f>
        <v>1.0869565217391299</v>
      </c>
      <c r="L1804" s="14">
        <f t="shared" si="56"/>
        <v>3.5760869565217375</v>
      </c>
      <c r="M1804" t="str">
        <f t="shared" si="57"/>
        <v>Yes</v>
      </c>
    </row>
    <row r="1805" spans="1:13" x14ac:dyDescent="0.25">
      <c r="A1805">
        <v>337806</v>
      </c>
      <c r="B1805" t="s">
        <v>5606</v>
      </c>
      <c r="C1805" t="s">
        <v>5607</v>
      </c>
      <c r="D1805" t="s">
        <v>6220</v>
      </c>
      <c r="E1805">
        <v>3</v>
      </c>
      <c r="F1805" t="s">
        <v>1426</v>
      </c>
      <c r="G1805" t="s">
        <v>1428</v>
      </c>
      <c r="H1805" t="s">
        <v>1427</v>
      </c>
      <c r="I1805" s="11">
        <v>46294</v>
      </c>
      <c r="J1805" s="12">
        <v>46266</v>
      </c>
      <c r="K1805" s="13">
        <f>INDEX(Assumptions!$B$4:$B$23,MATCH(F1805,Assumptions!$A$4:$A$23,0))</f>
        <v>0.7407407407407407</v>
      </c>
      <c r="L1805" s="14">
        <f t="shared" si="56"/>
        <v>2.2222222222222223</v>
      </c>
      <c r="M1805" t="str">
        <f t="shared" si="57"/>
        <v>No</v>
      </c>
    </row>
    <row r="1806" spans="1:13" x14ac:dyDescent="0.25">
      <c r="A1806">
        <v>337805</v>
      </c>
      <c r="B1806" t="s">
        <v>5609</v>
      </c>
      <c r="C1806" t="s">
        <v>5610</v>
      </c>
      <c r="D1806" t="s">
        <v>6220</v>
      </c>
      <c r="E1806">
        <v>2</v>
      </c>
      <c r="F1806" t="s">
        <v>1426</v>
      </c>
      <c r="G1806" t="s">
        <v>1428</v>
      </c>
      <c r="H1806" t="s">
        <v>1427</v>
      </c>
      <c r="I1806" s="11">
        <v>46294</v>
      </c>
      <c r="J1806" s="12">
        <v>46266</v>
      </c>
      <c r="K1806" s="13">
        <f>INDEX(Assumptions!$B$4:$B$23,MATCH(F1806,Assumptions!$A$4:$A$23,0))</f>
        <v>0.7407407407407407</v>
      </c>
      <c r="L1806" s="14">
        <f t="shared" si="56"/>
        <v>1.4814814814814814</v>
      </c>
      <c r="M1806" t="str">
        <f t="shared" si="57"/>
        <v>No</v>
      </c>
    </row>
    <row r="1807" spans="1:13" x14ac:dyDescent="0.25">
      <c r="A1807">
        <v>337804</v>
      </c>
      <c r="B1807" t="s">
        <v>5612</v>
      </c>
      <c r="C1807" t="s">
        <v>6221</v>
      </c>
      <c r="D1807" t="s">
        <v>6220</v>
      </c>
      <c r="E1807">
        <v>1.69</v>
      </c>
      <c r="F1807" t="s">
        <v>50</v>
      </c>
      <c r="G1807" t="s">
        <v>5613</v>
      </c>
      <c r="H1807" t="s">
        <v>5510</v>
      </c>
      <c r="I1807" s="11">
        <v>46296</v>
      </c>
      <c r="J1807" s="12">
        <v>46296</v>
      </c>
      <c r="K1807" s="13">
        <f>INDEX(Assumptions!$B$4:$B$23,MATCH(F1807,Assumptions!$A$4:$A$23,0))</f>
        <v>1.0869565217391299</v>
      </c>
      <c r="L1807" s="14">
        <f t="shared" si="56"/>
        <v>1.8369565217391295</v>
      </c>
      <c r="M1807" t="str">
        <f t="shared" si="57"/>
        <v>Yes</v>
      </c>
    </row>
    <row r="1808" spans="1:13" x14ac:dyDescent="0.25">
      <c r="A1808">
        <v>337803</v>
      </c>
      <c r="B1808" t="s">
        <v>5615</v>
      </c>
      <c r="C1808" t="s">
        <v>6221</v>
      </c>
      <c r="D1808" t="s">
        <v>6220</v>
      </c>
      <c r="E1808">
        <v>1.69</v>
      </c>
      <c r="F1808" t="s">
        <v>50</v>
      </c>
      <c r="G1808" t="s">
        <v>5613</v>
      </c>
      <c r="H1808" t="s">
        <v>5510</v>
      </c>
      <c r="I1808" s="11">
        <v>46296</v>
      </c>
      <c r="J1808" s="12">
        <v>46296</v>
      </c>
      <c r="K1808" s="13">
        <f>INDEX(Assumptions!$B$4:$B$23,MATCH(F1808,Assumptions!$A$4:$A$23,0))</f>
        <v>1.0869565217391299</v>
      </c>
      <c r="L1808" s="14">
        <f t="shared" si="56"/>
        <v>1.8369565217391295</v>
      </c>
      <c r="M1808" t="str">
        <f t="shared" si="57"/>
        <v>Yes</v>
      </c>
    </row>
    <row r="1809" spans="1:13" x14ac:dyDescent="0.25">
      <c r="A1809">
        <v>337802</v>
      </c>
      <c r="B1809" t="s">
        <v>5617</v>
      </c>
      <c r="C1809" t="s">
        <v>6221</v>
      </c>
      <c r="D1809" t="s">
        <v>6220</v>
      </c>
      <c r="E1809">
        <v>1.69</v>
      </c>
      <c r="F1809" t="s">
        <v>50</v>
      </c>
      <c r="G1809" t="s">
        <v>5613</v>
      </c>
      <c r="H1809" t="s">
        <v>5510</v>
      </c>
      <c r="I1809" s="11">
        <v>46296</v>
      </c>
      <c r="J1809" s="12">
        <v>46296</v>
      </c>
      <c r="K1809" s="13">
        <f>INDEX(Assumptions!$B$4:$B$23,MATCH(F1809,Assumptions!$A$4:$A$23,0))</f>
        <v>1.0869565217391299</v>
      </c>
      <c r="L1809" s="14">
        <f t="shared" si="56"/>
        <v>1.8369565217391295</v>
      </c>
      <c r="M1809" t="str">
        <f t="shared" si="57"/>
        <v>Yes</v>
      </c>
    </row>
    <row r="1810" spans="1:13" x14ac:dyDescent="0.25">
      <c r="A1810">
        <v>337801</v>
      </c>
      <c r="B1810" t="s">
        <v>5619</v>
      </c>
      <c r="C1810" t="s">
        <v>6221</v>
      </c>
      <c r="D1810" t="s">
        <v>6220</v>
      </c>
      <c r="E1810">
        <v>1.89</v>
      </c>
      <c r="F1810" t="s">
        <v>50</v>
      </c>
      <c r="G1810" t="s">
        <v>5613</v>
      </c>
      <c r="H1810" t="s">
        <v>5510</v>
      </c>
      <c r="I1810" s="11">
        <v>46296</v>
      </c>
      <c r="J1810" s="12">
        <v>46296</v>
      </c>
      <c r="K1810" s="13">
        <f>INDEX(Assumptions!$B$4:$B$23,MATCH(F1810,Assumptions!$A$4:$A$23,0))</f>
        <v>1.0869565217391299</v>
      </c>
      <c r="L1810" s="14">
        <f t="shared" si="56"/>
        <v>2.0543478260869557</v>
      </c>
      <c r="M1810" t="str">
        <f t="shared" si="57"/>
        <v>Yes</v>
      </c>
    </row>
    <row r="1811" spans="1:13" x14ac:dyDescent="0.25">
      <c r="A1811">
        <v>337800</v>
      </c>
      <c r="B1811" t="s">
        <v>5621</v>
      </c>
      <c r="C1811" t="s">
        <v>6221</v>
      </c>
      <c r="D1811" t="s">
        <v>6220</v>
      </c>
      <c r="E1811">
        <v>3.59</v>
      </c>
      <c r="F1811" t="s">
        <v>50</v>
      </c>
      <c r="G1811" t="s">
        <v>5613</v>
      </c>
      <c r="H1811" t="s">
        <v>5510</v>
      </c>
      <c r="I1811" s="11">
        <v>46296</v>
      </c>
      <c r="J1811" s="12">
        <v>46296</v>
      </c>
      <c r="K1811" s="13">
        <f>INDEX(Assumptions!$B$4:$B$23,MATCH(F1811,Assumptions!$A$4:$A$23,0))</f>
        <v>1.0869565217391299</v>
      </c>
      <c r="L1811" s="14">
        <f t="shared" si="56"/>
        <v>3.9021739130434763</v>
      </c>
      <c r="M1811" t="str">
        <f t="shared" si="57"/>
        <v>Yes</v>
      </c>
    </row>
    <row r="1812" spans="1:13" x14ac:dyDescent="0.25">
      <c r="A1812">
        <v>337799</v>
      </c>
      <c r="B1812" t="s">
        <v>5623</v>
      </c>
      <c r="C1812" t="s">
        <v>6221</v>
      </c>
      <c r="D1812" t="s">
        <v>6220</v>
      </c>
      <c r="E1812">
        <v>5.9</v>
      </c>
      <c r="F1812" t="s">
        <v>2435</v>
      </c>
      <c r="G1812" t="s">
        <v>2437</v>
      </c>
      <c r="H1812" t="s">
        <v>2436</v>
      </c>
      <c r="I1812" s="11">
        <v>46295</v>
      </c>
      <c r="J1812" s="12">
        <v>46266</v>
      </c>
      <c r="K1812" s="13">
        <f>INDEX(Assumptions!$B$4:$B$23,MATCH(F1812,Assumptions!$A$4:$A$23,0))</f>
        <v>0.27027027027027017</v>
      </c>
      <c r="L1812" s="14">
        <f t="shared" si="56"/>
        <v>1.5945945945945941</v>
      </c>
      <c r="M1812" t="str">
        <f t="shared" si="57"/>
        <v>Yes</v>
      </c>
    </row>
    <row r="1813" spans="1:13" x14ac:dyDescent="0.25">
      <c r="A1813">
        <v>337798</v>
      </c>
      <c r="B1813" t="s">
        <v>5625</v>
      </c>
      <c r="C1813" t="s">
        <v>6221</v>
      </c>
      <c r="D1813" t="s">
        <v>6220</v>
      </c>
      <c r="E1813">
        <v>5.9</v>
      </c>
      <c r="F1813" t="s">
        <v>2435</v>
      </c>
      <c r="G1813" t="s">
        <v>2437</v>
      </c>
      <c r="H1813" t="s">
        <v>2436</v>
      </c>
      <c r="I1813" s="11">
        <v>46295</v>
      </c>
      <c r="J1813" s="12">
        <v>46266</v>
      </c>
      <c r="K1813" s="13">
        <f>INDEX(Assumptions!$B$4:$B$23,MATCH(F1813,Assumptions!$A$4:$A$23,0))</f>
        <v>0.27027027027027017</v>
      </c>
      <c r="L1813" s="14">
        <f t="shared" si="56"/>
        <v>1.5945945945945941</v>
      </c>
      <c r="M1813" t="str">
        <f t="shared" si="57"/>
        <v>Yes</v>
      </c>
    </row>
    <row r="1814" spans="1:13" x14ac:dyDescent="0.25">
      <c r="A1814">
        <v>337797</v>
      </c>
      <c r="B1814" t="s">
        <v>5627</v>
      </c>
      <c r="C1814" t="s">
        <v>6221</v>
      </c>
      <c r="D1814" t="s">
        <v>6220</v>
      </c>
      <c r="E1814">
        <v>3</v>
      </c>
      <c r="F1814" t="s">
        <v>1663</v>
      </c>
      <c r="G1814" t="s">
        <v>5629</v>
      </c>
      <c r="H1814" t="s">
        <v>5628</v>
      </c>
      <c r="I1814" s="11">
        <v>46296</v>
      </c>
      <c r="J1814" s="12">
        <v>46296</v>
      </c>
      <c r="K1814" s="13">
        <f>INDEX(Assumptions!$B$4:$B$23,MATCH(F1814,Assumptions!$A$4:$A$23,0))</f>
        <v>0.26315789473684209</v>
      </c>
      <c r="L1814" s="14">
        <f t="shared" si="56"/>
        <v>0.78947368421052633</v>
      </c>
      <c r="M1814" t="str">
        <f t="shared" si="57"/>
        <v>Yes</v>
      </c>
    </row>
    <row r="1815" spans="1:13" x14ac:dyDescent="0.25">
      <c r="A1815">
        <v>337796</v>
      </c>
      <c r="B1815" t="s">
        <v>5631</v>
      </c>
      <c r="C1815" t="s">
        <v>6221</v>
      </c>
      <c r="D1815" t="s">
        <v>6220</v>
      </c>
      <c r="E1815">
        <v>1299</v>
      </c>
      <c r="F1815" t="s">
        <v>5633</v>
      </c>
      <c r="G1815" t="s">
        <v>5635</v>
      </c>
      <c r="H1815" t="s">
        <v>5634</v>
      </c>
      <c r="I1815" s="11">
        <v>46294</v>
      </c>
      <c r="J1815" s="12">
        <v>46266</v>
      </c>
      <c r="K1815" s="13">
        <f>INDEX(Assumptions!$B$4:$B$23,MATCH(F1815,Assumptions!$A$4:$A$23,0))</f>
        <v>2.8169014084507039E-3</v>
      </c>
      <c r="L1815" s="14">
        <f t="shared" si="56"/>
        <v>3.6591549295774644</v>
      </c>
      <c r="M1815" t="str">
        <f t="shared" si="57"/>
        <v>Yes</v>
      </c>
    </row>
    <row r="1816" spans="1:13" x14ac:dyDescent="0.25">
      <c r="A1816">
        <v>337795</v>
      </c>
      <c r="B1816" t="s">
        <v>5637</v>
      </c>
      <c r="C1816" t="s">
        <v>6221</v>
      </c>
      <c r="D1816" t="s">
        <v>6220</v>
      </c>
      <c r="E1816">
        <v>1</v>
      </c>
      <c r="F1816" t="s">
        <v>50</v>
      </c>
      <c r="G1816" t="s">
        <v>1656</v>
      </c>
      <c r="H1816" t="s">
        <v>1655</v>
      </c>
      <c r="I1816" s="11">
        <v>46287</v>
      </c>
      <c r="J1816" s="12">
        <v>46266</v>
      </c>
      <c r="K1816" s="13">
        <f>INDEX(Assumptions!$B$4:$B$23,MATCH(F1816,Assumptions!$A$4:$A$23,0))</f>
        <v>1.0869565217391299</v>
      </c>
      <c r="L1816" s="14">
        <f t="shared" si="56"/>
        <v>1.0869565217391299</v>
      </c>
      <c r="M1816" t="str">
        <f t="shared" si="57"/>
        <v>Yes</v>
      </c>
    </row>
    <row r="1817" spans="1:13" x14ac:dyDescent="0.25">
      <c r="A1817">
        <v>337794</v>
      </c>
      <c r="B1817" t="s">
        <v>5640</v>
      </c>
      <c r="C1817" t="s">
        <v>6221</v>
      </c>
      <c r="D1817" t="s">
        <v>6220</v>
      </c>
      <c r="E1817">
        <v>4</v>
      </c>
      <c r="F1817" t="s">
        <v>50</v>
      </c>
      <c r="G1817" t="s">
        <v>5643</v>
      </c>
      <c r="H1817" t="s">
        <v>5642</v>
      </c>
      <c r="I1817" s="11">
        <v>46296</v>
      </c>
      <c r="J1817" s="12">
        <v>46296</v>
      </c>
      <c r="K1817" s="13">
        <f>INDEX(Assumptions!$B$4:$B$23,MATCH(F1817,Assumptions!$A$4:$A$23,0))</f>
        <v>1.0869565217391299</v>
      </c>
      <c r="L1817" s="14">
        <f t="shared" si="56"/>
        <v>4.3478260869565197</v>
      </c>
      <c r="M1817" t="str">
        <f t="shared" si="57"/>
        <v>Yes</v>
      </c>
    </row>
    <row r="1818" spans="1:13" x14ac:dyDescent="0.25">
      <c r="A1818">
        <v>337793</v>
      </c>
      <c r="B1818" t="s">
        <v>5645</v>
      </c>
      <c r="C1818" t="s">
        <v>6221</v>
      </c>
      <c r="D1818" t="s">
        <v>6220</v>
      </c>
      <c r="E1818">
        <v>2000</v>
      </c>
      <c r="F1818" t="s">
        <v>5647</v>
      </c>
      <c r="G1818" t="s">
        <v>5649</v>
      </c>
      <c r="H1818" t="s">
        <v>5648</v>
      </c>
      <c r="I1818" s="11">
        <v>46296</v>
      </c>
      <c r="J1818" s="12">
        <v>46296</v>
      </c>
      <c r="K1818" s="13">
        <f>INDEX(Assumptions!$B$4:$B$23,MATCH(F1818,Assumptions!$A$4:$A$23,0))</f>
        <v>3.389830508474576E-4</v>
      </c>
      <c r="L1818" s="14">
        <f t="shared" si="56"/>
        <v>0.67796610169491522</v>
      </c>
      <c r="M1818" t="str">
        <f t="shared" si="57"/>
        <v>Yes</v>
      </c>
    </row>
    <row r="1819" spans="1:13" x14ac:dyDescent="0.25">
      <c r="A1819">
        <v>337792</v>
      </c>
      <c r="B1819" t="s">
        <v>5645</v>
      </c>
      <c r="C1819" t="s">
        <v>6221</v>
      </c>
      <c r="D1819" t="s">
        <v>6220</v>
      </c>
      <c r="E1819">
        <v>2000</v>
      </c>
      <c r="F1819" t="s">
        <v>5647</v>
      </c>
      <c r="G1819" t="s">
        <v>5649</v>
      </c>
      <c r="H1819" t="s">
        <v>5648</v>
      </c>
      <c r="I1819" s="11">
        <v>46296</v>
      </c>
      <c r="J1819" s="12">
        <v>46296</v>
      </c>
      <c r="K1819" s="13">
        <f>INDEX(Assumptions!$B$4:$B$23,MATCH(F1819,Assumptions!$A$4:$A$23,0))</f>
        <v>3.389830508474576E-4</v>
      </c>
      <c r="L1819" s="14">
        <f t="shared" si="56"/>
        <v>0.67796610169491522</v>
      </c>
      <c r="M1819" t="str">
        <f t="shared" si="57"/>
        <v>Yes</v>
      </c>
    </row>
    <row r="1820" spans="1:13" x14ac:dyDescent="0.25">
      <c r="A1820">
        <v>337791</v>
      </c>
      <c r="B1820" t="s">
        <v>3579</v>
      </c>
      <c r="C1820" t="s">
        <v>5652</v>
      </c>
      <c r="D1820" t="s">
        <v>6220</v>
      </c>
      <c r="E1820">
        <v>41.5</v>
      </c>
      <c r="F1820" t="s">
        <v>1681</v>
      </c>
      <c r="G1820" t="s">
        <v>1683</v>
      </c>
      <c r="H1820" t="s">
        <v>1682</v>
      </c>
      <c r="I1820" s="11">
        <v>46295</v>
      </c>
      <c r="J1820" s="12">
        <v>46266</v>
      </c>
      <c r="K1820" s="13">
        <f>INDEX(Assumptions!$B$4:$B$23,MATCH(F1820,Assumptions!$A$4:$A$23,0))</f>
        <v>0.10101010101010099</v>
      </c>
      <c r="L1820" s="14">
        <f t="shared" si="56"/>
        <v>4.1919191919191912</v>
      </c>
      <c r="M1820" t="str">
        <f t="shared" si="57"/>
        <v>No</v>
      </c>
    </row>
    <row r="1821" spans="1:13" x14ac:dyDescent="0.25">
      <c r="A1821">
        <v>337790</v>
      </c>
      <c r="B1821" t="s">
        <v>5654</v>
      </c>
      <c r="C1821" t="s">
        <v>5655</v>
      </c>
      <c r="D1821" t="s">
        <v>6220</v>
      </c>
      <c r="E1821">
        <v>4.99</v>
      </c>
      <c r="F1821" t="s">
        <v>1722</v>
      </c>
      <c r="G1821" t="s">
        <v>5657</v>
      </c>
      <c r="H1821" t="s">
        <v>5656</v>
      </c>
      <c r="I1821" s="11">
        <v>46290</v>
      </c>
      <c r="J1821" s="12">
        <v>46266</v>
      </c>
      <c r="K1821" s="13">
        <f>INDEX(Assumptions!$B$4:$B$23,MATCH(F1821,Assumptions!$A$4:$A$23,0))</f>
        <v>1</v>
      </c>
      <c r="L1821" s="14">
        <f t="shared" si="56"/>
        <v>4.99</v>
      </c>
      <c r="M1821" t="str">
        <f t="shared" si="57"/>
        <v>No</v>
      </c>
    </row>
    <row r="1822" spans="1:13" x14ac:dyDescent="0.25">
      <c r="A1822">
        <v>337789</v>
      </c>
      <c r="B1822" t="s">
        <v>5660</v>
      </c>
      <c r="C1822" t="s">
        <v>5661</v>
      </c>
      <c r="D1822" t="s">
        <v>6220</v>
      </c>
      <c r="E1822">
        <v>1.49</v>
      </c>
      <c r="F1822" t="s">
        <v>1722</v>
      </c>
      <c r="G1822" t="s">
        <v>5657</v>
      </c>
      <c r="H1822" t="s">
        <v>5656</v>
      </c>
      <c r="I1822" s="11">
        <v>46290</v>
      </c>
      <c r="J1822" s="12">
        <v>46266</v>
      </c>
      <c r="K1822" s="13">
        <f>INDEX(Assumptions!$B$4:$B$23,MATCH(F1822,Assumptions!$A$4:$A$23,0))</f>
        <v>1</v>
      </c>
      <c r="L1822" s="14">
        <f t="shared" si="56"/>
        <v>1.49</v>
      </c>
      <c r="M1822" t="str">
        <f t="shared" si="57"/>
        <v>No</v>
      </c>
    </row>
    <row r="1823" spans="1:13" x14ac:dyDescent="0.25">
      <c r="A1823">
        <v>337788</v>
      </c>
      <c r="B1823" t="s">
        <v>5663</v>
      </c>
      <c r="C1823" t="s">
        <v>5664</v>
      </c>
      <c r="D1823" t="s">
        <v>6220</v>
      </c>
      <c r="E1823">
        <v>1.49</v>
      </c>
      <c r="F1823" t="s">
        <v>1722</v>
      </c>
      <c r="G1823" t="s">
        <v>5657</v>
      </c>
      <c r="H1823" t="s">
        <v>5656</v>
      </c>
      <c r="I1823" s="11">
        <v>46290</v>
      </c>
      <c r="J1823" s="12">
        <v>46266</v>
      </c>
      <c r="K1823" s="13">
        <f>INDEX(Assumptions!$B$4:$B$23,MATCH(F1823,Assumptions!$A$4:$A$23,0))</f>
        <v>1</v>
      </c>
      <c r="L1823" s="14">
        <f t="shared" si="56"/>
        <v>1.49</v>
      </c>
      <c r="M1823" t="str">
        <f t="shared" si="57"/>
        <v>No</v>
      </c>
    </row>
    <row r="1824" spans="1:13" x14ac:dyDescent="0.25">
      <c r="A1824">
        <v>337786</v>
      </c>
      <c r="C1824" t="s">
        <v>5666</v>
      </c>
      <c r="D1824" t="s">
        <v>5667</v>
      </c>
      <c r="E1824">
        <v>17.579999999999998</v>
      </c>
      <c r="F1824" t="s">
        <v>1722</v>
      </c>
      <c r="G1824" t="s">
        <v>5657</v>
      </c>
      <c r="H1824" t="s">
        <v>5656</v>
      </c>
      <c r="I1824" s="11">
        <v>46290</v>
      </c>
      <c r="J1824" s="12">
        <v>46266</v>
      </c>
      <c r="K1824" s="13">
        <f>INDEX(Assumptions!$B$4:$B$23,MATCH(F1824,Assumptions!$A$4:$A$23,0))</f>
        <v>1</v>
      </c>
      <c r="L1824" s="14">
        <f t="shared" si="56"/>
        <v>17.579999999999998</v>
      </c>
      <c r="M1824" t="str">
        <f t="shared" si="57"/>
        <v>No</v>
      </c>
    </row>
    <row r="1825" spans="1:13" x14ac:dyDescent="0.25">
      <c r="A1825">
        <v>337785</v>
      </c>
      <c r="C1825" t="s">
        <v>5670</v>
      </c>
      <c r="D1825" t="s">
        <v>5671</v>
      </c>
      <c r="E1825">
        <v>1.29</v>
      </c>
      <c r="F1825" t="s">
        <v>1722</v>
      </c>
      <c r="G1825" t="s">
        <v>5657</v>
      </c>
      <c r="H1825" t="s">
        <v>5656</v>
      </c>
      <c r="I1825" s="11">
        <v>46290</v>
      </c>
      <c r="J1825" s="12">
        <v>46266</v>
      </c>
      <c r="K1825" s="13">
        <f>INDEX(Assumptions!$B$4:$B$23,MATCH(F1825,Assumptions!$A$4:$A$23,0))</f>
        <v>1</v>
      </c>
      <c r="L1825" s="14">
        <f t="shared" si="56"/>
        <v>1.29</v>
      </c>
      <c r="M1825" t="str">
        <f t="shared" si="57"/>
        <v>No</v>
      </c>
    </row>
    <row r="1826" spans="1:13" x14ac:dyDescent="0.25">
      <c r="A1826">
        <v>337787</v>
      </c>
      <c r="C1826" t="s">
        <v>5673</v>
      </c>
      <c r="D1826" t="s">
        <v>5674</v>
      </c>
      <c r="E1826">
        <v>0.5</v>
      </c>
      <c r="F1826" t="s">
        <v>1722</v>
      </c>
      <c r="G1826" t="s">
        <v>5657</v>
      </c>
      <c r="H1826" t="s">
        <v>5656</v>
      </c>
      <c r="I1826" s="11">
        <v>46290</v>
      </c>
      <c r="J1826" s="12">
        <v>46266</v>
      </c>
      <c r="K1826" s="13">
        <f>INDEX(Assumptions!$B$4:$B$23,MATCH(F1826,Assumptions!$A$4:$A$23,0))</f>
        <v>1</v>
      </c>
      <c r="L1826" s="14">
        <f t="shared" si="56"/>
        <v>0.5</v>
      </c>
      <c r="M1826" t="str">
        <f t="shared" si="57"/>
        <v>No</v>
      </c>
    </row>
    <row r="1827" spans="1:13" x14ac:dyDescent="0.25">
      <c r="A1827">
        <v>337784</v>
      </c>
      <c r="B1827" t="s">
        <v>5677</v>
      </c>
      <c r="C1827" t="s">
        <v>5678</v>
      </c>
      <c r="D1827" t="s">
        <v>6220</v>
      </c>
      <c r="E1827">
        <v>5.69</v>
      </c>
      <c r="F1827" t="s">
        <v>1722</v>
      </c>
      <c r="G1827" t="s">
        <v>5657</v>
      </c>
      <c r="H1827" t="s">
        <v>5656</v>
      </c>
      <c r="I1827" s="11">
        <v>46286</v>
      </c>
      <c r="J1827" s="12">
        <v>46266</v>
      </c>
      <c r="K1827" s="13">
        <f>INDEX(Assumptions!$B$4:$B$23,MATCH(F1827,Assumptions!$A$4:$A$23,0))</f>
        <v>1</v>
      </c>
      <c r="L1827" s="14">
        <f t="shared" si="56"/>
        <v>5.69</v>
      </c>
      <c r="M1827" t="str">
        <f t="shared" si="57"/>
        <v>No</v>
      </c>
    </row>
    <row r="1828" spans="1:13" x14ac:dyDescent="0.25">
      <c r="A1828">
        <v>337783</v>
      </c>
      <c r="B1828" t="s">
        <v>5680</v>
      </c>
      <c r="C1828" t="s">
        <v>5681</v>
      </c>
      <c r="D1828" t="s">
        <v>6220</v>
      </c>
      <c r="E1828">
        <v>2.4900000000000002</v>
      </c>
      <c r="F1828" t="s">
        <v>1722</v>
      </c>
      <c r="G1828" t="s">
        <v>5657</v>
      </c>
      <c r="H1828" t="s">
        <v>5656</v>
      </c>
      <c r="I1828" s="11">
        <v>46286</v>
      </c>
      <c r="J1828" s="12">
        <v>46266</v>
      </c>
      <c r="K1828" s="13">
        <f>INDEX(Assumptions!$B$4:$B$23,MATCH(F1828,Assumptions!$A$4:$A$23,0))</f>
        <v>1</v>
      </c>
      <c r="L1828" s="14">
        <f t="shared" si="56"/>
        <v>2.4900000000000002</v>
      </c>
      <c r="M1828" t="str">
        <f t="shared" si="57"/>
        <v>No</v>
      </c>
    </row>
    <row r="1829" spans="1:13" x14ac:dyDescent="0.25">
      <c r="A1829">
        <v>337782</v>
      </c>
      <c r="B1829" t="s">
        <v>5683</v>
      </c>
      <c r="C1829" t="s">
        <v>5684</v>
      </c>
      <c r="D1829" t="s">
        <v>6220</v>
      </c>
      <c r="E1829">
        <v>2.99</v>
      </c>
      <c r="F1829" t="s">
        <v>1722</v>
      </c>
      <c r="G1829" t="s">
        <v>5657</v>
      </c>
      <c r="H1829" t="s">
        <v>5656</v>
      </c>
      <c r="I1829" s="11">
        <v>46286</v>
      </c>
      <c r="J1829" s="12">
        <v>46266</v>
      </c>
      <c r="K1829" s="13">
        <f>INDEX(Assumptions!$B$4:$B$23,MATCH(F1829,Assumptions!$A$4:$A$23,0))</f>
        <v>1</v>
      </c>
      <c r="L1829" s="14">
        <f t="shared" si="56"/>
        <v>2.99</v>
      </c>
      <c r="M1829" t="str">
        <f t="shared" si="57"/>
        <v>No</v>
      </c>
    </row>
    <row r="1830" spans="1:13" x14ac:dyDescent="0.25">
      <c r="A1830">
        <v>337781</v>
      </c>
      <c r="B1830" t="s">
        <v>5686</v>
      </c>
      <c r="C1830" t="s">
        <v>5687</v>
      </c>
      <c r="D1830" t="s">
        <v>6220</v>
      </c>
      <c r="E1830">
        <v>3.99</v>
      </c>
      <c r="F1830" t="s">
        <v>1722</v>
      </c>
      <c r="G1830" t="s">
        <v>5657</v>
      </c>
      <c r="H1830" t="s">
        <v>5656</v>
      </c>
      <c r="I1830" s="11">
        <v>46286</v>
      </c>
      <c r="J1830" s="12">
        <v>46266</v>
      </c>
      <c r="K1830" s="13">
        <f>INDEX(Assumptions!$B$4:$B$23,MATCH(F1830,Assumptions!$A$4:$A$23,0))</f>
        <v>1</v>
      </c>
      <c r="L1830" s="14">
        <f t="shared" si="56"/>
        <v>3.99</v>
      </c>
      <c r="M1830" t="str">
        <f t="shared" si="57"/>
        <v>No</v>
      </c>
    </row>
    <row r="1831" spans="1:13" x14ac:dyDescent="0.25">
      <c r="A1831">
        <v>337780</v>
      </c>
      <c r="C1831" t="s">
        <v>5666</v>
      </c>
      <c r="D1831" t="s">
        <v>5667</v>
      </c>
      <c r="E1831">
        <v>17.579999999999998</v>
      </c>
      <c r="F1831" t="s">
        <v>1722</v>
      </c>
      <c r="G1831" t="s">
        <v>5657</v>
      </c>
      <c r="H1831" t="s">
        <v>5656</v>
      </c>
      <c r="I1831" s="11">
        <v>46286</v>
      </c>
      <c r="J1831" s="12">
        <v>46266</v>
      </c>
      <c r="K1831" s="13">
        <f>INDEX(Assumptions!$B$4:$B$23,MATCH(F1831,Assumptions!$A$4:$A$23,0))</f>
        <v>1</v>
      </c>
      <c r="L1831" s="14">
        <f t="shared" si="56"/>
        <v>17.579999999999998</v>
      </c>
      <c r="M1831" t="str">
        <f t="shared" si="57"/>
        <v>No</v>
      </c>
    </row>
    <row r="1832" spans="1:13" x14ac:dyDescent="0.25">
      <c r="A1832">
        <v>337779</v>
      </c>
      <c r="B1832" t="s">
        <v>5690</v>
      </c>
      <c r="C1832" t="s">
        <v>6221</v>
      </c>
      <c r="D1832" t="s">
        <v>6220</v>
      </c>
      <c r="E1832">
        <v>3.19</v>
      </c>
      <c r="F1832" t="s">
        <v>1722</v>
      </c>
      <c r="G1832" t="s">
        <v>5692</v>
      </c>
      <c r="H1832" t="s">
        <v>5691</v>
      </c>
      <c r="I1832" s="11">
        <v>46295</v>
      </c>
      <c r="J1832" s="12">
        <v>46266</v>
      </c>
      <c r="K1832" s="13">
        <f>INDEX(Assumptions!$B$4:$B$23,MATCH(F1832,Assumptions!$A$4:$A$23,0))</f>
        <v>1</v>
      </c>
      <c r="L1832" s="14">
        <f t="shared" si="56"/>
        <v>3.19</v>
      </c>
      <c r="M1832" t="str">
        <f t="shared" si="57"/>
        <v>Yes</v>
      </c>
    </row>
    <row r="1833" spans="1:13" x14ac:dyDescent="0.25">
      <c r="A1833">
        <v>337778</v>
      </c>
      <c r="B1833" t="s">
        <v>5694</v>
      </c>
      <c r="C1833" t="s">
        <v>6221</v>
      </c>
      <c r="D1833" t="s">
        <v>6220</v>
      </c>
      <c r="E1833">
        <v>1.95</v>
      </c>
      <c r="F1833" t="s">
        <v>50</v>
      </c>
      <c r="G1833" t="s">
        <v>1456</v>
      </c>
      <c r="H1833" t="s">
        <v>954</v>
      </c>
      <c r="I1833" s="11">
        <v>46295</v>
      </c>
      <c r="J1833" s="12">
        <v>46266</v>
      </c>
      <c r="K1833" s="13">
        <f>INDEX(Assumptions!$B$4:$B$23,MATCH(F1833,Assumptions!$A$4:$A$23,0))</f>
        <v>1.0869565217391299</v>
      </c>
      <c r="L1833" s="14">
        <f t="shared" si="56"/>
        <v>2.1195652173913033</v>
      </c>
      <c r="M1833" t="str">
        <f t="shared" si="57"/>
        <v>Yes</v>
      </c>
    </row>
    <row r="1834" spans="1:13" x14ac:dyDescent="0.25">
      <c r="A1834">
        <v>337777</v>
      </c>
      <c r="B1834" t="s">
        <v>5696</v>
      </c>
      <c r="C1834" t="s">
        <v>6221</v>
      </c>
      <c r="D1834" t="s">
        <v>6220</v>
      </c>
      <c r="E1834">
        <v>1.6</v>
      </c>
      <c r="F1834" t="s">
        <v>50</v>
      </c>
      <c r="G1834" t="s">
        <v>1456</v>
      </c>
      <c r="H1834" t="s">
        <v>954</v>
      </c>
      <c r="I1834" s="11">
        <v>46295</v>
      </c>
      <c r="J1834" s="12">
        <v>46266</v>
      </c>
      <c r="K1834" s="13">
        <f>INDEX(Assumptions!$B$4:$B$23,MATCH(F1834,Assumptions!$A$4:$A$23,0))</f>
        <v>1.0869565217391299</v>
      </c>
      <c r="L1834" s="14">
        <f t="shared" si="56"/>
        <v>1.739130434782608</v>
      </c>
      <c r="M1834" t="str">
        <f t="shared" si="57"/>
        <v>Yes</v>
      </c>
    </row>
    <row r="1835" spans="1:13" x14ac:dyDescent="0.25">
      <c r="A1835">
        <v>337776</v>
      </c>
      <c r="B1835" t="s">
        <v>5698</v>
      </c>
      <c r="C1835" t="s">
        <v>6221</v>
      </c>
      <c r="D1835" t="s">
        <v>6220</v>
      </c>
      <c r="E1835">
        <v>2.99</v>
      </c>
      <c r="F1835" t="s">
        <v>50</v>
      </c>
      <c r="G1835" t="s">
        <v>5533</v>
      </c>
      <c r="H1835" t="s">
        <v>5532</v>
      </c>
      <c r="I1835" s="11">
        <v>46295</v>
      </c>
      <c r="J1835" s="12">
        <v>46266</v>
      </c>
      <c r="K1835" s="13">
        <f>INDEX(Assumptions!$B$4:$B$23,MATCH(F1835,Assumptions!$A$4:$A$23,0))</f>
        <v>1.0869565217391299</v>
      </c>
      <c r="L1835" s="14">
        <f t="shared" si="56"/>
        <v>3.2499999999999987</v>
      </c>
      <c r="M1835" t="str">
        <f t="shared" si="57"/>
        <v>Yes</v>
      </c>
    </row>
    <row r="1836" spans="1:13" x14ac:dyDescent="0.25">
      <c r="A1836">
        <v>337775</v>
      </c>
      <c r="B1836" t="s">
        <v>5700</v>
      </c>
      <c r="C1836" t="s">
        <v>5701</v>
      </c>
      <c r="D1836" t="s">
        <v>6220</v>
      </c>
      <c r="E1836">
        <v>14.94</v>
      </c>
      <c r="F1836" t="s">
        <v>1663</v>
      </c>
      <c r="G1836" t="s">
        <v>5533</v>
      </c>
      <c r="H1836" t="s">
        <v>52</v>
      </c>
      <c r="I1836" s="11">
        <v>46290</v>
      </c>
      <c r="J1836" s="12">
        <v>46266</v>
      </c>
      <c r="K1836" s="13">
        <f>INDEX(Assumptions!$B$4:$B$23,MATCH(F1836,Assumptions!$A$4:$A$23,0))</f>
        <v>0.26315789473684209</v>
      </c>
      <c r="L1836" s="14">
        <f t="shared" si="56"/>
        <v>3.9315789473684206</v>
      </c>
      <c r="M1836" t="str">
        <f t="shared" si="57"/>
        <v>No</v>
      </c>
    </row>
    <row r="1837" spans="1:13" x14ac:dyDescent="0.25">
      <c r="A1837">
        <v>337774</v>
      </c>
      <c r="B1837" t="s">
        <v>5704</v>
      </c>
      <c r="C1837" t="s">
        <v>5705</v>
      </c>
      <c r="D1837" t="s">
        <v>6220</v>
      </c>
      <c r="E1837">
        <v>5.29</v>
      </c>
      <c r="F1837" t="s">
        <v>1663</v>
      </c>
      <c r="G1837" t="s">
        <v>5533</v>
      </c>
      <c r="H1837" t="s">
        <v>52</v>
      </c>
      <c r="I1837" s="11">
        <v>46290</v>
      </c>
      <c r="J1837" s="12">
        <v>46266</v>
      </c>
      <c r="K1837" s="13">
        <f>INDEX(Assumptions!$B$4:$B$23,MATCH(F1837,Assumptions!$A$4:$A$23,0))</f>
        <v>0.26315789473684209</v>
      </c>
      <c r="L1837" s="14">
        <f t="shared" si="56"/>
        <v>1.3921052631578947</v>
      </c>
      <c r="M1837" t="str">
        <f t="shared" si="57"/>
        <v>No</v>
      </c>
    </row>
    <row r="1838" spans="1:13" x14ac:dyDescent="0.25">
      <c r="A1838">
        <v>337773</v>
      </c>
      <c r="B1838" t="s">
        <v>5707</v>
      </c>
      <c r="C1838" t="s">
        <v>5708</v>
      </c>
      <c r="D1838" t="s">
        <v>6220</v>
      </c>
      <c r="E1838">
        <v>19.39</v>
      </c>
      <c r="F1838" t="s">
        <v>1663</v>
      </c>
      <c r="G1838" t="s">
        <v>5533</v>
      </c>
      <c r="H1838" t="s">
        <v>52</v>
      </c>
      <c r="I1838" s="11">
        <v>46290</v>
      </c>
      <c r="J1838" s="12">
        <v>46266</v>
      </c>
      <c r="K1838" s="13">
        <f>INDEX(Assumptions!$B$4:$B$23,MATCH(F1838,Assumptions!$A$4:$A$23,0))</f>
        <v>0.26315789473684209</v>
      </c>
      <c r="L1838" s="14">
        <f t="shared" si="56"/>
        <v>5.102631578947368</v>
      </c>
      <c r="M1838" t="str">
        <f t="shared" si="57"/>
        <v>No</v>
      </c>
    </row>
    <row r="1839" spans="1:13" x14ac:dyDescent="0.25">
      <c r="A1839">
        <v>337772</v>
      </c>
      <c r="B1839" t="s">
        <v>5711</v>
      </c>
      <c r="C1839" t="s">
        <v>5712</v>
      </c>
      <c r="D1839" t="s">
        <v>6220</v>
      </c>
      <c r="E1839">
        <v>14.19</v>
      </c>
      <c r="F1839" t="s">
        <v>1663</v>
      </c>
      <c r="G1839" t="s">
        <v>5533</v>
      </c>
      <c r="H1839" t="s">
        <v>52</v>
      </c>
      <c r="I1839" s="11">
        <v>46290</v>
      </c>
      <c r="J1839" s="12">
        <v>46266</v>
      </c>
      <c r="K1839" s="13">
        <f>INDEX(Assumptions!$B$4:$B$23,MATCH(F1839,Assumptions!$A$4:$A$23,0))</f>
        <v>0.26315789473684209</v>
      </c>
      <c r="L1839" s="14">
        <f t="shared" si="56"/>
        <v>3.7342105263157892</v>
      </c>
      <c r="M1839" t="str">
        <f t="shared" si="57"/>
        <v>No</v>
      </c>
    </row>
    <row r="1840" spans="1:13" x14ac:dyDescent="0.25">
      <c r="A1840">
        <v>337771</v>
      </c>
      <c r="B1840" t="s">
        <v>5715</v>
      </c>
      <c r="C1840" t="s">
        <v>5716</v>
      </c>
      <c r="D1840" t="s">
        <v>6220</v>
      </c>
      <c r="E1840">
        <v>1.97</v>
      </c>
      <c r="F1840" t="s">
        <v>1663</v>
      </c>
      <c r="G1840" t="s">
        <v>5533</v>
      </c>
      <c r="H1840" t="s">
        <v>52</v>
      </c>
      <c r="I1840" s="11">
        <v>46290</v>
      </c>
      <c r="J1840" s="12">
        <v>46266</v>
      </c>
      <c r="K1840" s="13">
        <f>INDEX(Assumptions!$B$4:$B$23,MATCH(F1840,Assumptions!$A$4:$A$23,0))</f>
        <v>0.26315789473684209</v>
      </c>
      <c r="L1840" s="14">
        <f t="shared" si="56"/>
        <v>0.51842105263157889</v>
      </c>
      <c r="M1840" t="str">
        <f t="shared" si="57"/>
        <v>No</v>
      </c>
    </row>
    <row r="1841" spans="1:13" x14ac:dyDescent="0.25">
      <c r="A1841">
        <v>337770</v>
      </c>
      <c r="B1841" t="s">
        <v>5718</v>
      </c>
      <c r="C1841" t="s">
        <v>5719</v>
      </c>
      <c r="D1841" t="s">
        <v>6220</v>
      </c>
      <c r="E1841">
        <v>8.5500000000000007</v>
      </c>
      <c r="F1841" t="s">
        <v>1663</v>
      </c>
      <c r="G1841" t="s">
        <v>5533</v>
      </c>
      <c r="H1841" t="s">
        <v>52</v>
      </c>
      <c r="I1841" s="11">
        <v>46290</v>
      </c>
      <c r="J1841" s="12">
        <v>46266</v>
      </c>
      <c r="K1841" s="13">
        <f>INDEX(Assumptions!$B$4:$B$23,MATCH(F1841,Assumptions!$A$4:$A$23,0))</f>
        <v>0.26315789473684209</v>
      </c>
      <c r="L1841" s="14">
        <f t="shared" si="56"/>
        <v>2.25</v>
      </c>
      <c r="M1841" t="str">
        <f t="shared" si="57"/>
        <v>No</v>
      </c>
    </row>
    <row r="1842" spans="1:13" x14ac:dyDescent="0.25">
      <c r="A1842">
        <v>337769</v>
      </c>
      <c r="B1842" t="s">
        <v>5722</v>
      </c>
      <c r="C1842" t="s">
        <v>5723</v>
      </c>
      <c r="D1842" t="s">
        <v>6220</v>
      </c>
      <c r="E1842">
        <v>4.49</v>
      </c>
      <c r="F1842" t="s">
        <v>1663</v>
      </c>
      <c r="G1842" t="s">
        <v>5724</v>
      </c>
      <c r="H1842" t="s">
        <v>52</v>
      </c>
      <c r="I1842" s="11">
        <v>46294</v>
      </c>
      <c r="J1842" s="12">
        <v>46266</v>
      </c>
      <c r="K1842" s="13">
        <f>INDEX(Assumptions!$B$4:$B$23,MATCH(F1842,Assumptions!$A$4:$A$23,0))</f>
        <v>0.26315789473684209</v>
      </c>
      <c r="L1842" s="14">
        <f t="shared" si="56"/>
        <v>1.1815789473684211</v>
      </c>
      <c r="M1842" t="str">
        <f t="shared" si="57"/>
        <v>No</v>
      </c>
    </row>
    <row r="1843" spans="1:13" x14ac:dyDescent="0.25">
      <c r="A1843">
        <v>337768</v>
      </c>
      <c r="B1843" t="s">
        <v>5726</v>
      </c>
      <c r="C1843" t="s">
        <v>5727</v>
      </c>
      <c r="D1843" t="s">
        <v>6220</v>
      </c>
      <c r="E1843">
        <v>3.49</v>
      </c>
      <c r="F1843" t="s">
        <v>1663</v>
      </c>
      <c r="G1843" t="s">
        <v>5724</v>
      </c>
      <c r="H1843" t="s">
        <v>52</v>
      </c>
      <c r="I1843" s="11">
        <v>46294</v>
      </c>
      <c r="J1843" s="12">
        <v>46266</v>
      </c>
      <c r="K1843" s="13">
        <f>INDEX(Assumptions!$B$4:$B$23,MATCH(F1843,Assumptions!$A$4:$A$23,0))</f>
        <v>0.26315789473684209</v>
      </c>
      <c r="L1843" s="14">
        <f t="shared" si="56"/>
        <v>0.91842105263157892</v>
      </c>
      <c r="M1843" t="str">
        <f t="shared" si="57"/>
        <v>No</v>
      </c>
    </row>
    <row r="1844" spans="1:13" x14ac:dyDescent="0.25">
      <c r="A1844">
        <v>337767</v>
      </c>
      <c r="B1844" t="s">
        <v>5729</v>
      </c>
      <c r="C1844" t="s">
        <v>5730</v>
      </c>
      <c r="D1844" t="s">
        <v>6220</v>
      </c>
      <c r="E1844">
        <v>35.9</v>
      </c>
      <c r="F1844" t="s">
        <v>5194</v>
      </c>
      <c r="G1844" t="s">
        <v>5731</v>
      </c>
      <c r="H1844" t="s">
        <v>52</v>
      </c>
      <c r="I1844" s="11">
        <v>46295</v>
      </c>
      <c r="J1844" s="12">
        <v>46266</v>
      </c>
      <c r="K1844" s="13">
        <f>INDEX(Assumptions!$B$4:$B$23,MATCH(F1844,Assumptions!$A$4:$A$23,0))</f>
        <v>4.4444444444444453E-2</v>
      </c>
      <c r="L1844" s="14">
        <f t="shared" si="56"/>
        <v>1.5955555555555558</v>
      </c>
      <c r="M1844" t="str">
        <f t="shared" si="57"/>
        <v>No</v>
      </c>
    </row>
    <row r="1845" spans="1:13" x14ac:dyDescent="0.25">
      <c r="A1845">
        <v>337766</v>
      </c>
      <c r="B1845" t="s">
        <v>5733</v>
      </c>
      <c r="C1845" t="s">
        <v>5734</v>
      </c>
      <c r="D1845" t="s">
        <v>6220</v>
      </c>
      <c r="E1845">
        <v>79.900000000000006</v>
      </c>
      <c r="F1845" t="s">
        <v>5194</v>
      </c>
      <c r="G1845" t="s">
        <v>5731</v>
      </c>
      <c r="H1845" t="s">
        <v>52</v>
      </c>
      <c r="I1845" s="11">
        <v>46295</v>
      </c>
      <c r="J1845" s="12">
        <v>46266</v>
      </c>
      <c r="K1845" s="13">
        <f>INDEX(Assumptions!$B$4:$B$23,MATCH(F1845,Assumptions!$A$4:$A$23,0))</f>
        <v>4.4444444444444453E-2</v>
      </c>
      <c r="L1845" s="14">
        <f t="shared" si="56"/>
        <v>3.551111111111112</v>
      </c>
      <c r="M1845" t="str">
        <f t="shared" si="57"/>
        <v>No</v>
      </c>
    </row>
    <row r="1846" spans="1:13" x14ac:dyDescent="0.25">
      <c r="A1846">
        <v>337765</v>
      </c>
      <c r="B1846" t="s">
        <v>5736</v>
      </c>
      <c r="C1846" t="s">
        <v>5737</v>
      </c>
      <c r="D1846" t="s">
        <v>6220</v>
      </c>
      <c r="E1846">
        <v>5.42</v>
      </c>
      <c r="F1846" t="s">
        <v>1663</v>
      </c>
      <c r="G1846" t="s">
        <v>5724</v>
      </c>
      <c r="H1846" t="s">
        <v>52</v>
      </c>
      <c r="I1846" s="11">
        <v>46294</v>
      </c>
      <c r="J1846" s="12">
        <v>46266</v>
      </c>
      <c r="K1846" s="13">
        <f>INDEX(Assumptions!$B$4:$B$23,MATCH(F1846,Assumptions!$A$4:$A$23,0))</f>
        <v>0.26315789473684209</v>
      </c>
      <c r="L1846" s="14">
        <f t="shared" si="56"/>
        <v>1.4263157894736842</v>
      </c>
      <c r="M1846" t="str">
        <f t="shared" si="57"/>
        <v>No</v>
      </c>
    </row>
    <row r="1847" spans="1:13" x14ac:dyDescent="0.25">
      <c r="A1847">
        <v>337764</v>
      </c>
      <c r="B1847" t="s">
        <v>5740</v>
      </c>
      <c r="C1847" t="s">
        <v>5741</v>
      </c>
      <c r="D1847" t="s">
        <v>6220</v>
      </c>
      <c r="E1847">
        <v>3.99</v>
      </c>
      <c r="F1847" t="s">
        <v>1663</v>
      </c>
      <c r="G1847" t="s">
        <v>5724</v>
      </c>
      <c r="H1847" t="s">
        <v>52</v>
      </c>
      <c r="I1847" s="11">
        <v>46294</v>
      </c>
      <c r="J1847" s="12">
        <v>46266</v>
      </c>
      <c r="K1847" s="13">
        <f>INDEX(Assumptions!$B$4:$B$23,MATCH(F1847,Assumptions!$A$4:$A$23,0))</f>
        <v>0.26315789473684209</v>
      </c>
      <c r="L1847" s="14">
        <f t="shared" si="56"/>
        <v>1.05</v>
      </c>
      <c r="M1847" t="str">
        <f t="shared" si="57"/>
        <v>No</v>
      </c>
    </row>
    <row r="1848" spans="1:13" x14ac:dyDescent="0.25">
      <c r="A1848">
        <v>337763</v>
      </c>
      <c r="B1848" t="s">
        <v>5743</v>
      </c>
      <c r="C1848" t="s">
        <v>5744</v>
      </c>
      <c r="D1848" t="s">
        <v>6220</v>
      </c>
      <c r="E1848">
        <v>12.99</v>
      </c>
      <c r="F1848" t="s">
        <v>1663</v>
      </c>
      <c r="G1848" t="s">
        <v>5724</v>
      </c>
      <c r="H1848" t="s">
        <v>52</v>
      </c>
      <c r="I1848" s="11">
        <v>46294</v>
      </c>
      <c r="J1848" s="12">
        <v>46266</v>
      </c>
      <c r="K1848" s="13">
        <f>INDEX(Assumptions!$B$4:$B$23,MATCH(F1848,Assumptions!$A$4:$A$23,0))</f>
        <v>0.26315789473684209</v>
      </c>
      <c r="L1848" s="14">
        <f t="shared" si="56"/>
        <v>3.418421052631579</v>
      </c>
      <c r="M1848" t="str">
        <f t="shared" si="57"/>
        <v>No</v>
      </c>
    </row>
    <row r="1849" spans="1:13" x14ac:dyDescent="0.25">
      <c r="A1849">
        <v>337762</v>
      </c>
      <c r="B1849" t="s">
        <v>5746</v>
      </c>
      <c r="C1849" t="s">
        <v>5747</v>
      </c>
      <c r="D1849" t="s">
        <v>6220</v>
      </c>
      <c r="E1849">
        <v>42.3</v>
      </c>
      <c r="F1849" t="s">
        <v>1663</v>
      </c>
      <c r="G1849" t="s">
        <v>5724</v>
      </c>
      <c r="H1849" t="s">
        <v>52</v>
      </c>
      <c r="I1849" s="11">
        <v>46294</v>
      </c>
      <c r="J1849" s="12">
        <v>46266</v>
      </c>
      <c r="K1849" s="13">
        <f>INDEX(Assumptions!$B$4:$B$23,MATCH(F1849,Assumptions!$A$4:$A$23,0))</f>
        <v>0.26315789473684209</v>
      </c>
      <c r="L1849" s="14">
        <f t="shared" si="56"/>
        <v>11.131578947368419</v>
      </c>
      <c r="M1849" t="str">
        <f t="shared" si="57"/>
        <v>No</v>
      </c>
    </row>
    <row r="1850" spans="1:13" x14ac:dyDescent="0.25">
      <c r="A1850">
        <v>337761</v>
      </c>
      <c r="B1850" t="s">
        <v>5750</v>
      </c>
      <c r="C1850" t="s">
        <v>5751</v>
      </c>
      <c r="D1850" t="s">
        <v>6220</v>
      </c>
      <c r="E1850">
        <v>8.15</v>
      </c>
      <c r="F1850" t="s">
        <v>1663</v>
      </c>
      <c r="G1850" t="s">
        <v>5724</v>
      </c>
      <c r="H1850" t="s">
        <v>52</v>
      </c>
      <c r="I1850" s="11">
        <v>46294</v>
      </c>
      <c r="J1850" s="12">
        <v>46266</v>
      </c>
      <c r="K1850" s="13">
        <f>INDEX(Assumptions!$B$4:$B$23,MATCH(F1850,Assumptions!$A$4:$A$23,0))</f>
        <v>0.26315789473684209</v>
      </c>
      <c r="L1850" s="14">
        <f t="shared" si="56"/>
        <v>2.1447368421052633</v>
      </c>
      <c r="M1850" t="str">
        <f t="shared" si="57"/>
        <v>No</v>
      </c>
    </row>
    <row r="1851" spans="1:13" x14ac:dyDescent="0.25">
      <c r="A1851">
        <v>337760</v>
      </c>
      <c r="B1851" t="s">
        <v>5754</v>
      </c>
      <c r="C1851" t="s">
        <v>5755</v>
      </c>
      <c r="D1851" t="s">
        <v>6220</v>
      </c>
      <c r="E1851">
        <v>68.900000000000006</v>
      </c>
      <c r="F1851" t="s">
        <v>5194</v>
      </c>
      <c r="G1851" t="s">
        <v>5731</v>
      </c>
      <c r="H1851" t="s">
        <v>52</v>
      </c>
      <c r="I1851" s="11">
        <v>46295</v>
      </c>
      <c r="J1851" s="12">
        <v>46266</v>
      </c>
      <c r="K1851" s="13">
        <f>INDEX(Assumptions!$B$4:$B$23,MATCH(F1851,Assumptions!$A$4:$A$23,0))</f>
        <v>4.4444444444444453E-2</v>
      </c>
      <c r="L1851" s="14">
        <f t="shared" si="56"/>
        <v>3.0622222222222231</v>
      </c>
      <c r="M1851" t="str">
        <f t="shared" si="57"/>
        <v>No</v>
      </c>
    </row>
    <row r="1852" spans="1:13" x14ac:dyDescent="0.25">
      <c r="A1852">
        <v>337759</v>
      </c>
      <c r="B1852" t="s">
        <v>5758</v>
      </c>
      <c r="C1852" t="s">
        <v>5759</v>
      </c>
      <c r="D1852" t="s">
        <v>6220</v>
      </c>
      <c r="E1852">
        <v>19.899999999999999</v>
      </c>
      <c r="F1852" t="s">
        <v>5194</v>
      </c>
      <c r="G1852" t="s">
        <v>5731</v>
      </c>
      <c r="H1852" t="s">
        <v>52</v>
      </c>
      <c r="I1852" s="11">
        <v>46295</v>
      </c>
      <c r="J1852" s="12">
        <v>46266</v>
      </c>
      <c r="K1852" s="13">
        <f>INDEX(Assumptions!$B$4:$B$23,MATCH(F1852,Assumptions!$A$4:$A$23,0))</f>
        <v>4.4444444444444453E-2</v>
      </c>
      <c r="L1852" s="14">
        <f t="shared" si="56"/>
        <v>0.88444444444444459</v>
      </c>
      <c r="M1852" t="str">
        <f t="shared" si="57"/>
        <v>No</v>
      </c>
    </row>
    <row r="1853" spans="1:13" x14ac:dyDescent="0.25">
      <c r="A1853">
        <v>337758</v>
      </c>
      <c r="B1853" t="s">
        <v>5761</v>
      </c>
      <c r="C1853" t="s">
        <v>5762</v>
      </c>
      <c r="D1853" t="s">
        <v>6220</v>
      </c>
      <c r="E1853">
        <v>39.9</v>
      </c>
      <c r="F1853" t="s">
        <v>5194</v>
      </c>
      <c r="G1853" t="s">
        <v>5731</v>
      </c>
      <c r="H1853" t="s">
        <v>52</v>
      </c>
      <c r="I1853" s="11">
        <v>46295</v>
      </c>
      <c r="J1853" s="12">
        <v>46266</v>
      </c>
      <c r="K1853" s="13">
        <f>INDEX(Assumptions!$B$4:$B$23,MATCH(F1853,Assumptions!$A$4:$A$23,0))</f>
        <v>4.4444444444444453E-2</v>
      </c>
      <c r="L1853" s="14">
        <f t="shared" si="56"/>
        <v>1.7733333333333337</v>
      </c>
      <c r="M1853" t="str">
        <f t="shared" si="57"/>
        <v>No</v>
      </c>
    </row>
    <row r="1854" spans="1:13" x14ac:dyDescent="0.25">
      <c r="A1854">
        <v>337757</v>
      </c>
      <c r="B1854" t="s">
        <v>5764</v>
      </c>
      <c r="C1854" t="s">
        <v>5765</v>
      </c>
      <c r="D1854" t="s">
        <v>6220</v>
      </c>
      <c r="E1854">
        <v>49.9</v>
      </c>
      <c r="F1854" t="s">
        <v>5194</v>
      </c>
      <c r="G1854" t="s">
        <v>5731</v>
      </c>
      <c r="H1854" t="s">
        <v>52</v>
      </c>
      <c r="I1854" s="11">
        <v>46295</v>
      </c>
      <c r="J1854" s="12">
        <v>46266</v>
      </c>
      <c r="K1854" s="13">
        <f>INDEX(Assumptions!$B$4:$B$23,MATCH(F1854,Assumptions!$A$4:$A$23,0))</f>
        <v>4.4444444444444453E-2</v>
      </c>
      <c r="L1854" s="14">
        <f t="shared" si="56"/>
        <v>2.2177777777777781</v>
      </c>
      <c r="M1854" t="str">
        <f t="shared" si="57"/>
        <v>No</v>
      </c>
    </row>
    <row r="1855" spans="1:13" x14ac:dyDescent="0.25">
      <c r="A1855">
        <v>337756</v>
      </c>
      <c r="B1855" t="s">
        <v>5767</v>
      </c>
      <c r="C1855" t="s">
        <v>5768</v>
      </c>
      <c r="D1855" t="s">
        <v>6220</v>
      </c>
      <c r="E1855">
        <v>29.9</v>
      </c>
      <c r="F1855" t="s">
        <v>5194</v>
      </c>
      <c r="G1855" t="s">
        <v>5731</v>
      </c>
      <c r="H1855" t="s">
        <v>52</v>
      </c>
      <c r="I1855" s="11">
        <v>46295</v>
      </c>
      <c r="J1855" s="12">
        <v>46266</v>
      </c>
      <c r="K1855" s="13">
        <f>INDEX(Assumptions!$B$4:$B$23,MATCH(F1855,Assumptions!$A$4:$A$23,0))</f>
        <v>4.4444444444444453E-2</v>
      </c>
      <c r="L1855" s="14">
        <f t="shared" si="56"/>
        <v>1.328888888888889</v>
      </c>
      <c r="M1855" t="str">
        <f t="shared" si="57"/>
        <v>No</v>
      </c>
    </row>
    <row r="1856" spans="1:13" x14ac:dyDescent="0.25">
      <c r="A1856">
        <v>337755</v>
      </c>
      <c r="B1856" t="s">
        <v>5770</v>
      </c>
      <c r="C1856" t="s">
        <v>5771</v>
      </c>
      <c r="D1856" t="s">
        <v>6220</v>
      </c>
      <c r="E1856">
        <v>16.899999999999999</v>
      </c>
      <c r="F1856" t="s">
        <v>5194</v>
      </c>
      <c r="G1856" t="s">
        <v>5731</v>
      </c>
      <c r="H1856" t="s">
        <v>52</v>
      </c>
      <c r="I1856" s="11">
        <v>46295</v>
      </c>
      <c r="J1856" s="12">
        <v>46266</v>
      </c>
      <c r="K1856" s="13">
        <f>INDEX(Assumptions!$B$4:$B$23,MATCH(F1856,Assumptions!$A$4:$A$23,0))</f>
        <v>4.4444444444444453E-2</v>
      </c>
      <c r="L1856" s="14">
        <f t="shared" si="56"/>
        <v>0.75111111111111117</v>
      </c>
      <c r="M1856" t="str">
        <f t="shared" si="57"/>
        <v>No</v>
      </c>
    </row>
    <row r="1857" spans="1:13" x14ac:dyDescent="0.25">
      <c r="A1857">
        <v>337754</v>
      </c>
      <c r="B1857" t="s">
        <v>5773</v>
      </c>
      <c r="C1857" t="s">
        <v>5774</v>
      </c>
      <c r="D1857" t="s">
        <v>6220</v>
      </c>
      <c r="E1857">
        <v>16.899999999999999</v>
      </c>
      <c r="F1857" t="s">
        <v>5194</v>
      </c>
      <c r="G1857" t="s">
        <v>5731</v>
      </c>
      <c r="H1857" t="s">
        <v>52</v>
      </c>
      <c r="I1857" s="11">
        <v>46295</v>
      </c>
      <c r="J1857" s="12">
        <v>46266</v>
      </c>
      <c r="K1857" s="13">
        <f>INDEX(Assumptions!$B$4:$B$23,MATCH(F1857,Assumptions!$A$4:$A$23,0))</f>
        <v>4.4444444444444453E-2</v>
      </c>
      <c r="L1857" s="14">
        <f t="shared" si="56"/>
        <v>0.75111111111111117</v>
      </c>
      <c r="M1857" t="str">
        <f t="shared" si="57"/>
        <v>No</v>
      </c>
    </row>
    <row r="1858" spans="1:13" x14ac:dyDescent="0.25">
      <c r="A1858">
        <v>337753</v>
      </c>
      <c r="B1858" t="s">
        <v>5231</v>
      </c>
      <c r="C1858" t="s">
        <v>5776</v>
      </c>
      <c r="D1858" t="s">
        <v>6220</v>
      </c>
      <c r="E1858">
        <v>14.9</v>
      </c>
      <c r="F1858" t="s">
        <v>5194</v>
      </c>
      <c r="G1858" t="s">
        <v>5731</v>
      </c>
      <c r="H1858" t="s">
        <v>52</v>
      </c>
      <c r="I1858" s="11">
        <v>46295</v>
      </c>
      <c r="J1858" s="12">
        <v>46266</v>
      </c>
      <c r="K1858" s="13">
        <f>INDEX(Assumptions!$B$4:$B$23,MATCH(F1858,Assumptions!$A$4:$A$23,0))</f>
        <v>4.4444444444444453E-2</v>
      </c>
      <c r="L1858" s="14">
        <f t="shared" ref="L1858:L1921" si="58">E1858*K1858</f>
        <v>0.66222222222222238</v>
      </c>
      <c r="M1858" t="str">
        <f t="shared" ref="M1858:M1921" si="59">IF(C1858="Unnamed product","Yes","No")</f>
        <v>No</v>
      </c>
    </row>
    <row r="1859" spans="1:13" x14ac:dyDescent="0.25">
      <c r="A1859">
        <v>337751</v>
      </c>
      <c r="B1859" t="s">
        <v>5778</v>
      </c>
      <c r="C1859" t="s">
        <v>5779</v>
      </c>
      <c r="D1859" t="s">
        <v>6220</v>
      </c>
      <c r="E1859">
        <v>18.899999999999999</v>
      </c>
      <c r="F1859" t="s">
        <v>5194</v>
      </c>
      <c r="G1859" t="s">
        <v>5731</v>
      </c>
      <c r="H1859" t="s">
        <v>52</v>
      </c>
      <c r="I1859" s="11">
        <v>46295</v>
      </c>
      <c r="J1859" s="12">
        <v>46266</v>
      </c>
      <c r="K1859" s="13">
        <f>INDEX(Assumptions!$B$4:$B$23,MATCH(F1859,Assumptions!$A$4:$A$23,0))</f>
        <v>4.4444444444444453E-2</v>
      </c>
      <c r="L1859" s="14">
        <f t="shared" si="58"/>
        <v>0.84000000000000008</v>
      </c>
      <c r="M1859" t="str">
        <f t="shared" si="59"/>
        <v>No</v>
      </c>
    </row>
    <row r="1860" spans="1:13" x14ac:dyDescent="0.25">
      <c r="A1860">
        <v>337750</v>
      </c>
      <c r="B1860" t="s">
        <v>5781</v>
      </c>
      <c r="C1860" t="s">
        <v>5782</v>
      </c>
      <c r="D1860" t="s">
        <v>6220</v>
      </c>
      <c r="E1860">
        <v>29.9</v>
      </c>
      <c r="F1860" t="s">
        <v>5194</v>
      </c>
      <c r="G1860" t="s">
        <v>5731</v>
      </c>
      <c r="H1860" t="s">
        <v>52</v>
      </c>
      <c r="I1860" s="11">
        <v>46295</v>
      </c>
      <c r="J1860" s="12">
        <v>46266</v>
      </c>
      <c r="K1860" s="13">
        <f>INDEX(Assumptions!$B$4:$B$23,MATCH(F1860,Assumptions!$A$4:$A$23,0))</f>
        <v>4.4444444444444453E-2</v>
      </c>
      <c r="L1860" s="14">
        <f t="shared" si="58"/>
        <v>1.328888888888889</v>
      </c>
      <c r="M1860" t="str">
        <f t="shared" si="59"/>
        <v>No</v>
      </c>
    </row>
    <row r="1861" spans="1:13" x14ac:dyDescent="0.25">
      <c r="A1861">
        <v>337749</v>
      </c>
      <c r="B1861" t="s">
        <v>5784</v>
      </c>
      <c r="C1861" t="s">
        <v>5785</v>
      </c>
      <c r="D1861" t="s">
        <v>6220</v>
      </c>
      <c r="E1861">
        <v>39.9</v>
      </c>
      <c r="F1861" t="s">
        <v>5194</v>
      </c>
      <c r="G1861" t="s">
        <v>5731</v>
      </c>
      <c r="H1861" t="s">
        <v>52</v>
      </c>
      <c r="I1861" s="11">
        <v>46295</v>
      </c>
      <c r="J1861" s="12">
        <v>46266</v>
      </c>
      <c r="K1861" s="13">
        <f>INDEX(Assumptions!$B$4:$B$23,MATCH(F1861,Assumptions!$A$4:$A$23,0))</f>
        <v>4.4444444444444453E-2</v>
      </c>
      <c r="L1861" s="14">
        <f t="shared" si="58"/>
        <v>1.7733333333333337</v>
      </c>
      <c r="M1861" t="str">
        <f t="shared" si="59"/>
        <v>No</v>
      </c>
    </row>
    <row r="1862" spans="1:13" x14ac:dyDescent="0.25">
      <c r="A1862">
        <v>337746</v>
      </c>
      <c r="B1862" t="s">
        <v>5787</v>
      </c>
      <c r="C1862" t="s">
        <v>5788</v>
      </c>
      <c r="D1862" t="s">
        <v>6220</v>
      </c>
      <c r="E1862">
        <v>299</v>
      </c>
      <c r="F1862" t="s">
        <v>5194</v>
      </c>
      <c r="G1862" t="s">
        <v>5731</v>
      </c>
      <c r="H1862" t="s">
        <v>52</v>
      </c>
      <c r="I1862" s="11">
        <v>46295</v>
      </c>
      <c r="J1862" s="12">
        <v>46266</v>
      </c>
      <c r="K1862" s="13">
        <f>INDEX(Assumptions!$B$4:$B$23,MATCH(F1862,Assumptions!$A$4:$A$23,0))</f>
        <v>4.4444444444444453E-2</v>
      </c>
      <c r="L1862" s="14">
        <f t="shared" si="58"/>
        <v>13.288888888888891</v>
      </c>
      <c r="M1862" t="str">
        <f t="shared" si="59"/>
        <v>No</v>
      </c>
    </row>
    <row r="1863" spans="1:13" x14ac:dyDescent="0.25">
      <c r="A1863">
        <v>337747</v>
      </c>
      <c r="B1863" t="s">
        <v>5791</v>
      </c>
      <c r="C1863" t="s">
        <v>5792</v>
      </c>
      <c r="D1863" t="s">
        <v>6220</v>
      </c>
      <c r="E1863">
        <v>29.9</v>
      </c>
      <c r="F1863" t="s">
        <v>5194</v>
      </c>
      <c r="G1863" t="s">
        <v>5731</v>
      </c>
      <c r="H1863" t="s">
        <v>52</v>
      </c>
      <c r="I1863" s="11">
        <v>46295</v>
      </c>
      <c r="J1863" s="12">
        <v>46266</v>
      </c>
      <c r="K1863" s="13">
        <f>INDEX(Assumptions!$B$4:$B$23,MATCH(F1863,Assumptions!$A$4:$A$23,0))</f>
        <v>4.4444444444444453E-2</v>
      </c>
      <c r="L1863" s="14">
        <f t="shared" si="58"/>
        <v>1.328888888888889</v>
      </c>
      <c r="M1863" t="str">
        <f t="shared" si="59"/>
        <v>No</v>
      </c>
    </row>
    <row r="1864" spans="1:13" x14ac:dyDescent="0.25">
      <c r="A1864">
        <v>337748</v>
      </c>
      <c r="B1864" t="s">
        <v>5794</v>
      </c>
      <c r="C1864" t="s">
        <v>5795</v>
      </c>
      <c r="D1864" t="s">
        <v>6220</v>
      </c>
      <c r="E1864">
        <v>14.9</v>
      </c>
      <c r="F1864" t="s">
        <v>5194</v>
      </c>
      <c r="G1864" t="s">
        <v>5731</v>
      </c>
      <c r="H1864" t="s">
        <v>52</v>
      </c>
      <c r="I1864" s="11">
        <v>46295</v>
      </c>
      <c r="J1864" s="12">
        <v>46266</v>
      </c>
      <c r="K1864" s="13">
        <f>INDEX(Assumptions!$B$4:$B$23,MATCH(F1864,Assumptions!$A$4:$A$23,0))</f>
        <v>4.4444444444444453E-2</v>
      </c>
      <c r="L1864" s="14">
        <f t="shared" si="58"/>
        <v>0.66222222222222238</v>
      </c>
      <c r="M1864" t="str">
        <f t="shared" si="59"/>
        <v>No</v>
      </c>
    </row>
    <row r="1865" spans="1:13" x14ac:dyDescent="0.25">
      <c r="A1865">
        <v>337745</v>
      </c>
      <c r="B1865" t="s">
        <v>5797</v>
      </c>
      <c r="C1865" t="s">
        <v>5798</v>
      </c>
      <c r="D1865" t="s">
        <v>6220</v>
      </c>
      <c r="E1865">
        <v>299</v>
      </c>
      <c r="F1865" t="s">
        <v>5194</v>
      </c>
      <c r="G1865" t="s">
        <v>5731</v>
      </c>
      <c r="H1865" t="s">
        <v>52</v>
      </c>
      <c r="I1865" s="11">
        <v>46295</v>
      </c>
      <c r="J1865" s="12">
        <v>46266</v>
      </c>
      <c r="K1865" s="13">
        <f>INDEX(Assumptions!$B$4:$B$23,MATCH(F1865,Assumptions!$A$4:$A$23,0))</f>
        <v>4.4444444444444453E-2</v>
      </c>
      <c r="L1865" s="14">
        <f t="shared" si="58"/>
        <v>13.288888888888891</v>
      </c>
      <c r="M1865" t="str">
        <f t="shared" si="59"/>
        <v>No</v>
      </c>
    </row>
    <row r="1866" spans="1:13" x14ac:dyDescent="0.25">
      <c r="A1866">
        <v>337744</v>
      </c>
      <c r="B1866" t="s">
        <v>5800</v>
      </c>
      <c r="C1866" t="s">
        <v>6221</v>
      </c>
      <c r="D1866" t="s">
        <v>6220</v>
      </c>
      <c r="E1866">
        <v>0.88</v>
      </c>
      <c r="F1866" t="s">
        <v>50</v>
      </c>
      <c r="G1866" t="s">
        <v>1656</v>
      </c>
      <c r="H1866" t="s">
        <v>1655</v>
      </c>
      <c r="I1866" s="11">
        <v>46294</v>
      </c>
      <c r="J1866" s="12">
        <v>46266</v>
      </c>
      <c r="K1866" s="13">
        <f>INDEX(Assumptions!$B$4:$B$23,MATCH(F1866,Assumptions!$A$4:$A$23,0))</f>
        <v>1.0869565217391299</v>
      </c>
      <c r="L1866" s="14">
        <f t="shared" si="58"/>
        <v>0.95652173913043437</v>
      </c>
      <c r="M1866" t="str">
        <f t="shared" si="59"/>
        <v>Yes</v>
      </c>
    </row>
    <row r="1867" spans="1:13" x14ac:dyDescent="0.25">
      <c r="A1867">
        <v>337743</v>
      </c>
      <c r="B1867" t="s">
        <v>5802</v>
      </c>
      <c r="C1867" t="s">
        <v>5803</v>
      </c>
      <c r="D1867" t="s">
        <v>6220</v>
      </c>
      <c r="E1867">
        <v>35.9</v>
      </c>
      <c r="F1867" t="s">
        <v>5194</v>
      </c>
      <c r="G1867" t="s">
        <v>5731</v>
      </c>
      <c r="H1867" t="s">
        <v>52</v>
      </c>
      <c r="I1867" s="11">
        <v>46295</v>
      </c>
      <c r="J1867" s="12">
        <v>46266</v>
      </c>
      <c r="K1867" s="13">
        <f>INDEX(Assumptions!$B$4:$B$23,MATCH(F1867,Assumptions!$A$4:$A$23,0))</f>
        <v>4.4444444444444453E-2</v>
      </c>
      <c r="L1867" s="14">
        <f t="shared" si="58"/>
        <v>1.5955555555555558</v>
      </c>
      <c r="M1867" t="str">
        <f t="shared" si="59"/>
        <v>No</v>
      </c>
    </row>
    <row r="1868" spans="1:13" x14ac:dyDescent="0.25">
      <c r="A1868">
        <v>337742</v>
      </c>
      <c r="B1868" t="s">
        <v>5805</v>
      </c>
      <c r="C1868" t="s">
        <v>5806</v>
      </c>
      <c r="D1868" t="s">
        <v>6220</v>
      </c>
      <c r="E1868">
        <v>19.899999999999999</v>
      </c>
      <c r="F1868" t="s">
        <v>5194</v>
      </c>
      <c r="G1868" t="s">
        <v>5731</v>
      </c>
      <c r="H1868" t="s">
        <v>52</v>
      </c>
      <c r="I1868" s="11">
        <v>46295</v>
      </c>
      <c r="J1868" s="12">
        <v>46266</v>
      </c>
      <c r="K1868" s="13">
        <f>INDEX(Assumptions!$B$4:$B$23,MATCH(F1868,Assumptions!$A$4:$A$23,0))</f>
        <v>4.4444444444444453E-2</v>
      </c>
      <c r="L1868" s="14">
        <f t="shared" si="58"/>
        <v>0.88444444444444459</v>
      </c>
      <c r="M1868" t="str">
        <f t="shared" si="59"/>
        <v>No</v>
      </c>
    </row>
    <row r="1869" spans="1:13" x14ac:dyDescent="0.25">
      <c r="A1869">
        <v>337741</v>
      </c>
      <c r="B1869" t="s">
        <v>5808</v>
      </c>
      <c r="C1869" t="s">
        <v>5809</v>
      </c>
      <c r="D1869" t="s">
        <v>6220</v>
      </c>
      <c r="E1869">
        <v>29.9</v>
      </c>
      <c r="F1869" t="s">
        <v>5194</v>
      </c>
      <c r="G1869" t="s">
        <v>5731</v>
      </c>
      <c r="H1869" t="s">
        <v>52</v>
      </c>
      <c r="I1869" s="11">
        <v>46295</v>
      </c>
      <c r="J1869" s="12">
        <v>46266</v>
      </c>
      <c r="K1869" s="13">
        <f>INDEX(Assumptions!$B$4:$B$23,MATCH(F1869,Assumptions!$A$4:$A$23,0))</f>
        <v>4.4444444444444453E-2</v>
      </c>
      <c r="L1869" s="14">
        <f t="shared" si="58"/>
        <v>1.328888888888889</v>
      </c>
      <c r="M1869" t="str">
        <f t="shared" si="59"/>
        <v>No</v>
      </c>
    </row>
    <row r="1870" spans="1:13" x14ac:dyDescent="0.25">
      <c r="A1870">
        <v>337740</v>
      </c>
      <c r="B1870" t="s">
        <v>5811</v>
      </c>
      <c r="C1870" t="s">
        <v>5812</v>
      </c>
      <c r="D1870" t="s">
        <v>6220</v>
      </c>
      <c r="E1870">
        <v>23.9</v>
      </c>
      <c r="F1870" t="s">
        <v>5194</v>
      </c>
      <c r="G1870" t="s">
        <v>5731</v>
      </c>
      <c r="H1870" t="s">
        <v>52</v>
      </c>
      <c r="I1870" s="11">
        <v>46295</v>
      </c>
      <c r="J1870" s="12">
        <v>46266</v>
      </c>
      <c r="K1870" s="13">
        <f>INDEX(Assumptions!$B$4:$B$23,MATCH(F1870,Assumptions!$A$4:$A$23,0))</f>
        <v>4.4444444444444453E-2</v>
      </c>
      <c r="L1870" s="14">
        <f t="shared" si="58"/>
        <v>1.0622222222222224</v>
      </c>
      <c r="M1870" t="str">
        <f t="shared" si="59"/>
        <v>No</v>
      </c>
    </row>
    <row r="1871" spans="1:13" x14ac:dyDescent="0.25">
      <c r="A1871">
        <v>337739</v>
      </c>
      <c r="B1871" t="s">
        <v>5814</v>
      </c>
      <c r="C1871" t="s">
        <v>5815</v>
      </c>
      <c r="D1871" t="s">
        <v>6220</v>
      </c>
      <c r="E1871">
        <v>29.9</v>
      </c>
      <c r="F1871" t="s">
        <v>5194</v>
      </c>
      <c r="G1871" t="s">
        <v>5731</v>
      </c>
      <c r="H1871" t="s">
        <v>52</v>
      </c>
      <c r="I1871" s="11">
        <v>46295</v>
      </c>
      <c r="J1871" s="12">
        <v>46266</v>
      </c>
      <c r="K1871" s="13">
        <f>INDEX(Assumptions!$B$4:$B$23,MATCH(F1871,Assumptions!$A$4:$A$23,0))</f>
        <v>4.4444444444444453E-2</v>
      </c>
      <c r="L1871" s="14">
        <f t="shared" si="58"/>
        <v>1.328888888888889</v>
      </c>
      <c r="M1871" t="str">
        <f t="shared" si="59"/>
        <v>No</v>
      </c>
    </row>
    <row r="1872" spans="1:13" x14ac:dyDescent="0.25">
      <c r="A1872">
        <v>337738</v>
      </c>
      <c r="B1872" t="s">
        <v>5817</v>
      </c>
      <c r="C1872" t="s">
        <v>5818</v>
      </c>
      <c r="D1872" t="s">
        <v>6220</v>
      </c>
      <c r="E1872">
        <v>43.9</v>
      </c>
      <c r="F1872" t="s">
        <v>5194</v>
      </c>
      <c r="G1872" t="s">
        <v>5731</v>
      </c>
      <c r="H1872" t="s">
        <v>52</v>
      </c>
      <c r="I1872" s="11">
        <v>46295</v>
      </c>
      <c r="J1872" s="12">
        <v>46266</v>
      </c>
      <c r="K1872" s="13">
        <f>INDEX(Assumptions!$B$4:$B$23,MATCH(F1872,Assumptions!$A$4:$A$23,0))</f>
        <v>4.4444444444444453E-2</v>
      </c>
      <c r="L1872" s="14">
        <f t="shared" si="58"/>
        <v>1.9511111111111115</v>
      </c>
      <c r="M1872" t="str">
        <f t="shared" si="59"/>
        <v>No</v>
      </c>
    </row>
    <row r="1873" spans="1:13" x14ac:dyDescent="0.25">
      <c r="A1873">
        <v>337737</v>
      </c>
      <c r="B1873" t="s">
        <v>5821</v>
      </c>
      <c r="C1873" t="s">
        <v>5822</v>
      </c>
      <c r="D1873" t="s">
        <v>6220</v>
      </c>
      <c r="E1873">
        <v>129.9</v>
      </c>
      <c r="F1873" t="s">
        <v>5194</v>
      </c>
      <c r="G1873" t="s">
        <v>5731</v>
      </c>
      <c r="H1873" t="s">
        <v>52</v>
      </c>
      <c r="I1873" s="11">
        <v>46295</v>
      </c>
      <c r="J1873" s="12">
        <v>46266</v>
      </c>
      <c r="K1873" s="13">
        <f>INDEX(Assumptions!$B$4:$B$23,MATCH(F1873,Assumptions!$A$4:$A$23,0))</f>
        <v>4.4444444444444453E-2</v>
      </c>
      <c r="L1873" s="14">
        <f t="shared" si="58"/>
        <v>5.7733333333333343</v>
      </c>
      <c r="M1873" t="str">
        <f t="shared" si="59"/>
        <v>No</v>
      </c>
    </row>
    <row r="1874" spans="1:13" x14ac:dyDescent="0.25">
      <c r="A1874">
        <v>337736</v>
      </c>
      <c r="B1874" t="s">
        <v>5825</v>
      </c>
      <c r="C1874" t="s">
        <v>5826</v>
      </c>
      <c r="D1874" t="s">
        <v>6220</v>
      </c>
      <c r="E1874">
        <v>17.899999999999999</v>
      </c>
      <c r="F1874" t="s">
        <v>5194</v>
      </c>
      <c r="G1874" t="s">
        <v>5731</v>
      </c>
      <c r="H1874" t="s">
        <v>52</v>
      </c>
      <c r="I1874" s="11">
        <v>46295</v>
      </c>
      <c r="J1874" s="12">
        <v>46266</v>
      </c>
      <c r="K1874" s="13">
        <f>INDEX(Assumptions!$B$4:$B$23,MATCH(F1874,Assumptions!$A$4:$A$23,0))</f>
        <v>4.4444444444444453E-2</v>
      </c>
      <c r="L1874" s="14">
        <f t="shared" si="58"/>
        <v>0.79555555555555568</v>
      </c>
      <c r="M1874" t="str">
        <f t="shared" si="59"/>
        <v>No</v>
      </c>
    </row>
    <row r="1875" spans="1:13" x14ac:dyDescent="0.25">
      <c r="A1875">
        <v>337735</v>
      </c>
      <c r="B1875" t="s">
        <v>5828</v>
      </c>
      <c r="C1875" t="s">
        <v>5829</v>
      </c>
      <c r="D1875" t="s">
        <v>6220</v>
      </c>
      <c r="E1875">
        <v>17.899999999999999</v>
      </c>
      <c r="F1875" t="s">
        <v>5194</v>
      </c>
      <c r="G1875" t="s">
        <v>5731</v>
      </c>
      <c r="H1875" t="s">
        <v>52</v>
      </c>
      <c r="I1875" s="11">
        <v>46295</v>
      </c>
      <c r="J1875" s="12">
        <v>46266</v>
      </c>
      <c r="K1875" s="13">
        <f>INDEX(Assumptions!$B$4:$B$23,MATCH(F1875,Assumptions!$A$4:$A$23,0))</f>
        <v>4.4444444444444453E-2</v>
      </c>
      <c r="L1875" s="14">
        <f t="shared" si="58"/>
        <v>0.79555555555555568</v>
      </c>
      <c r="M1875" t="str">
        <f t="shared" si="59"/>
        <v>No</v>
      </c>
    </row>
    <row r="1876" spans="1:13" x14ac:dyDescent="0.25">
      <c r="A1876">
        <v>337734</v>
      </c>
      <c r="B1876" t="s">
        <v>5831</v>
      </c>
      <c r="C1876" t="s">
        <v>5832</v>
      </c>
      <c r="D1876" t="s">
        <v>6220</v>
      </c>
      <c r="E1876">
        <v>44.9</v>
      </c>
      <c r="F1876" t="s">
        <v>5194</v>
      </c>
      <c r="G1876" t="s">
        <v>5731</v>
      </c>
      <c r="H1876" t="s">
        <v>52</v>
      </c>
      <c r="I1876" s="11">
        <v>46295</v>
      </c>
      <c r="J1876" s="12">
        <v>46266</v>
      </c>
      <c r="K1876" s="13">
        <f>INDEX(Assumptions!$B$4:$B$23,MATCH(F1876,Assumptions!$A$4:$A$23,0))</f>
        <v>4.4444444444444453E-2</v>
      </c>
      <c r="L1876" s="14">
        <f t="shared" si="58"/>
        <v>1.995555555555556</v>
      </c>
      <c r="M1876" t="str">
        <f t="shared" si="59"/>
        <v>No</v>
      </c>
    </row>
    <row r="1877" spans="1:13" x14ac:dyDescent="0.25">
      <c r="A1877">
        <v>337733</v>
      </c>
      <c r="B1877" t="s">
        <v>5834</v>
      </c>
      <c r="C1877" t="s">
        <v>5835</v>
      </c>
      <c r="D1877" t="s">
        <v>6220</v>
      </c>
      <c r="E1877">
        <v>54.9</v>
      </c>
      <c r="F1877" t="s">
        <v>5194</v>
      </c>
      <c r="G1877" t="s">
        <v>5731</v>
      </c>
      <c r="H1877" t="s">
        <v>52</v>
      </c>
      <c r="I1877" s="11">
        <v>46295</v>
      </c>
      <c r="J1877" s="12">
        <v>46266</v>
      </c>
      <c r="K1877" s="13">
        <f>INDEX(Assumptions!$B$4:$B$23,MATCH(F1877,Assumptions!$A$4:$A$23,0))</f>
        <v>4.4444444444444453E-2</v>
      </c>
      <c r="L1877" s="14">
        <f t="shared" si="58"/>
        <v>2.4400000000000004</v>
      </c>
      <c r="M1877" t="str">
        <f t="shared" si="59"/>
        <v>No</v>
      </c>
    </row>
    <row r="1878" spans="1:13" x14ac:dyDescent="0.25">
      <c r="A1878">
        <v>337732</v>
      </c>
      <c r="B1878" t="s">
        <v>5837</v>
      </c>
      <c r="C1878" t="s">
        <v>5838</v>
      </c>
      <c r="D1878" t="s">
        <v>6220</v>
      </c>
      <c r="E1878">
        <v>154.9</v>
      </c>
      <c r="F1878" t="s">
        <v>5194</v>
      </c>
      <c r="G1878" t="s">
        <v>5731</v>
      </c>
      <c r="H1878" t="s">
        <v>52</v>
      </c>
      <c r="I1878" s="11">
        <v>46295</v>
      </c>
      <c r="J1878" s="12">
        <v>46266</v>
      </c>
      <c r="K1878" s="13">
        <f>INDEX(Assumptions!$B$4:$B$23,MATCH(F1878,Assumptions!$A$4:$A$23,0))</f>
        <v>4.4444444444444453E-2</v>
      </c>
      <c r="L1878" s="14">
        <f t="shared" si="58"/>
        <v>6.8844444444444459</v>
      </c>
      <c r="M1878" t="str">
        <f t="shared" si="59"/>
        <v>No</v>
      </c>
    </row>
    <row r="1879" spans="1:13" x14ac:dyDescent="0.25">
      <c r="A1879">
        <v>337731</v>
      </c>
      <c r="B1879" t="s">
        <v>5192</v>
      </c>
      <c r="C1879" t="s">
        <v>5841</v>
      </c>
      <c r="D1879" t="s">
        <v>6220</v>
      </c>
      <c r="E1879">
        <v>299</v>
      </c>
      <c r="F1879" t="s">
        <v>5194</v>
      </c>
      <c r="G1879" t="s">
        <v>5731</v>
      </c>
      <c r="H1879" t="s">
        <v>52</v>
      </c>
      <c r="I1879" s="11">
        <v>46295</v>
      </c>
      <c r="J1879" s="12">
        <v>46266</v>
      </c>
      <c r="K1879" s="13">
        <f>INDEX(Assumptions!$B$4:$B$23,MATCH(F1879,Assumptions!$A$4:$A$23,0))</f>
        <v>4.4444444444444453E-2</v>
      </c>
      <c r="L1879" s="14">
        <f t="shared" si="58"/>
        <v>13.288888888888891</v>
      </c>
      <c r="M1879" t="str">
        <f t="shared" si="59"/>
        <v>No</v>
      </c>
    </row>
    <row r="1880" spans="1:13" x14ac:dyDescent="0.25">
      <c r="A1880">
        <v>337730</v>
      </c>
      <c r="B1880" t="s">
        <v>5843</v>
      </c>
      <c r="C1880" t="s">
        <v>5844</v>
      </c>
      <c r="D1880" t="s">
        <v>6220</v>
      </c>
      <c r="E1880">
        <v>149.9</v>
      </c>
      <c r="F1880" t="s">
        <v>5194</v>
      </c>
      <c r="G1880" t="s">
        <v>5731</v>
      </c>
      <c r="H1880" t="s">
        <v>52</v>
      </c>
      <c r="I1880" s="11">
        <v>46295</v>
      </c>
      <c r="J1880" s="12">
        <v>46266</v>
      </c>
      <c r="K1880" s="13">
        <f>INDEX(Assumptions!$B$4:$B$23,MATCH(F1880,Assumptions!$A$4:$A$23,0))</f>
        <v>4.4444444444444453E-2</v>
      </c>
      <c r="L1880" s="14">
        <f t="shared" si="58"/>
        <v>6.6622222222222236</v>
      </c>
      <c r="M1880" t="str">
        <f t="shared" si="59"/>
        <v>No</v>
      </c>
    </row>
    <row r="1881" spans="1:13" x14ac:dyDescent="0.25">
      <c r="A1881">
        <v>337729</v>
      </c>
      <c r="B1881" t="s">
        <v>5847</v>
      </c>
      <c r="C1881" t="s">
        <v>5848</v>
      </c>
      <c r="D1881" t="s">
        <v>6220</v>
      </c>
      <c r="E1881">
        <v>259</v>
      </c>
      <c r="F1881" t="s">
        <v>5194</v>
      </c>
      <c r="G1881" t="s">
        <v>5731</v>
      </c>
      <c r="H1881" t="s">
        <v>52</v>
      </c>
      <c r="I1881" s="11">
        <v>46295</v>
      </c>
      <c r="J1881" s="12">
        <v>46266</v>
      </c>
      <c r="K1881" s="13">
        <f>INDEX(Assumptions!$B$4:$B$23,MATCH(F1881,Assumptions!$A$4:$A$23,0))</f>
        <v>4.4444444444444453E-2</v>
      </c>
      <c r="L1881" s="14">
        <f t="shared" si="58"/>
        <v>11.511111111111113</v>
      </c>
      <c r="M1881" t="str">
        <f t="shared" si="59"/>
        <v>No</v>
      </c>
    </row>
    <row r="1882" spans="1:13" x14ac:dyDescent="0.25">
      <c r="A1882">
        <v>337728</v>
      </c>
      <c r="B1882" t="s">
        <v>5851</v>
      </c>
      <c r="C1882" t="s">
        <v>5852</v>
      </c>
      <c r="D1882" t="s">
        <v>6220</v>
      </c>
      <c r="E1882">
        <v>79.900000000000006</v>
      </c>
      <c r="F1882" t="s">
        <v>5194</v>
      </c>
      <c r="G1882" t="s">
        <v>5731</v>
      </c>
      <c r="H1882" t="s">
        <v>52</v>
      </c>
      <c r="I1882" s="11">
        <v>46295</v>
      </c>
      <c r="J1882" s="12">
        <v>46266</v>
      </c>
      <c r="K1882" s="13">
        <f>INDEX(Assumptions!$B$4:$B$23,MATCH(F1882,Assumptions!$A$4:$A$23,0))</f>
        <v>4.4444444444444453E-2</v>
      </c>
      <c r="L1882" s="14">
        <f t="shared" si="58"/>
        <v>3.551111111111112</v>
      </c>
      <c r="M1882" t="str">
        <f t="shared" si="59"/>
        <v>No</v>
      </c>
    </row>
    <row r="1883" spans="1:13" x14ac:dyDescent="0.25">
      <c r="A1883">
        <v>337727</v>
      </c>
      <c r="B1883" t="s">
        <v>5854</v>
      </c>
      <c r="C1883" t="s">
        <v>5855</v>
      </c>
      <c r="D1883" t="s">
        <v>6220</v>
      </c>
      <c r="E1883">
        <v>35.9</v>
      </c>
      <c r="F1883" t="s">
        <v>5194</v>
      </c>
      <c r="G1883" t="s">
        <v>5731</v>
      </c>
      <c r="H1883" t="s">
        <v>52</v>
      </c>
      <c r="I1883" s="11">
        <v>46295</v>
      </c>
      <c r="J1883" s="12">
        <v>46266</v>
      </c>
      <c r="K1883" s="13">
        <f>INDEX(Assumptions!$B$4:$B$23,MATCH(F1883,Assumptions!$A$4:$A$23,0))</f>
        <v>4.4444444444444453E-2</v>
      </c>
      <c r="L1883" s="14">
        <f t="shared" si="58"/>
        <v>1.5955555555555558</v>
      </c>
      <c r="M1883" t="str">
        <f t="shared" si="59"/>
        <v>No</v>
      </c>
    </row>
    <row r="1884" spans="1:13" x14ac:dyDescent="0.25">
      <c r="A1884">
        <v>337726</v>
      </c>
      <c r="B1884" t="s">
        <v>5857</v>
      </c>
      <c r="C1884" t="s">
        <v>5858</v>
      </c>
      <c r="D1884" t="s">
        <v>6220</v>
      </c>
      <c r="E1884">
        <v>35.9</v>
      </c>
      <c r="F1884" t="s">
        <v>5194</v>
      </c>
      <c r="G1884" t="s">
        <v>5731</v>
      </c>
      <c r="H1884" t="s">
        <v>52</v>
      </c>
      <c r="I1884" s="11">
        <v>46295</v>
      </c>
      <c r="J1884" s="12">
        <v>46266</v>
      </c>
      <c r="K1884" s="13">
        <f>INDEX(Assumptions!$B$4:$B$23,MATCH(F1884,Assumptions!$A$4:$A$23,0))</f>
        <v>4.4444444444444453E-2</v>
      </c>
      <c r="L1884" s="14">
        <f t="shared" si="58"/>
        <v>1.5955555555555558</v>
      </c>
      <c r="M1884" t="str">
        <f t="shared" si="59"/>
        <v>No</v>
      </c>
    </row>
    <row r="1885" spans="1:13" x14ac:dyDescent="0.25">
      <c r="A1885">
        <v>337725</v>
      </c>
      <c r="B1885" t="s">
        <v>5860</v>
      </c>
      <c r="C1885" t="s">
        <v>5861</v>
      </c>
      <c r="D1885" t="s">
        <v>6220</v>
      </c>
      <c r="E1885">
        <v>19.899999999999999</v>
      </c>
      <c r="F1885" t="s">
        <v>5194</v>
      </c>
      <c r="G1885" t="s">
        <v>5731</v>
      </c>
      <c r="H1885" t="s">
        <v>52</v>
      </c>
      <c r="I1885" s="11">
        <v>46295</v>
      </c>
      <c r="J1885" s="12">
        <v>46266</v>
      </c>
      <c r="K1885" s="13">
        <f>INDEX(Assumptions!$B$4:$B$23,MATCH(F1885,Assumptions!$A$4:$A$23,0))</f>
        <v>4.4444444444444453E-2</v>
      </c>
      <c r="L1885" s="14">
        <f t="shared" si="58"/>
        <v>0.88444444444444459</v>
      </c>
      <c r="M1885" t="str">
        <f t="shared" si="59"/>
        <v>No</v>
      </c>
    </row>
    <row r="1886" spans="1:13" x14ac:dyDescent="0.25">
      <c r="A1886">
        <v>337724</v>
      </c>
      <c r="B1886" t="s">
        <v>5860</v>
      </c>
      <c r="C1886" t="s">
        <v>5861</v>
      </c>
      <c r="D1886" t="s">
        <v>6220</v>
      </c>
      <c r="E1886">
        <v>19.899999999999999</v>
      </c>
      <c r="F1886" t="s">
        <v>5194</v>
      </c>
      <c r="G1886" t="s">
        <v>5731</v>
      </c>
      <c r="H1886" t="s">
        <v>52</v>
      </c>
      <c r="I1886" s="11">
        <v>46295</v>
      </c>
      <c r="J1886" s="12">
        <v>46266</v>
      </c>
      <c r="K1886" s="13">
        <f>INDEX(Assumptions!$B$4:$B$23,MATCH(F1886,Assumptions!$A$4:$A$23,0))</f>
        <v>4.4444444444444453E-2</v>
      </c>
      <c r="L1886" s="14">
        <f t="shared" si="58"/>
        <v>0.88444444444444459</v>
      </c>
      <c r="M1886" t="str">
        <f t="shared" si="59"/>
        <v>No</v>
      </c>
    </row>
    <row r="1887" spans="1:13" x14ac:dyDescent="0.25">
      <c r="A1887">
        <v>337723</v>
      </c>
      <c r="B1887" t="s">
        <v>5805</v>
      </c>
      <c r="C1887" t="s">
        <v>5864</v>
      </c>
      <c r="D1887" t="s">
        <v>6220</v>
      </c>
      <c r="E1887">
        <v>29.9</v>
      </c>
      <c r="F1887" t="s">
        <v>5194</v>
      </c>
      <c r="G1887" t="s">
        <v>5731</v>
      </c>
      <c r="H1887" t="s">
        <v>52</v>
      </c>
      <c r="I1887" s="11">
        <v>46295</v>
      </c>
      <c r="J1887" s="12">
        <v>46266</v>
      </c>
      <c r="K1887" s="13">
        <f>INDEX(Assumptions!$B$4:$B$23,MATCH(F1887,Assumptions!$A$4:$A$23,0))</f>
        <v>4.4444444444444453E-2</v>
      </c>
      <c r="L1887" s="14">
        <f t="shared" si="58"/>
        <v>1.328888888888889</v>
      </c>
      <c r="M1887" t="str">
        <f t="shared" si="59"/>
        <v>No</v>
      </c>
    </row>
    <row r="1888" spans="1:13" x14ac:dyDescent="0.25">
      <c r="A1888">
        <v>337722</v>
      </c>
      <c r="B1888" t="s">
        <v>5866</v>
      </c>
      <c r="C1888" t="s">
        <v>5867</v>
      </c>
      <c r="D1888" t="s">
        <v>6220</v>
      </c>
      <c r="E1888">
        <v>44.9</v>
      </c>
      <c r="F1888" t="s">
        <v>5194</v>
      </c>
      <c r="G1888" t="s">
        <v>5731</v>
      </c>
      <c r="H1888" t="s">
        <v>52</v>
      </c>
      <c r="I1888" s="11">
        <v>46295</v>
      </c>
      <c r="J1888" s="12">
        <v>46266</v>
      </c>
      <c r="K1888" s="13">
        <f>INDEX(Assumptions!$B$4:$B$23,MATCH(F1888,Assumptions!$A$4:$A$23,0))</f>
        <v>4.4444444444444453E-2</v>
      </c>
      <c r="L1888" s="14">
        <f t="shared" si="58"/>
        <v>1.995555555555556</v>
      </c>
      <c r="M1888" t="str">
        <f t="shared" si="59"/>
        <v>No</v>
      </c>
    </row>
    <row r="1889" spans="1:13" x14ac:dyDescent="0.25">
      <c r="A1889">
        <v>337721</v>
      </c>
      <c r="B1889" t="s">
        <v>5869</v>
      </c>
      <c r="C1889" t="s">
        <v>5870</v>
      </c>
      <c r="D1889" t="s">
        <v>6220</v>
      </c>
      <c r="E1889">
        <v>44.9</v>
      </c>
      <c r="F1889" t="s">
        <v>5194</v>
      </c>
      <c r="G1889" t="s">
        <v>5731</v>
      </c>
      <c r="H1889" t="s">
        <v>52</v>
      </c>
      <c r="I1889" s="11">
        <v>46295</v>
      </c>
      <c r="J1889" s="12">
        <v>46266</v>
      </c>
      <c r="K1889" s="13">
        <f>INDEX(Assumptions!$B$4:$B$23,MATCH(F1889,Assumptions!$A$4:$A$23,0))</f>
        <v>4.4444444444444453E-2</v>
      </c>
      <c r="L1889" s="14">
        <f t="shared" si="58"/>
        <v>1.995555555555556</v>
      </c>
      <c r="M1889" t="str">
        <f t="shared" si="59"/>
        <v>No</v>
      </c>
    </row>
    <row r="1890" spans="1:13" x14ac:dyDescent="0.25">
      <c r="A1890">
        <v>337720</v>
      </c>
      <c r="B1890" t="s">
        <v>5872</v>
      </c>
      <c r="C1890" t="s">
        <v>5873</v>
      </c>
      <c r="D1890" t="s">
        <v>6220</v>
      </c>
      <c r="E1890">
        <v>39.9</v>
      </c>
      <c r="F1890" t="s">
        <v>5194</v>
      </c>
      <c r="G1890" t="s">
        <v>5731</v>
      </c>
      <c r="H1890" t="s">
        <v>52</v>
      </c>
      <c r="I1890" s="11">
        <v>46295</v>
      </c>
      <c r="J1890" s="12">
        <v>46266</v>
      </c>
      <c r="K1890" s="13">
        <f>INDEX(Assumptions!$B$4:$B$23,MATCH(F1890,Assumptions!$A$4:$A$23,0))</f>
        <v>4.4444444444444453E-2</v>
      </c>
      <c r="L1890" s="14">
        <f t="shared" si="58"/>
        <v>1.7733333333333337</v>
      </c>
      <c r="M1890" t="str">
        <f t="shared" si="59"/>
        <v>No</v>
      </c>
    </row>
    <row r="1891" spans="1:13" x14ac:dyDescent="0.25">
      <c r="A1891">
        <v>337719</v>
      </c>
      <c r="B1891" t="s">
        <v>5872</v>
      </c>
      <c r="C1891" t="s">
        <v>5873</v>
      </c>
      <c r="D1891" t="s">
        <v>6220</v>
      </c>
      <c r="E1891">
        <v>39.9</v>
      </c>
      <c r="F1891" t="s">
        <v>5194</v>
      </c>
      <c r="G1891" t="s">
        <v>5731</v>
      </c>
      <c r="H1891" t="s">
        <v>52</v>
      </c>
      <c r="I1891" s="11">
        <v>46295</v>
      </c>
      <c r="J1891" s="12">
        <v>46266</v>
      </c>
      <c r="K1891" s="13">
        <f>INDEX(Assumptions!$B$4:$B$23,MATCH(F1891,Assumptions!$A$4:$A$23,0))</f>
        <v>4.4444444444444453E-2</v>
      </c>
      <c r="L1891" s="14">
        <f t="shared" si="58"/>
        <v>1.7733333333333337</v>
      </c>
      <c r="M1891" t="str">
        <f t="shared" si="59"/>
        <v>No</v>
      </c>
    </row>
    <row r="1892" spans="1:13" x14ac:dyDescent="0.25">
      <c r="A1892">
        <v>337718</v>
      </c>
      <c r="B1892" t="s">
        <v>5876</v>
      </c>
      <c r="C1892" t="s">
        <v>5877</v>
      </c>
      <c r="D1892" t="s">
        <v>6220</v>
      </c>
      <c r="E1892">
        <v>269</v>
      </c>
      <c r="F1892" t="s">
        <v>5194</v>
      </c>
      <c r="G1892" t="s">
        <v>5731</v>
      </c>
      <c r="H1892" t="s">
        <v>52</v>
      </c>
      <c r="I1892" s="11">
        <v>46295</v>
      </c>
      <c r="J1892" s="12">
        <v>46266</v>
      </c>
      <c r="K1892" s="13">
        <f>INDEX(Assumptions!$B$4:$B$23,MATCH(F1892,Assumptions!$A$4:$A$23,0))</f>
        <v>4.4444444444444453E-2</v>
      </c>
      <c r="L1892" s="14">
        <f t="shared" si="58"/>
        <v>11.955555555555557</v>
      </c>
      <c r="M1892" t="str">
        <f t="shared" si="59"/>
        <v>No</v>
      </c>
    </row>
    <row r="1893" spans="1:13" x14ac:dyDescent="0.25">
      <c r="A1893">
        <v>337717</v>
      </c>
      <c r="B1893" t="s">
        <v>5797</v>
      </c>
      <c r="C1893" t="s">
        <v>5880</v>
      </c>
      <c r="D1893" t="s">
        <v>6220</v>
      </c>
      <c r="E1893">
        <v>299</v>
      </c>
      <c r="F1893" t="s">
        <v>5194</v>
      </c>
      <c r="G1893" t="s">
        <v>5731</v>
      </c>
      <c r="H1893" t="s">
        <v>52</v>
      </c>
      <c r="I1893" s="11">
        <v>46295</v>
      </c>
      <c r="J1893" s="12">
        <v>46266</v>
      </c>
      <c r="K1893" s="13">
        <f>INDEX(Assumptions!$B$4:$B$23,MATCH(F1893,Assumptions!$A$4:$A$23,0))</f>
        <v>4.4444444444444453E-2</v>
      </c>
      <c r="L1893" s="14">
        <f t="shared" si="58"/>
        <v>13.288888888888891</v>
      </c>
      <c r="M1893" t="str">
        <f t="shared" si="59"/>
        <v>No</v>
      </c>
    </row>
    <row r="1894" spans="1:13" x14ac:dyDescent="0.25">
      <c r="A1894">
        <v>337716</v>
      </c>
      <c r="B1894" t="s">
        <v>5882</v>
      </c>
      <c r="C1894" t="s">
        <v>5883</v>
      </c>
      <c r="D1894" t="s">
        <v>6220</v>
      </c>
      <c r="E1894">
        <v>27.9</v>
      </c>
      <c r="F1894" t="s">
        <v>5194</v>
      </c>
      <c r="G1894" t="s">
        <v>5731</v>
      </c>
      <c r="H1894" t="s">
        <v>52</v>
      </c>
      <c r="I1894" s="11">
        <v>46295</v>
      </c>
      <c r="J1894" s="12">
        <v>46266</v>
      </c>
      <c r="K1894" s="13">
        <f>INDEX(Assumptions!$B$4:$B$23,MATCH(F1894,Assumptions!$A$4:$A$23,0))</f>
        <v>4.4444444444444453E-2</v>
      </c>
      <c r="L1894" s="14">
        <f t="shared" si="58"/>
        <v>1.2400000000000002</v>
      </c>
      <c r="M1894" t="str">
        <f t="shared" si="59"/>
        <v>No</v>
      </c>
    </row>
    <row r="1895" spans="1:13" x14ac:dyDescent="0.25">
      <c r="A1895">
        <v>337715</v>
      </c>
      <c r="B1895" t="s">
        <v>5885</v>
      </c>
      <c r="C1895" t="s">
        <v>5886</v>
      </c>
      <c r="D1895" t="s">
        <v>6220</v>
      </c>
      <c r="E1895">
        <v>27.9</v>
      </c>
      <c r="F1895" t="s">
        <v>5194</v>
      </c>
      <c r="G1895" t="s">
        <v>5731</v>
      </c>
      <c r="H1895" t="s">
        <v>52</v>
      </c>
      <c r="I1895" s="11">
        <v>46295</v>
      </c>
      <c r="J1895" s="12">
        <v>46266</v>
      </c>
      <c r="K1895" s="13">
        <f>INDEX(Assumptions!$B$4:$B$23,MATCH(F1895,Assumptions!$A$4:$A$23,0))</f>
        <v>4.4444444444444453E-2</v>
      </c>
      <c r="L1895" s="14">
        <f t="shared" si="58"/>
        <v>1.2400000000000002</v>
      </c>
      <c r="M1895" t="str">
        <f t="shared" si="59"/>
        <v>No</v>
      </c>
    </row>
    <row r="1896" spans="1:13" x14ac:dyDescent="0.25">
      <c r="A1896">
        <v>337714</v>
      </c>
      <c r="B1896" t="s">
        <v>5888</v>
      </c>
      <c r="C1896" t="s">
        <v>5889</v>
      </c>
      <c r="D1896" t="s">
        <v>6220</v>
      </c>
      <c r="E1896">
        <v>49.9</v>
      </c>
      <c r="F1896" t="s">
        <v>5194</v>
      </c>
      <c r="G1896" t="s">
        <v>5731</v>
      </c>
      <c r="H1896" t="s">
        <v>52</v>
      </c>
      <c r="I1896" s="11">
        <v>46295</v>
      </c>
      <c r="J1896" s="12">
        <v>46266</v>
      </c>
      <c r="K1896" s="13">
        <f>INDEX(Assumptions!$B$4:$B$23,MATCH(F1896,Assumptions!$A$4:$A$23,0))</f>
        <v>4.4444444444444453E-2</v>
      </c>
      <c r="L1896" s="14">
        <f t="shared" si="58"/>
        <v>2.2177777777777781</v>
      </c>
      <c r="M1896" t="str">
        <f t="shared" si="59"/>
        <v>No</v>
      </c>
    </row>
    <row r="1897" spans="1:13" x14ac:dyDescent="0.25">
      <c r="A1897">
        <v>337713</v>
      </c>
      <c r="B1897" t="s">
        <v>5891</v>
      </c>
      <c r="C1897" t="s">
        <v>5892</v>
      </c>
      <c r="D1897" t="s">
        <v>6220</v>
      </c>
      <c r="E1897">
        <v>49.9</v>
      </c>
      <c r="F1897" t="s">
        <v>5194</v>
      </c>
      <c r="G1897" t="s">
        <v>5731</v>
      </c>
      <c r="H1897" t="s">
        <v>52</v>
      </c>
      <c r="I1897" s="11">
        <v>46295</v>
      </c>
      <c r="J1897" s="12">
        <v>46266</v>
      </c>
      <c r="K1897" s="13">
        <f>INDEX(Assumptions!$B$4:$B$23,MATCH(F1897,Assumptions!$A$4:$A$23,0))</f>
        <v>4.4444444444444453E-2</v>
      </c>
      <c r="L1897" s="14">
        <f t="shared" si="58"/>
        <v>2.2177777777777781</v>
      </c>
      <c r="M1897" t="str">
        <f t="shared" si="59"/>
        <v>No</v>
      </c>
    </row>
    <row r="1898" spans="1:13" x14ac:dyDescent="0.25">
      <c r="A1898">
        <v>337712</v>
      </c>
      <c r="B1898" t="s">
        <v>5894</v>
      </c>
      <c r="C1898" t="s">
        <v>5895</v>
      </c>
      <c r="D1898" t="s">
        <v>6220</v>
      </c>
      <c r="E1898">
        <v>29.9</v>
      </c>
      <c r="F1898" t="s">
        <v>5194</v>
      </c>
      <c r="G1898" t="s">
        <v>5731</v>
      </c>
      <c r="H1898" t="s">
        <v>52</v>
      </c>
      <c r="I1898" s="11">
        <v>46295</v>
      </c>
      <c r="J1898" s="12">
        <v>46266</v>
      </c>
      <c r="K1898" s="13">
        <f>INDEX(Assumptions!$B$4:$B$23,MATCH(F1898,Assumptions!$A$4:$A$23,0))</f>
        <v>4.4444444444444453E-2</v>
      </c>
      <c r="L1898" s="14">
        <f t="shared" si="58"/>
        <v>1.328888888888889</v>
      </c>
      <c r="M1898" t="str">
        <f t="shared" si="59"/>
        <v>No</v>
      </c>
    </row>
    <row r="1899" spans="1:13" x14ac:dyDescent="0.25">
      <c r="A1899">
        <v>337711</v>
      </c>
      <c r="B1899" t="s">
        <v>5897</v>
      </c>
      <c r="C1899" t="s">
        <v>5898</v>
      </c>
      <c r="D1899" t="s">
        <v>6220</v>
      </c>
      <c r="E1899">
        <v>24.9</v>
      </c>
      <c r="F1899" t="s">
        <v>5194</v>
      </c>
      <c r="G1899" t="s">
        <v>5731</v>
      </c>
      <c r="H1899" t="s">
        <v>52</v>
      </c>
      <c r="I1899" s="11">
        <v>46295</v>
      </c>
      <c r="J1899" s="12">
        <v>46266</v>
      </c>
      <c r="K1899" s="13">
        <f>INDEX(Assumptions!$B$4:$B$23,MATCH(F1899,Assumptions!$A$4:$A$23,0))</f>
        <v>4.4444444444444453E-2</v>
      </c>
      <c r="L1899" s="14">
        <f t="shared" si="58"/>
        <v>1.1066666666666669</v>
      </c>
      <c r="M1899" t="str">
        <f t="shared" si="59"/>
        <v>No</v>
      </c>
    </row>
    <row r="1900" spans="1:13" x14ac:dyDescent="0.25">
      <c r="A1900">
        <v>337710</v>
      </c>
      <c r="B1900" t="s">
        <v>5900</v>
      </c>
      <c r="C1900" t="s">
        <v>5901</v>
      </c>
      <c r="D1900" t="s">
        <v>6220</v>
      </c>
      <c r="E1900">
        <v>129.9</v>
      </c>
      <c r="F1900" t="s">
        <v>5194</v>
      </c>
      <c r="G1900" t="s">
        <v>5731</v>
      </c>
      <c r="H1900" t="s">
        <v>52</v>
      </c>
      <c r="I1900" s="11">
        <v>46295</v>
      </c>
      <c r="J1900" s="12">
        <v>46266</v>
      </c>
      <c r="K1900" s="13">
        <f>INDEX(Assumptions!$B$4:$B$23,MATCH(F1900,Assumptions!$A$4:$A$23,0))</f>
        <v>4.4444444444444453E-2</v>
      </c>
      <c r="L1900" s="14">
        <f t="shared" si="58"/>
        <v>5.7733333333333343</v>
      </c>
      <c r="M1900" t="str">
        <f t="shared" si="59"/>
        <v>No</v>
      </c>
    </row>
    <row r="1901" spans="1:13" x14ac:dyDescent="0.25">
      <c r="A1901">
        <v>337709</v>
      </c>
      <c r="B1901" t="s">
        <v>5903</v>
      </c>
      <c r="C1901" t="s">
        <v>5904</v>
      </c>
      <c r="D1901" t="s">
        <v>6220</v>
      </c>
      <c r="E1901">
        <v>32.9</v>
      </c>
      <c r="F1901" t="s">
        <v>5194</v>
      </c>
      <c r="G1901" t="s">
        <v>5731</v>
      </c>
      <c r="H1901" t="s">
        <v>52</v>
      </c>
      <c r="I1901" s="11">
        <v>46295</v>
      </c>
      <c r="J1901" s="12">
        <v>46266</v>
      </c>
      <c r="K1901" s="13">
        <f>INDEX(Assumptions!$B$4:$B$23,MATCH(F1901,Assumptions!$A$4:$A$23,0))</f>
        <v>4.4444444444444453E-2</v>
      </c>
      <c r="L1901" s="14">
        <f t="shared" si="58"/>
        <v>1.4622222222222225</v>
      </c>
      <c r="M1901" t="str">
        <f t="shared" si="59"/>
        <v>No</v>
      </c>
    </row>
    <row r="1902" spans="1:13" x14ac:dyDescent="0.25">
      <c r="A1902">
        <v>337708</v>
      </c>
      <c r="B1902" t="s">
        <v>5907</v>
      </c>
      <c r="C1902" t="s">
        <v>5908</v>
      </c>
      <c r="D1902" t="s">
        <v>6220</v>
      </c>
      <c r="E1902">
        <v>21.9</v>
      </c>
      <c r="F1902" t="s">
        <v>5194</v>
      </c>
      <c r="G1902" t="s">
        <v>5731</v>
      </c>
      <c r="H1902" t="s">
        <v>52</v>
      </c>
      <c r="I1902" s="11">
        <v>46295</v>
      </c>
      <c r="J1902" s="12">
        <v>46266</v>
      </c>
      <c r="K1902" s="13">
        <f>INDEX(Assumptions!$B$4:$B$23,MATCH(F1902,Assumptions!$A$4:$A$23,0))</f>
        <v>4.4444444444444453E-2</v>
      </c>
      <c r="L1902" s="14">
        <f t="shared" si="58"/>
        <v>0.97333333333333349</v>
      </c>
      <c r="M1902" t="str">
        <f t="shared" si="59"/>
        <v>No</v>
      </c>
    </row>
    <row r="1903" spans="1:13" x14ac:dyDescent="0.25">
      <c r="A1903">
        <v>337707</v>
      </c>
      <c r="B1903" t="s">
        <v>5910</v>
      </c>
      <c r="C1903" t="s">
        <v>5911</v>
      </c>
      <c r="D1903" t="s">
        <v>6220</v>
      </c>
      <c r="E1903">
        <v>49.9</v>
      </c>
      <c r="F1903" t="s">
        <v>5194</v>
      </c>
      <c r="G1903" t="s">
        <v>5731</v>
      </c>
      <c r="H1903" t="s">
        <v>52</v>
      </c>
      <c r="I1903" s="11">
        <v>46295</v>
      </c>
      <c r="J1903" s="12">
        <v>46266</v>
      </c>
      <c r="K1903" s="13">
        <f>INDEX(Assumptions!$B$4:$B$23,MATCH(F1903,Assumptions!$A$4:$A$23,0))</f>
        <v>4.4444444444444453E-2</v>
      </c>
      <c r="L1903" s="14">
        <f t="shared" si="58"/>
        <v>2.2177777777777781</v>
      </c>
      <c r="M1903" t="str">
        <f t="shared" si="59"/>
        <v>No</v>
      </c>
    </row>
    <row r="1904" spans="1:13" x14ac:dyDescent="0.25">
      <c r="A1904">
        <v>337706</v>
      </c>
      <c r="B1904" t="s">
        <v>5913</v>
      </c>
      <c r="C1904" t="s">
        <v>5914</v>
      </c>
      <c r="D1904" t="s">
        <v>6220</v>
      </c>
      <c r="E1904">
        <v>319</v>
      </c>
      <c r="F1904" t="s">
        <v>5194</v>
      </c>
      <c r="G1904" t="s">
        <v>5731</v>
      </c>
      <c r="H1904" t="s">
        <v>52</v>
      </c>
      <c r="I1904" s="11">
        <v>46295</v>
      </c>
      <c r="J1904" s="12">
        <v>46266</v>
      </c>
      <c r="K1904" s="13">
        <f>INDEX(Assumptions!$B$4:$B$23,MATCH(F1904,Assumptions!$A$4:$A$23,0))</f>
        <v>4.4444444444444453E-2</v>
      </c>
      <c r="L1904" s="14">
        <f t="shared" si="58"/>
        <v>14.177777777777781</v>
      </c>
      <c r="M1904" t="str">
        <f t="shared" si="59"/>
        <v>No</v>
      </c>
    </row>
    <row r="1905" spans="1:13" x14ac:dyDescent="0.25">
      <c r="A1905">
        <v>337705</v>
      </c>
      <c r="B1905" t="s">
        <v>5917</v>
      </c>
      <c r="C1905" t="s">
        <v>5918</v>
      </c>
      <c r="D1905" t="s">
        <v>6220</v>
      </c>
      <c r="E1905">
        <v>259</v>
      </c>
      <c r="F1905" t="s">
        <v>5194</v>
      </c>
      <c r="G1905" t="s">
        <v>5731</v>
      </c>
      <c r="H1905" t="s">
        <v>52</v>
      </c>
      <c r="I1905" s="11">
        <v>46295</v>
      </c>
      <c r="J1905" s="12">
        <v>46266</v>
      </c>
      <c r="K1905" s="13">
        <f>INDEX(Assumptions!$B$4:$B$23,MATCH(F1905,Assumptions!$A$4:$A$23,0))</f>
        <v>4.4444444444444453E-2</v>
      </c>
      <c r="L1905" s="14">
        <f t="shared" si="58"/>
        <v>11.511111111111113</v>
      </c>
      <c r="M1905" t="str">
        <f t="shared" si="59"/>
        <v>No</v>
      </c>
    </row>
    <row r="1906" spans="1:13" x14ac:dyDescent="0.25">
      <c r="A1906">
        <v>337704</v>
      </c>
      <c r="B1906" t="s">
        <v>5920</v>
      </c>
      <c r="C1906" t="s">
        <v>5921</v>
      </c>
      <c r="D1906" t="s">
        <v>6220</v>
      </c>
      <c r="E1906">
        <v>47.9</v>
      </c>
      <c r="F1906" t="s">
        <v>5194</v>
      </c>
      <c r="G1906" t="s">
        <v>5731</v>
      </c>
      <c r="H1906" t="s">
        <v>52</v>
      </c>
      <c r="I1906" s="11">
        <v>46295</v>
      </c>
      <c r="J1906" s="12">
        <v>46266</v>
      </c>
      <c r="K1906" s="13">
        <f>INDEX(Assumptions!$B$4:$B$23,MATCH(F1906,Assumptions!$A$4:$A$23,0))</f>
        <v>4.4444444444444453E-2</v>
      </c>
      <c r="L1906" s="14">
        <f t="shared" si="58"/>
        <v>2.1288888888888891</v>
      </c>
      <c r="M1906" t="str">
        <f t="shared" si="59"/>
        <v>No</v>
      </c>
    </row>
    <row r="1907" spans="1:13" x14ac:dyDescent="0.25">
      <c r="A1907">
        <v>337703</v>
      </c>
      <c r="B1907" t="s">
        <v>3884</v>
      </c>
      <c r="C1907" t="s">
        <v>5923</v>
      </c>
      <c r="D1907" t="s">
        <v>6220</v>
      </c>
      <c r="E1907">
        <v>54.9</v>
      </c>
      <c r="F1907" t="s">
        <v>5194</v>
      </c>
      <c r="G1907" t="s">
        <v>5731</v>
      </c>
      <c r="H1907" t="s">
        <v>52</v>
      </c>
      <c r="I1907" s="11">
        <v>46295</v>
      </c>
      <c r="J1907" s="12">
        <v>46266</v>
      </c>
      <c r="K1907" s="13">
        <f>INDEX(Assumptions!$B$4:$B$23,MATCH(F1907,Assumptions!$A$4:$A$23,0))</f>
        <v>4.4444444444444453E-2</v>
      </c>
      <c r="L1907" s="14">
        <f t="shared" si="58"/>
        <v>2.4400000000000004</v>
      </c>
      <c r="M1907" t="str">
        <f t="shared" si="59"/>
        <v>No</v>
      </c>
    </row>
    <row r="1908" spans="1:13" x14ac:dyDescent="0.25">
      <c r="A1908">
        <v>337702</v>
      </c>
      <c r="B1908" t="s">
        <v>5925</v>
      </c>
      <c r="C1908" t="s">
        <v>5926</v>
      </c>
      <c r="D1908" t="s">
        <v>6220</v>
      </c>
      <c r="E1908">
        <v>29.9</v>
      </c>
      <c r="F1908" t="s">
        <v>5194</v>
      </c>
      <c r="G1908" t="s">
        <v>5731</v>
      </c>
      <c r="H1908" t="s">
        <v>52</v>
      </c>
      <c r="I1908" s="11">
        <v>46295</v>
      </c>
      <c r="J1908" s="12">
        <v>46266</v>
      </c>
      <c r="K1908" s="13">
        <f>INDEX(Assumptions!$B$4:$B$23,MATCH(F1908,Assumptions!$A$4:$A$23,0))</f>
        <v>4.4444444444444453E-2</v>
      </c>
      <c r="L1908" s="14">
        <f t="shared" si="58"/>
        <v>1.328888888888889</v>
      </c>
      <c r="M1908" t="str">
        <f t="shared" si="59"/>
        <v>No</v>
      </c>
    </row>
    <row r="1909" spans="1:13" x14ac:dyDescent="0.25">
      <c r="A1909">
        <v>337701</v>
      </c>
      <c r="B1909" t="s">
        <v>5928</v>
      </c>
      <c r="C1909" t="s">
        <v>5929</v>
      </c>
      <c r="D1909" t="s">
        <v>6220</v>
      </c>
      <c r="E1909">
        <v>23.9</v>
      </c>
      <c r="F1909" t="s">
        <v>5194</v>
      </c>
      <c r="G1909" t="s">
        <v>5731</v>
      </c>
      <c r="H1909" t="s">
        <v>52</v>
      </c>
      <c r="I1909" s="11">
        <v>46295</v>
      </c>
      <c r="J1909" s="12">
        <v>46266</v>
      </c>
      <c r="K1909" s="13">
        <f>INDEX(Assumptions!$B$4:$B$23,MATCH(F1909,Assumptions!$A$4:$A$23,0))</f>
        <v>4.4444444444444453E-2</v>
      </c>
      <c r="L1909" s="14">
        <f t="shared" si="58"/>
        <v>1.0622222222222224</v>
      </c>
      <c r="M1909" t="str">
        <f t="shared" si="59"/>
        <v>No</v>
      </c>
    </row>
    <row r="1910" spans="1:13" x14ac:dyDescent="0.25">
      <c r="A1910">
        <v>337698</v>
      </c>
      <c r="B1910" t="s">
        <v>5931</v>
      </c>
      <c r="C1910" t="s">
        <v>5932</v>
      </c>
      <c r="D1910" t="s">
        <v>6220</v>
      </c>
      <c r="E1910">
        <v>3.99</v>
      </c>
      <c r="F1910" t="s">
        <v>50</v>
      </c>
      <c r="G1910" t="s">
        <v>5933</v>
      </c>
      <c r="H1910" t="s">
        <v>5488</v>
      </c>
      <c r="I1910" s="11">
        <v>46294</v>
      </c>
      <c r="J1910" s="12">
        <v>46266</v>
      </c>
      <c r="K1910" s="13">
        <f>INDEX(Assumptions!$B$4:$B$23,MATCH(F1910,Assumptions!$A$4:$A$23,0))</f>
        <v>1.0869565217391299</v>
      </c>
      <c r="L1910" s="14">
        <f t="shared" si="58"/>
        <v>4.336956521739129</v>
      </c>
      <c r="M1910" t="str">
        <f t="shared" si="59"/>
        <v>No</v>
      </c>
    </row>
    <row r="1911" spans="1:13" x14ac:dyDescent="0.25">
      <c r="A1911">
        <v>337700</v>
      </c>
      <c r="B1911" t="s">
        <v>5935</v>
      </c>
      <c r="C1911" t="s">
        <v>5936</v>
      </c>
      <c r="D1911" t="s">
        <v>6220</v>
      </c>
      <c r="E1911">
        <v>1.5</v>
      </c>
      <c r="F1911" t="s">
        <v>50</v>
      </c>
      <c r="G1911" t="s">
        <v>5933</v>
      </c>
      <c r="H1911" t="s">
        <v>5488</v>
      </c>
      <c r="I1911" s="11">
        <v>46294</v>
      </c>
      <c r="J1911" s="12">
        <v>46266</v>
      </c>
      <c r="K1911" s="13">
        <f>INDEX(Assumptions!$B$4:$B$23,MATCH(F1911,Assumptions!$A$4:$A$23,0))</f>
        <v>1.0869565217391299</v>
      </c>
      <c r="L1911" s="14">
        <f t="shared" si="58"/>
        <v>1.6304347826086949</v>
      </c>
      <c r="M1911" t="str">
        <f t="shared" si="59"/>
        <v>No</v>
      </c>
    </row>
    <row r="1912" spans="1:13" x14ac:dyDescent="0.25">
      <c r="A1912">
        <v>337699</v>
      </c>
      <c r="B1912" t="s">
        <v>5938</v>
      </c>
      <c r="C1912" t="s">
        <v>5939</v>
      </c>
      <c r="D1912" t="s">
        <v>6220</v>
      </c>
      <c r="E1912">
        <v>2</v>
      </c>
      <c r="F1912" t="s">
        <v>50</v>
      </c>
      <c r="G1912" t="s">
        <v>5933</v>
      </c>
      <c r="H1912" t="s">
        <v>5488</v>
      </c>
      <c r="I1912" s="11">
        <v>46294</v>
      </c>
      <c r="J1912" s="12">
        <v>46266</v>
      </c>
      <c r="K1912" s="13">
        <f>INDEX(Assumptions!$B$4:$B$23,MATCH(F1912,Assumptions!$A$4:$A$23,0))</f>
        <v>1.0869565217391299</v>
      </c>
      <c r="L1912" s="14">
        <f t="shared" si="58"/>
        <v>2.1739130434782599</v>
      </c>
      <c r="M1912" t="str">
        <f t="shared" si="59"/>
        <v>No</v>
      </c>
    </row>
    <row r="1913" spans="1:13" x14ac:dyDescent="0.25">
      <c r="A1913">
        <v>337697</v>
      </c>
      <c r="B1913" t="s">
        <v>5941</v>
      </c>
      <c r="C1913" t="s">
        <v>5942</v>
      </c>
      <c r="D1913" t="s">
        <v>6220</v>
      </c>
      <c r="E1913">
        <v>2.95</v>
      </c>
      <c r="F1913" t="s">
        <v>50</v>
      </c>
      <c r="G1913" t="s">
        <v>5933</v>
      </c>
      <c r="H1913" t="s">
        <v>5488</v>
      </c>
      <c r="I1913" s="11">
        <v>46294</v>
      </c>
      <c r="J1913" s="12">
        <v>46266</v>
      </c>
      <c r="K1913" s="13">
        <f>INDEX(Assumptions!$B$4:$B$23,MATCH(F1913,Assumptions!$A$4:$A$23,0))</f>
        <v>1.0869565217391299</v>
      </c>
      <c r="L1913" s="14">
        <f t="shared" si="58"/>
        <v>3.2065217391304337</v>
      </c>
      <c r="M1913" t="str">
        <f t="shared" si="59"/>
        <v>No</v>
      </c>
    </row>
    <row r="1914" spans="1:13" x14ac:dyDescent="0.25">
      <c r="A1914">
        <v>337696</v>
      </c>
      <c r="B1914" t="s">
        <v>5944</v>
      </c>
      <c r="C1914" t="s">
        <v>5945</v>
      </c>
      <c r="D1914" t="s">
        <v>6220</v>
      </c>
      <c r="E1914">
        <v>2.57</v>
      </c>
      <c r="F1914" t="s">
        <v>50</v>
      </c>
      <c r="G1914" t="s">
        <v>5947</v>
      </c>
      <c r="H1914" t="s">
        <v>136</v>
      </c>
      <c r="I1914" s="11">
        <v>46295</v>
      </c>
      <c r="J1914" s="12">
        <v>46266</v>
      </c>
      <c r="K1914" s="13">
        <f>INDEX(Assumptions!$B$4:$B$23,MATCH(F1914,Assumptions!$A$4:$A$23,0))</f>
        <v>1.0869565217391299</v>
      </c>
      <c r="L1914" s="14">
        <f t="shared" si="58"/>
        <v>2.7934782608695636</v>
      </c>
      <c r="M1914" t="str">
        <f t="shared" si="59"/>
        <v>No</v>
      </c>
    </row>
    <row r="1915" spans="1:13" x14ac:dyDescent="0.25">
      <c r="A1915">
        <v>337695</v>
      </c>
      <c r="B1915" t="s">
        <v>5949</v>
      </c>
      <c r="C1915" t="s">
        <v>5950</v>
      </c>
      <c r="D1915" t="s">
        <v>6220</v>
      </c>
      <c r="E1915">
        <v>2.64</v>
      </c>
      <c r="F1915" t="s">
        <v>50</v>
      </c>
      <c r="G1915" t="s">
        <v>5947</v>
      </c>
      <c r="H1915" t="s">
        <v>136</v>
      </c>
      <c r="I1915" s="11">
        <v>46295</v>
      </c>
      <c r="J1915" s="12">
        <v>46266</v>
      </c>
      <c r="K1915" s="13">
        <f>INDEX(Assumptions!$B$4:$B$23,MATCH(F1915,Assumptions!$A$4:$A$23,0))</f>
        <v>1.0869565217391299</v>
      </c>
      <c r="L1915" s="14">
        <f t="shared" si="58"/>
        <v>2.8695652173913033</v>
      </c>
      <c r="M1915" t="str">
        <f t="shared" si="59"/>
        <v>No</v>
      </c>
    </row>
    <row r="1916" spans="1:13" x14ac:dyDescent="0.25">
      <c r="A1916">
        <v>337694</v>
      </c>
      <c r="B1916" t="s">
        <v>5953</v>
      </c>
      <c r="C1916" t="s">
        <v>5954</v>
      </c>
      <c r="D1916" t="s">
        <v>6220</v>
      </c>
      <c r="E1916">
        <v>2.4300000000000002</v>
      </c>
      <c r="F1916" t="s">
        <v>50</v>
      </c>
      <c r="G1916" t="s">
        <v>5947</v>
      </c>
      <c r="H1916" t="s">
        <v>136</v>
      </c>
      <c r="I1916" s="11">
        <v>46295</v>
      </c>
      <c r="J1916" s="12">
        <v>46266</v>
      </c>
      <c r="K1916" s="13">
        <f>INDEX(Assumptions!$B$4:$B$23,MATCH(F1916,Assumptions!$A$4:$A$23,0))</f>
        <v>1.0869565217391299</v>
      </c>
      <c r="L1916" s="14">
        <f t="shared" si="58"/>
        <v>2.641304347826086</v>
      </c>
      <c r="M1916" t="str">
        <f t="shared" si="59"/>
        <v>No</v>
      </c>
    </row>
    <row r="1917" spans="1:13" x14ac:dyDescent="0.25">
      <c r="A1917">
        <v>337693</v>
      </c>
      <c r="B1917" t="s">
        <v>5956</v>
      </c>
      <c r="C1917" t="s">
        <v>5957</v>
      </c>
      <c r="D1917" t="s">
        <v>6220</v>
      </c>
      <c r="E1917">
        <v>2.92</v>
      </c>
      <c r="F1917" t="s">
        <v>50</v>
      </c>
      <c r="G1917" t="s">
        <v>5947</v>
      </c>
      <c r="H1917" t="s">
        <v>136</v>
      </c>
      <c r="I1917" s="11">
        <v>46295</v>
      </c>
      <c r="J1917" s="12">
        <v>46266</v>
      </c>
      <c r="K1917" s="13">
        <f>INDEX(Assumptions!$B$4:$B$23,MATCH(F1917,Assumptions!$A$4:$A$23,0))</f>
        <v>1.0869565217391299</v>
      </c>
      <c r="L1917" s="14">
        <f t="shared" si="58"/>
        <v>3.1739130434782594</v>
      </c>
      <c r="M1917" t="str">
        <f t="shared" si="59"/>
        <v>No</v>
      </c>
    </row>
    <row r="1918" spans="1:13" x14ac:dyDescent="0.25">
      <c r="A1918">
        <v>337692</v>
      </c>
      <c r="B1918" t="s">
        <v>5959</v>
      </c>
      <c r="C1918" t="s">
        <v>5960</v>
      </c>
      <c r="D1918" t="s">
        <v>6220</v>
      </c>
      <c r="E1918">
        <v>2.89</v>
      </c>
      <c r="F1918" t="s">
        <v>50</v>
      </c>
      <c r="G1918" t="s">
        <v>5947</v>
      </c>
      <c r="H1918" t="s">
        <v>136</v>
      </c>
      <c r="I1918" s="11">
        <v>46295</v>
      </c>
      <c r="J1918" s="12">
        <v>46266</v>
      </c>
      <c r="K1918" s="13">
        <f>INDEX(Assumptions!$B$4:$B$23,MATCH(F1918,Assumptions!$A$4:$A$23,0))</f>
        <v>1.0869565217391299</v>
      </c>
      <c r="L1918" s="14">
        <f t="shared" si="58"/>
        <v>3.1413043478260856</v>
      </c>
      <c r="M1918" t="str">
        <f t="shared" si="59"/>
        <v>No</v>
      </c>
    </row>
    <row r="1919" spans="1:13" x14ac:dyDescent="0.25">
      <c r="A1919">
        <v>337691</v>
      </c>
      <c r="B1919" t="s">
        <v>5962</v>
      </c>
      <c r="C1919" t="s">
        <v>5963</v>
      </c>
      <c r="D1919" t="s">
        <v>6220</v>
      </c>
      <c r="E1919">
        <v>1.9</v>
      </c>
      <c r="F1919" t="s">
        <v>50</v>
      </c>
      <c r="G1919" t="s">
        <v>5947</v>
      </c>
      <c r="H1919" t="s">
        <v>136</v>
      </c>
      <c r="I1919" s="11">
        <v>46295</v>
      </c>
      <c r="J1919" s="12">
        <v>46266</v>
      </c>
      <c r="K1919" s="13">
        <f>INDEX(Assumptions!$B$4:$B$23,MATCH(F1919,Assumptions!$A$4:$A$23,0))</f>
        <v>1.0869565217391299</v>
      </c>
      <c r="L1919" s="14">
        <f t="shared" si="58"/>
        <v>2.0652173913043468</v>
      </c>
      <c r="M1919" t="str">
        <f t="shared" si="59"/>
        <v>No</v>
      </c>
    </row>
    <row r="1920" spans="1:13" x14ac:dyDescent="0.25">
      <c r="A1920">
        <v>337690</v>
      </c>
      <c r="B1920" t="s">
        <v>5965</v>
      </c>
      <c r="C1920" t="s">
        <v>5966</v>
      </c>
      <c r="D1920" t="s">
        <v>6220</v>
      </c>
      <c r="E1920">
        <v>2.97</v>
      </c>
      <c r="F1920" t="s">
        <v>50</v>
      </c>
      <c r="G1920" t="s">
        <v>5947</v>
      </c>
      <c r="H1920" t="s">
        <v>136</v>
      </c>
      <c r="I1920" s="11">
        <v>46295</v>
      </c>
      <c r="J1920" s="12">
        <v>46266</v>
      </c>
      <c r="K1920" s="13">
        <f>INDEX(Assumptions!$B$4:$B$23,MATCH(F1920,Assumptions!$A$4:$A$23,0))</f>
        <v>1.0869565217391299</v>
      </c>
      <c r="L1920" s="14">
        <f t="shared" si="58"/>
        <v>3.228260869565216</v>
      </c>
      <c r="M1920" t="str">
        <f t="shared" si="59"/>
        <v>No</v>
      </c>
    </row>
    <row r="1921" spans="1:13" x14ac:dyDescent="0.25">
      <c r="A1921">
        <v>337689</v>
      </c>
      <c r="B1921" t="s">
        <v>5969</v>
      </c>
      <c r="C1921" t="s">
        <v>5970</v>
      </c>
      <c r="D1921" t="s">
        <v>6220</v>
      </c>
      <c r="E1921">
        <v>1.71</v>
      </c>
      <c r="F1921" t="s">
        <v>50</v>
      </c>
      <c r="G1921" t="s">
        <v>5947</v>
      </c>
      <c r="H1921" t="s">
        <v>136</v>
      </c>
      <c r="I1921" s="11">
        <v>46295</v>
      </c>
      <c r="J1921" s="12">
        <v>46266</v>
      </c>
      <c r="K1921" s="13">
        <f>INDEX(Assumptions!$B$4:$B$23,MATCH(F1921,Assumptions!$A$4:$A$23,0))</f>
        <v>1.0869565217391299</v>
      </c>
      <c r="L1921" s="14">
        <f t="shared" si="58"/>
        <v>1.8586956521739122</v>
      </c>
      <c r="M1921" t="str">
        <f t="shared" si="59"/>
        <v>No</v>
      </c>
    </row>
    <row r="1922" spans="1:13" x14ac:dyDescent="0.25">
      <c r="A1922">
        <v>337688</v>
      </c>
      <c r="B1922" t="s">
        <v>5972</v>
      </c>
      <c r="C1922" t="s">
        <v>5973</v>
      </c>
      <c r="D1922" t="s">
        <v>6220</v>
      </c>
      <c r="E1922">
        <v>1.42</v>
      </c>
      <c r="F1922" t="s">
        <v>50</v>
      </c>
      <c r="G1922" t="s">
        <v>5947</v>
      </c>
      <c r="H1922" t="s">
        <v>136</v>
      </c>
      <c r="I1922" s="11">
        <v>46295</v>
      </c>
      <c r="J1922" s="12">
        <v>46266</v>
      </c>
      <c r="K1922" s="13">
        <f>INDEX(Assumptions!$B$4:$B$23,MATCH(F1922,Assumptions!$A$4:$A$23,0))</f>
        <v>1.0869565217391299</v>
      </c>
      <c r="L1922" s="14">
        <f t="shared" ref="L1922:L1985" si="60">E1922*K1922</f>
        <v>1.5434782608695645</v>
      </c>
      <c r="M1922" t="str">
        <f t="shared" ref="M1922:M1985" si="61">IF(C1922="Unnamed product","Yes","No")</f>
        <v>No</v>
      </c>
    </row>
    <row r="1923" spans="1:13" x14ac:dyDescent="0.25">
      <c r="A1923">
        <v>337687</v>
      </c>
      <c r="B1923" t="s">
        <v>553</v>
      </c>
      <c r="C1923" t="s">
        <v>5975</v>
      </c>
      <c r="D1923" t="s">
        <v>6220</v>
      </c>
      <c r="E1923">
        <v>2.71</v>
      </c>
      <c r="F1923" t="s">
        <v>50</v>
      </c>
      <c r="G1923" t="s">
        <v>5947</v>
      </c>
      <c r="H1923" t="s">
        <v>136</v>
      </c>
      <c r="I1923" s="11">
        <v>46295</v>
      </c>
      <c r="J1923" s="12">
        <v>46266</v>
      </c>
      <c r="K1923" s="13">
        <f>INDEX(Assumptions!$B$4:$B$23,MATCH(F1923,Assumptions!$A$4:$A$23,0))</f>
        <v>1.0869565217391299</v>
      </c>
      <c r="L1923" s="14">
        <f t="shared" si="60"/>
        <v>2.9456521739130421</v>
      </c>
      <c r="M1923" t="str">
        <f t="shared" si="61"/>
        <v>No</v>
      </c>
    </row>
    <row r="1924" spans="1:13" x14ac:dyDescent="0.25">
      <c r="A1924">
        <v>337686</v>
      </c>
      <c r="B1924" t="s">
        <v>5978</v>
      </c>
      <c r="C1924" t="s">
        <v>5979</v>
      </c>
      <c r="D1924" t="s">
        <v>6220</v>
      </c>
      <c r="E1924">
        <v>2.36</v>
      </c>
      <c r="F1924" t="s">
        <v>50</v>
      </c>
      <c r="G1924" t="s">
        <v>5947</v>
      </c>
      <c r="H1924" t="s">
        <v>136</v>
      </c>
      <c r="I1924" s="11">
        <v>46295</v>
      </c>
      <c r="J1924" s="12">
        <v>46266</v>
      </c>
      <c r="K1924" s="13">
        <f>INDEX(Assumptions!$B$4:$B$23,MATCH(F1924,Assumptions!$A$4:$A$23,0))</f>
        <v>1.0869565217391299</v>
      </c>
      <c r="L1924" s="14">
        <f t="shared" si="60"/>
        <v>2.5652173913043463</v>
      </c>
      <c r="M1924" t="str">
        <f t="shared" si="61"/>
        <v>No</v>
      </c>
    </row>
    <row r="1925" spans="1:13" x14ac:dyDescent="0.25">
      <c r="A1925">
        <v>337685</v>
      </c>
      <c r="B1925" t="s">
        <v>5981</v>
      </c>
      <c r="C1925" t="s">
        <v>5982</v>
      </c>
      <c r="D1925" t="s">
        <v>6220</v>
      </c>
      <c r="E1925">
        <v>2.1800000000000002</v>
      </c>
      <c r="F1925" t="s">
        <v>50</v>
      </c>
      <c r="G1925" t="s">
        <v>5947</v>
      </c>
      <c r="H1925" t="s">
        <v>136</v>
      </c>
      <c r="I1925" s="11">
        <v>46295</v>
      </c>
      <c r="J1925" s="12">
        <v>46266</v>
      </c>
      <c r="K1925" s="13">
        <f>INDEX(Assumptions!$B$4:$B$23,MATCH(F1925,Assumptions!$A$4:$A$23,0))</f>
        <v>1.0869565217391299</v>
      </c>
      <c r="L1925" s="14">
        <f t="shared" si="60"/>
        <v>2.3695652173913033</v>
      </c>
      <c r="M1925" t="str">
        <f t="shared" si="61"/>
        <v>No</v>
      </c>
    </row>
    <row r="1926" spans="1:13" x14ac:dyDescent="0.25">
      <c r="A1926">
        <v>337684</v>
      </c>
      <c r="B1926" t="s">
        <v>1138</v>
      </c>
      <c r="C1926" t="s">
        <v>5984</v>
      </c>
      <c r="D1926" t="s">
        <v>6220</v>
      </c>
      <c r="E1926">
        <v>2.93</v>
      </c>
      <c r="F1926" t="s">
        <v>50</v>
      </c>
      <c r="G1926" t="s">
        <v>5947</v>
      </c>
      <c r="H1926" t="s">
        <v>136</v>
      </c>
      <c r="I1926" s="11">
        <v>46295</v>
      </c>
      <c r="J1926" s="12">
        <v>46266</v>
      </c>
      <c r="K1926" s="13">
        <f>INDEX(Assumptions!$B$4:$B$23,MATCH(F1926,Assumptions!$A$4:$A$23,0))</f>
        <v>1.0869565217391299</v>
      </c>
      <c r="L1926" s="14">
        <f t="shared" si="60"/>
        <v>3.184782608695651</v>
      </c>
      <c r="M1926" t="str">
        <f t="shared" si="61"/>
        <v>No</v>
      </c>
    </row>
    <row r="1927" spans="1:13" x14ac:dyDescent="0.25">
      <c r="A1927">
        <v>337683</v>
      </c>
      <c r="B1927" t="s">
        <v>5987</v>
      </c>
      <c r="C1927" t="s">
        <v>5988</v>
      </c>
      <c r="D1927" t="s">
        <v>6220</v>
      </c>
      <c r="E1927">
        <v>1.65</v>
      </c>
      <c r="F1927" t="s">
        <v>50</v>
      </c>
      <c r="G1927" t="s">
        <v>5947</v>
      </c>
      <c r="H1927" t="s">
        <v>136</v>
      </c>
      <c r="I1927" s="11">
        <v>46295</v>
      </c>
      <c r="J1927" s="12">
        <v>46266</v>
      </c>
      <c r="K1927" s="13">
        <f>INDEX(Assumptions!$B$4:$B$23,MATCH(F1927,Assumptions!$A$4:$A$23,0))</f>
        <v>1.0869565217391299</v>
      </c>
      <c r="L1927" s="14">
        <f t="shared" si="60"/>
        <v>1.7934782608695643</v>
      </c>
      <c r="M1927" t="str">
        <f t="shared" si="61"/>
        <v>No</v>
      </c>
    </row>
    <row r="1928" spans="1:13" x14ac:dyDescent="0.25">
      <c r="A1928">
        <v>337682</v>
      </c>
      <c r="B1928" t="s">
        <v>5990</v>
      </c>
      <c r="C1928" t="s">
        <v>5991</v>
      </c>
      <c r="D1928" t="s">
        <v>6220</v>
      </c>
      <c r="E1928">
        <v>4.09</v>
      </c>
      <c r="F1928" t="s">
        <v>50</v>
      </c>
      <c r="G1928" t="s">
        <v>5947</v>
      </c>
      <c r="H1928" t="s">
        <v>136</v>
      </c>
      <c r="I1928" s="11">
        <v>46295</v>
      </c>
      <c r="J1928" s="12">
        <v>46266</v>
      </c>
      <c r="K1928" s="13">
        <f>INDEX(Assumptions!$B$4:$B$23,MATCH(F1928,Assumptions!$A$4:$A$23,0))</f>
        <v>1.0869565217391299</v>
      </c>
      <c r="L1928" s="14">
        <f t="shared" si="60"/>
        <v>4.4456521739130412</v>
      </c>
      <c r="M1928" t="str">
        <f t="shared" si="61"/>
        <v>No</v>
      </c>
    </row>
    <row r="1929" spans="1:13" x14ac:dyDescent="0.25">
      <c r="A1929">
        <v>337681</v>
      </c>
      <c r="B1929" t="s">
        <v>622</v>
      </c>
      <c r="C1929" t="s">
        <v>5993</v>
      </c>
      <c r="D1929" t="s">
        <v>6220</v>
      </c>
      <c r="E1929">
        <v>4.1900000000000004</v>
      </c>
      <c r="F1929" t="s">
        <v>50</v>
      </c>
      <c r="G1929" t="s">
        <v>5947</v>
      </c>
      <c r="H1929" t="s">
        <v>136</v>
      </c>
      <c r="I1929" s="11">
        <v>46295</v>
      </c>
      <c r="J1929" s="12">
        <v>46266</v>
      </c>
      <c r="K1929" s="13">
        <f>INDEX(Assumptions!$B$4:$B$23,MATCH(F1929,Assumptions!$A$4:$A$23,0))</f>
        <v>1.0869565217391299</v>
      </c>
      <c r="L1929" s="14">
        <f t="shared" si="60"/>
        <v>4.5543478260869552</v>
      </c>
      <c r="M1929" t="str">
        <f t="shared" si="61"/>
        <v>No</v>
      </c>
    </row>
    <row r="1930" spans="1:13" x14ac:dyDescent="0.25">
      <c r="A1930">
        <v>337680</v>
      </c>
      <c r="B1930" t="s">
        <v>5995</v>
      </c>
      <c r="C1930" t="s">
        <v>5996</v>
      </c>
      <c r="D1930" t="s">
        <v>6220</v>
      </c>
      <c r="E1930">
        <v>2.41</v>
      </c>
      <c r="F1930" t="s">
        <v>50</v>
      </c>
      <c r="G1930" t="s">
        <v>5947</v>
      </c>
      <c r="H1930" t="s">
        <v>136</v>
      </c>
      <c r="I1930" s="11">
        <v>46295</v>
      </c>
      <c r="J1930" s="12">
        <v>46266</v>
      </c>
      <c r="K1930" s="13">
        <f>INDEX(Assumptions!$B$4:$B$23,MATCH(F1930,Assumptions!$A$4:$A$23,0))</f>
        <v>1.0869565217391299</v>
      </c>
      <c r="L1930" s="14">
        <f t="shared" si="60"/>
        <v>2.6195652173913033</v>
      </c>
      <c r="M1930" t="str">
        <f t="shared" si="61"/>
        <v>No</v>
      </c>
    </row>
    <row r="1931" spans="1:13" x14ac:dyDescent="0.25">
      <c r="A1931">
        <v>337679</v>
      </c>
      <c r="B1931" t="s">
        <v>5999</v>
      </c>
      <c r="C1931" t="s">
        <v>6000</v>
      </c>
      <c r="D1931" t="s">
        <v>6220</v>
      </c>
      <c r="E1931">
        <v>1.71</v>
      </c>
      <c r="F1931" t="s">
        <v>50</v>
      </c>
      <c r="G1931" t="s">
        <v>5947</v>
      </c>
      <c r="H1931" t="s">
        <v>136</v>
      </c>
      <c r="I1931" s="11">
        <v>46295</v>
      </c>
      <c r="J1931" s="12">
        <v>46266</v>
      </c>
      <c r="K1931" s="13">
        <f>INDEX(Assumptions!$B$4:$B$23,MATCH(F1931,Assumptions!$A$4:$A$23,0))</f>
        <v>1.0869565217391299</v>
      </c>
      <c r="L1931" s="14">
        <f t="shared" si="60"/>
        <v>1.8586956521739122</v>
      </c>
      <c r="M1931" t="str">
        <f t="shared" si="61"/>
        <v>No</v>
      </c>
    </row>
    <row r="1932" spans="1:13" x14ac:dyDescent="0.25">
      <c r="A1932">
        <v>337678</v>
      </c>
      <c r="B1932" t="s">
        <v>6002</v>
      </c>
      <c r="C1932" t="s">
        <v>6221</v>
      </c>
      <c r="D1932" t="s">
        <v>6220</v>
      </c>
      <c r="E1932">
        <v>3.95</v>
      </c>
      <c r="F1932" t="s">
        <v>50</v>
      </c>
      <c r="G1932" t="s">
        <v>6003</v>
      </c>
      <c r="H1932" t="s">
        <v>3493</v>
      </c>
      <c r="I1932" s="11">
        <v>46295</v>
      </c>
      <c r="J1932" s="12">
        <v>46266</v>
      </c>
      <c r="K1932" s="13">
        <f>INDEX(Assumptions!$B$4:$B$23,MATCH(F1932,Assumptions!$A$4:$A$23,0))</f>
        <v>1.0869565217391299</v>
      </c>
      <c r="L1932" s="14">
        <f t="shared" si="60"/>
        <v>4.2934782608695636</v>
      </c>
      <c r="M1932" t="str">
        <f t="shared" si="61"/>
        <v>Yes</v>
      </c>
    </row>
    <row r="1933" spans="1:13" x14ac:dyDescent="0.25">
      <c r="A1933">
        <v>337677</v>
      </c>
      <c r="B1933" t="s">
        <v>6005</v>
      </c>
      <c r="C1933" t="s">
        <v>6006</v>
      </c>
      <c r="D1933" t="s">
        <v>6220</v>
      </c>
      <c r="E1933">
        <v>0.89</v>
      </c>
      <c r="F1933" t="s">
        <v>50</v>
      </c>
      <c r="G1933" t="s">
        <v>5947</v>
      </c>
      <c r="H1933" t="s">
        <v>136</v>
      </c>
      <c r="I1933" s="11">
        <v>46295</v>
      </c>
      <c r="J1933" s="12">
        <v>46266</v>
      </c>
      <c r="K1933" s="13">
        <f>INDEX(Assumptions!$B$4:$B$23,MATCH(F1933,Assumptions!$A$4:$A$23,0))</f>
        <v>1.0869565217391299</v>
      </c>
      <c r="L1933" s="14">
        <f t="shared" si="60"/>
        <v>0.96739130434782561</v>
      </c>
      <c r="M1933" t="str">
        <f t="shared" si="61"/>
        <v>No</v>
      </c>
    </row>
    <row r="1934" spans="1:13" x14ac:dyDescent="0.25">
      <c r="A1934">
        <v>337676</v>
      </c>
      <c r="B1934" t="s">
        <v>6008</v>
      </c>
      <c r="C1934" t="s">
        <v>6009</v>
      </c>
      <c r="D1934" t="s">
        <v>6220</v>
      </c>
      <c r="E1934">
        <v>3.95</v>
      </c>
      <c r="F1934" t="s">
        <v>50</v>
      </c>
      <c r="G1934" t="s">
        <v>5947</v>
      </c>
      <c r="H1934" t="s">
        <v>136</v>
      </c>
      <c r="I1934" s="11">
        <v>46295</v>
      </c>
      <c r="J1934" s="12">
        <v>46266</v>
      </c>
      <c r="K1934" s="13">
        <f>INDEX(Assumptions!$B$4:$B$23,MATCH(F1934,Assumptions!$A$4:$A$23,0))</f>
        <v>1.0869565217391299</v>
      </c>
      <c r="L1934" s="14">
        <f t="shared" si="60"/>
        <v>4.2934782608695636</v>
      </c>
      <c r="M1934" t="str">
        <f t="shared" si="61"/>
        <v>No</v>
      </c>
    </row>
    <row r="1935" spans="1:13" x14ac:dyDescent="0.25">
      <c r="A1935">
        <v>337675</v>
      </c>
      <c r="B1935" t="s">
        <v>6011</v>
      </c>
      <c r="C1935" t="s">
        <v>6012</v>
      </c>
      <c r="D1935" t="s">
        <v>6220</v>
      </c>
      <c r="E1935">
        <v>2.87</v>
      </c>
      <c r="F1935" t="s">
        <v>50</v>
      </c>
      <c r="G1935" t="s">
        <v>5947</v>
      </c>
      <c r="H1935" t="s">
        <v>136</v>
      </c>
      <c r="I1935" s="11">
        <v>46295</v>
      </c>
      <c r="J1935" s="12">
        <v>46266</v>
      </c>
      <c r="K1935" s="13">
        <f>INDEX(Assumptions!$B$4:$B$23,MATCH(F1935,Assumptions!$A$4:$A$23,0))</f>
        <v>1.0869565217391299</v>
      </c>
      <c r="L1935" s="14">
        <f t="shared" si="60"/>
        <v>3.1195652173913029</v>
      </c>
      <c r="M1935" t="str">
        <f t="shared" si="61"/>
        <v>No</v>
      </c>
    </row>
    <row r="1936" spans="1:13" x14ac:dyDescent="0.25">
      <c r="A1936">
        <v>337674</v>
      </c>
      <c r="B1936" t="s">
        <v>6015</v>
      </c>
      <c r="C1936" t="s">
        <v>6016</v>
      </c>
      <c r="D1936" t="s">
        <v>6220</v>
      </c>
      <c r="E1936">
        <v>6.05</v>
      </c>
      <c r="F1936" t="s">
        <v>50</v>
      </c>
      <c r="G1936" t="s">
        <v>5947</v>
      </c>
      <c r="H1936" t="s">
        <v>136</v>
      </c>
      <c r="I1936" s="11">
        <v>46295</v>
      </c>
      <c r="J1936" s="12">
        <v>46266</v>
      </c>
      <c r="K1936" s="13">
        <f>INDEX(Assumptions!$B$4:$B$23,MATCH(F1936,Assumptions!$A$4:$A$23,0))</f>
        <v>1.0869565217391299</v>
      </c>
      <c r="L1936" s="14">
        <f t="shared" si="60"/>
        <v>6.5760869565217357</v>
      </c>
      <c r="M1936" t="str">
        <f t="shared" si="61"/>
        <v>No</v>
      </c>
    </row>
    <row r="1937" spans="1:13" x14ac:dyDescent="0.25">
      <c r="A1937">
        <v>337673</v>
      </c>
      <c r="B1937" t="s">
        <v>6018</v>
      </c>
      <c r="C1937" t="s">
        <v>6019</v>
      </c>
      <c r="D1937" t="s">
        <v>6220</v>
      </c>
      <c r="E1937">
        <v>6.8</v>
      </c>
      <c r="F1937" t="s">
        <v>50</v>
      </c>
      <c r="G1937" t="s">
        <v>5947</v>
      </c>
      <c r="H1937" t="s">
        <v>136</v>
      </c>
      <c r="I1937" s="11">
        <v>46295</v>
      </c>
      <c r="J1937" s="12">
        <v>46266</v>
      </c>
      <c r="K1937" s="13">
        <f>INDEX(Assumptions!$B$4:$B$23,MATCH(F1937,Assumptions!$A$4:$A$23,0))</f>
        <v>1.0869565217391299</v>
      </c>
      <c r="L1937" s="14">
        <f t="shared" si="60"/>
        <v>7.3913043478260834</v>
      </c>
      <c r="M1937" t="str">
        <f t="shared" si="61"/>
        <v>No</v>
      </c>
    </row>
    <row r="1938" spans="1:13" x14ac:dyDescent="0.25">
      <c r="A1938">
        <v>337672</v>
      </c>
      <c r="B1938" t="s">
        <v>6022</v>
      </c>
      <c r="C1938" t="s">
        <v>6023</v>
      </c>
      <c r="D1938" t="s">
        <v>6220</v>
      </c>
      <c r="E1938">
        <v>6.1</v>
      </c>
      <c r="F1938" t="s">
        <v>50</v>
      </c>
      <c r="G1938" t="s">
        <v>5947</v>
      </c>
      <c r="H1938" t="s">
        <v>136</v>
      </c>
      <c r="I1938" s="11">
        <v>46295</v>
      </c>
      <c r="J1938" s="12">
        <v>46266</v>
      </c>
      <c r="K1938" s="13">
        <f>INDEX(Assumptions!$B$4:$B$23,MATCH(F1938,Assumptions!$A$4:$A$23,0))</f>
        <v>1.0869565217391299</v>
      </c>
      <c r="L1938" s="14">
        <f t="shared" si="60"/>
        <v>6.6304347826086918</v>
      </c>
      <c r="M1938" t="str">
        <f t="shared" si="61"/>
        <v>No</v>
      </c>
    </row>
    <row r="1939" spans="1:13" x14ac:dyDescent="0.25">
      <c r="A1939">
        <v>337671</v>
      </c>
      <c r="B1939" t="s">
        <v>6026</v>
      </c>
      <c r="C1939" t="s">
        <v>6027</v>
      </c>
      <c r="D1939" t="s">
        <v>6220</v>
      </c>
      <c r="E1939">
        <v>2.54</v>
      </c>
      <c r="F1939" t="s">
        <v>50</v>
      </c>
      <c r="G1939" t="s">
        <v>5947</v>
      </c>
      <c r="H1939" t="s">
        <v>136</v>
      </c>
      <c r="I1939" s="11">
        <v>46295</v>
      </c>
      <c r="J1939" s="12">
        <v>46266</v>
      </c>
      <c r="K1939" s="13">
        <f>INDEX(Assumptions!$B$4:$B$23,MATCH(F1939,Assumptions!$A$4:$A$23,0))</f>
        <v>1.0869565217391299</v>
      </c>
      <c r="L1939" s="14">
        <f t="shared" si="60"/>
        <v>2.7608695652173902</v>
      </c>
      <c r="M1939" t="str">
        <f t="shared" si="61"/>
        <v>No</v>
      </c>
    </row>
    <row r="1940" spans="1:13" x14ac:dyDescent="0.25">
      <c r="A1940">
        <v>337670</v>
      </c>
      <c r="B1940" t="s">
        <v>294</v>
      </c>
      <c r="C1940" t="s">
        <v>6029</v>
      </c>
      <c r="D1940" t="s">
        <v>6220</v>
      </c>
      <c r="E1940">
        <v>2.12</v>
      </c>
      <c r="F1940" t="s">
        <v>50</v>
      </c>
      <c r="G1940" t="s">
        <v>5947</v>
      </c>
      <c r="H1940" t="s">
        <v>136</v>
      </c>
      <c r="I1940" s="11">
        <v>46295</v>
      </c>
      <c r="J1940" s="12">
        <v>46266</v>
      </c>
      <c r="K1940" s="13">
        <f>INDEX(Assumptions!$B$4:$B$23,MATCH(F1940,Assumptions!$A$4:$A$23,0))</f>
        <v>1.0869565217391299</v>
      </c>
      <c r="L1940" s="14">
        <f t="shared" si="60"/>
        <v>2.3043478260869557</v>
      </c>
      <c r="M1940" t="str">
        <f t="shared" si="61"/>
        <v>No</v>
      </c>
    </row>
    <row r="1941" spans="1:13" x14ac:dyDescent="0.25">
      <c r="A1941">
        <v>337669</v>
      </c>
      <c r="B1941" t="s">
        <v>6031</v>
      </c>
      <c r="C1941" t="s">
        <v>6032</v>
      </c>
      <c r="D1941" t="s">
        <v>6220</v>
      </c>
      <c r="E1941">
        <v>2.0699999999999998</v>
      </c>
      <c r="F1941" t="s">
        <v>50</v>
      </c>
      <c r="G1941" t="s">
        <v>5947</v>
      </c>
      <c r="H1941" t="s">
        <v>136</v>
      </c>
      <c r="I1941" s="11">
        <v>46295</v>
      </c>
      <c r="J1941" s="12">
        <v>46266</v>
      </c>
      <c r="K1941" s="13">
        <f>INDEX(Assumptions!$B$4:$B$23,MATCH(F1941,Assumptions!$A$4:$A$23,0))</f>
        <v>1.0869565217391299</v>
      </c>
      <c r="L1941" s="14">
        <f t="shared" si="60"/>
        <v>2.2499999999999987</v>
      </c>
      <c r="M1941" t="str">
        <f t="shared" si="61"/>
        <v>No</v>
      </c>
    </row>
    <row r="1942" spans="1:13" x14ac:dyDescent="0.25">
      <c r="A1942">
        <v>337668</v>
      </c>
      <c r="B1942" t="s">
        <v>6035</v>
      </c>
      <c r="C1942" t="s">
        <v>6036</v>
      </c>
      <c r="D1942" t="s">
        <v>6220</v>
      </c>
      <c r="E1942">
        <v>2.0499999999999998</v>
      </c>
      <c r="F1942" t="s">
        <v>50</v>
      </c>
      <c r="G1942" t="s">
        <v>5947</v>
      </c>
      <c r="H1942" t="s">
        <v>136</v>
      </c>
      <c r="I1942" s="11">
        <v>46295</v>
      </c>
      <c r="J1942" s="12">
        <v>46266</v>
      </c>
      <c r="K1942" s="13">
        <f>INDEX(Assumptions!$B$4:$B$23,MATCH(F1942,Assumptions!$A$4:$A$23,0))</f>
        <v>1.0869565217391299</v>
      </c>
      <c r="L1942" s="14">
        <f t="shared" si="60"/>
        <v>2.228260869565216</v>
      </c>
      <c r="M1942" t="str">
        <f t="shared" si="61"/>
        <v>No</v>
      </c>
    </row>
    <row r="1943" spans="1:13" x14ac:dyDescent="0.25">
      <c r="A1943">
        <v>337667</v>
      </c>
      <c r="B1943" t="s">
        <v>6038</v>
      </c>
      <c r="C1943" t="s">
        <v>6039</v>
      </c>
      <c r="D1943" t="s">
        <v>6220</v>
      </c>
      <c r="E1943">
        <v>2.0699999999999998</v>
      </c>
      <c r="F1943" t="s">
        <v>50</v>
      </c>
      <c r="G1943" t="s">
        <v>5947</v>
      </c>
      <c r="H1943" t="s">
        <v>136</v>
      </c>
      <c r="I1943" s="11">
        <v>46295</v>
      </c>
      <c r="J1943" s="12">
        <v>46266</v>
      </c>
      <c r="K1943" s="13">
        <f>INDEX(Assumptions!$B$4:$B$23,MATCH(F1943,Assumptions!$A$4:$A$23,0))</f>
        <v>1.0869565217391299</v>
      </c>
      <c r="L1943" s="14">
        <f t="shared" si="60"/>
        <v>2.2499999999999987</v>
      </c>
      <c r="M1943" t="str">
        <f t="shared" si="61"/>
        <v>No</v>
      </c>
    </row>
    <row r="1944" spans="1:13" x14ac:dyDescent="0.25">
      <c r="A1944">
        <v>337666</v>
      </c>
      <c r="B1944" t="s">
        <v>1229</v>
      </c>
      <c r="C1944" t="s">
        <v>6041</v>
      </c>
      <c r="D1944" t="s">
        <v>6220</v>
      </c>
      <c r="E1944">
        <v>2.54</v>
      </c>
      <c r="F1944" t="s">
        <v>50</v>
      </c>
      <c r="G1944" t="s">
        <v>5947</v>
      </c>
      <c r="H1944" t="s">
        <v>136</v>
      </c>
      <c r="I1944" s="11">
        <v>46295</v>
      </c>
      <c r="J1944" s="12">
        <v>46266</v>
      </c>
      <c r="K1944" s="13">
        <f>INDEX(Assumptions!$B$4:$B$23,MATCH(F1944,Assumptions!$A$4:$A$23,0))</f>
        <v>1.0869565217391299</v>
      </c>
      <c r="L1944" s="14">
        <f t="shared" si="60"/>
        <v>2.7608695652173902</v>
      </c>
      <c r="M1944" t="str">
        <f t="shared" si="61"/>
        <v>No</v>
      </c>
    </row>
    <row r="1945" spans="1:13" x14ac:dyDescent="0.25">
      <c r="A1945">
        <v>337665</v>
      </c>
      <c r="B1945" t="s">
        <v>6043</v>
      </c>
      <c r="C1945" t="s">
        <v>6044</v>
      </c>
      <c r="D1945" t="s">
        <v>6220</v>
      </c>
      <c r="E1945">
        <v>3.27</v>
      </c>
      <c r="F1945" t="s">
        <v>50</v>
      </c>
      <c r="G1945" t="s">
        <v>5947</v>
      </c>
      <c r="H1945" t="s">
        <v>136</v>
      </c>
      <c r="I1945" s="11">
        <v>46295</v>
      </c>
      <c r="J1945" s="12">
        <v>46266</v>
      </c>
      <c r="K1945" s="13">
        <f>INDEX(Assumptions!$B$4:$B$23,MATCH(F1945,Assumptions!$A$4:$A$23,0))</f>
        <v>1.0869565217391299</v>
      </c>
      <c r="L1945" s="14">
        <f t="shared" si="60"/>
        <v>3.5543478260869548</v>
      </c>
      <c r="M1945" t="str">
        <f t="shared" si="61"/>
        <v>No</v>
      </c>
    </row>
    <row r="1946" spans="1:13" x14ac:dyDescent="0.25">
      <c r="A1946">
        <v>337664</v>
      </c>
      <c r="B1946" t="s">
        <v>6046</v>
      </c>
      <c r="C1946" t="s">
        <v>6047</v>
      </c>
      <c r="D1946" t="s">
        <v>6220</v>
      </c>
      <c r="E1946">
        <v>3.09</v>
      </c>
      <c r="F1946" t="s">
        <v>50</v>
      </c>
      <c r="G1946" t="s">
        <v>5947</v>
      </c>
      <c r="H1946" t="s">
        <v>136</v>
      </c>
      <c r="I1946" s="11">
        <v>46295</v>
      </c>
      <c r="J1946" s="12">
        <v>46266</v>
      </c>
      <c r="K1946" s="13">
        <f>INDEX(Assumptions!$B$4:$B$23,MATCH(F1946,Assumptions!$A$4:$A$23,0))</f>
        <v>1.0869565217391299</v>
      </c>
      <c r="L1946" s="14">
        <f t="shared" si="60"/>
        <v>3.3586956521739113</v>
      </c>
      <c r="M1946" t="str">
        <f t="shared" si="61"/>
        <v>No</v>
      </c>
    </row>
    <row r="1947" spans="1:13" x14ac:dyDescent="0.25">
      <c r="A1947">
        <v>337663</v>
      </c>
      <c r="B1947" t="s">
        <v>6049</v>
      </c>
      <c r="C1947" t="s">
        <v>6050</v>
      </c>
      <c r="D1947" t="s">
        <v>6220</v>
      </c>
      <c r="E1947">
        <v>4.07</v>
      </c>
      <c r="F1947" t="s">
        <v>50</v>
      </c>
      <c r="G1947" t="s">
        <v>5947</v>
      </c>
      <c r="H1947" t="s">
        <v>136</v>
      </c>
      <c r="I1947" s="11">
        <v>46295</v>
      </c>
      <c r="J1947" s="12">
        <v>46266</v>
      </c>
      <c r="K1947" s="13">
        <f>INDEX(Assumptions!$B$4:$B$23,MATCH(F1947,Assumptions!$A$4:$A$23,0))</f>
        <v>1.0869565217391299</v>
      </c>
      <c r="L1947" s="14">
        <f t="shared" si="60"/>
        <v>4.423913043478259</v>
      </c>
      <c r="M1947" t="str">
        <f t="shared" si="61"/>
        <v>No</v>
      </c>
    </row>
    <row r="1948" spans="1:13" x14ac:dyDescent="0.25">
      <c r="A1948">
        <v>337662</v>
      </c>
      <c r="B1948" t="s">
        <v>6053</v>
      </c>
      <c r="C1948" t="s">
        <v>6054</v>
      </c>
      <c r="D1948" t="s">
        <v>6220</v>
      </c>
      <c r="E1948">
        <v>2.88</v>
      </c>
      <c r="F1948" t="s">
        <v>50</v>
      </c>
      <c r="G1948" t="s">
        <v>5947</v>
      </c>
      <c r="H1948" t="s">
        <v>136</v>
      </c>
      <c r="I1948" s="11">
        <v>46295</v>
      </c>
      <c r="J1948" s="12">
        <v>46266</v>
      </c>
      <c r="K1948" s="13">
        <f>INDEX(Assumptions!$B$4:$B$23,MATCH(F1948,Assumptions!$A$4:$A$23,0))</f>
        <v>1.0869565217391299</v>
      </c>
      <c r="L1948" s="14">
        <f t="shared" si="60"/>
        <v>3.130434782608694</v>
      </c>
      <c r="M1948" t="str">
        <f t="shared" si="61"/>
        <v>No</v>
      </c>
    </row>
    <row r="1949" spans="1:13" x14ac:dyDescent="0.25">
      <c r="A1949">
        <v>337661</v>
      </c>
      <c r="B1949" t="s">
        <v>615</v>
      </c>
      <c r="C1949" t="s">
        <v>6056</v>
      </c>
      <c r="D1949" t="s">
        <v>6220</v>
      </c>
      <c r="E1949">
        <v>3.8</v>
      </c>
      <c r="F1949" t="s">
        <v>50</v>
      </c>
      <c r="G1949" t="s">
        <v>5947</v>
      </c>
      <c r="H1949" t="s">
        <v>136</v>
      </c>
      <c r="I1949" s="11">
        <v>46295</v>
      </c>
      <c r="J1949" s="12">
        <v>46266</v>
      </c>
      <c r="K1949" s="13">
        <f>INDEX(Assumptions!$B$4:$B$23,MATCH(F1949,Assumptions!$A$4:$A$23,0))</f>
        <v>1.0869565217391299</v>
      </c>
      <c r="L1949" s="14">
        <f t="shared" si="60"/>
        <v>4.1304347826086936</v>
      </c>
      <c r="M1949" t="str">
        <f t="shared" si="61"/>
        <v>No</v>
      </c>
    </row>
    <row r="1950" spans="1:13" x14ac:dyDescent="0.25">
      <c r="A1950">
        <v>337660</v>
      </c>
      <c r="B1950" t="s">
        <v>6058</v>
      </c>
      <c r="C1950" t="s">
        <v>6059</v>
      </c>
      <c r="D1950" t="s">
        <v>6220</v>
      </c>
      <c r="E1950">
        <v>17.559999999999999</v>
      </c>
      <c r="F1950" t="s">
        <v>50</v>
      </c>
      <c r="G1950" t="s">
        <v>5947</v>
      </c>
      <c r="H1950" t="s">
        <v>136</v>
      </c>
      <c r="I1950" s="11">
        <v>46295</v>
      </c>
      <c r="J1950" s="12">
        <v>46266</v>
      </c>
      <c r="K1950" s="13">
        <f>INDEX(Assumptions!$B$4:$B$23,MATCH(F1950,Assumptions!$A$4:$A$23,0))</f>
        <v>1.0869565217391299</v>
      </c>
      <c r="L1950" s="14">
        <f t="shared" si="60"/>
        <v>19.086956521739122</v>
      </c>
      <c r="M1950" t="str">
        <f t="shared" si="61"/>
        <v>No</v>
      </c>
    </row>
    <row r="1951" spans="1:13" x14ac:dyDescent="0.25">
      <c r="A1951">
        <v>337659</v>
      </c>
      <c r="B1951" t="s">
        <v>6062</v>
      </c>
      <c r="C1951" t="s">
        <v>6063</v>
      </c>
      <c r="D1951" t="s">
        <v>6220</v>
      </c>
      <c r="E1951">
        <v>17.739999999999998</v>
      </c>
      <c r="F1951" t="s">
        <v>50</v>
      </c>
      <c r="G1951" t="s">
        <v>5947</v>
      </c>
      <c r="H1951" t="s">
        <v>136</v>
      </c>
      <c r="I1951" s="11">
        <v>46295</v>
      </c>
      <c r="J1951" s="12">
        <v>46266</v>
      </c>
      <c r="K1951" s="13">
        <f>INDEX(Assumptions!$B$4:$B$23,MATCH(F1951,Assumptions!$A$4:$A$23,0))</f>
        <v>1.0869565217391299</v>
      </c>
      <c r="L1951" s="14">
        <f t="shared" si="60"/>
        <v>19.282608695652165</v>
      </c>
      <c r="M1951" t="str">
        <f t="shared" si="61"/>
        <v>No</v>
      </c>
    </row>
    <row r="1952" spans="1:13" x14ac:dyDescent="0.25">
      <c r="A1952">
        <v>337658</v>
      </c>
      <c r="B1952" t="s">
        <v>6066</v>
      </c>
      <c r="C1952" t="s">
        <v>6067</v>
      </c>
      <c r="D1952" t="s">
        <v>6220</v>
      </c>
      <c r="E1952">
        <v>1.71</v>
      </c>
      <c r="F1952" t="s">
        <v>50</v>
      </c>
      <c r="G1952" t="s">
        <v>5947</v>
      </c>
      <c r="H1952" t="s">
        <v>136</v>
      </c>
      <c r="I1952" s="11">
        <v>46295</v>
      </c>
      <c r="J1952" s="12">
        <v>46266</v>
      </c>
      <c r="K1952" s="13">
        <f>INDEX(Assumptions!$B$4:$B$23,MATCH(F1952,Assumptions!$A$4:$A$23,0))</f>
        <v>1.0869565217391299</v>
      </c>
      <c r="L1952" s="14">
        <f t="shared" si="60"/>
        <v>1.8586956521739122</v>
      </c>
      <c r="M1952" t="str">
        <f t="shared" si="61"/>
        <v>No</v>
      </c>
    </row>
    <row r="1953" spans="1:13" x14ac:dyDescent="0.25">
      <c r="A1953">
        <v>337657</v>
      </c>
      <c r="B1953" t="s">
        <v>377</v>
      </c>
      <c r="C1953" t="s">
        <v>6069</v>
      </c>
      <c r="D1953" t="s">
        <v>6220</v>
      </c>
      <c r="E1953">
        <v>1.71</v>
      </c>
      <c r="F1953" t="s">
        <v>50</v>
      </c>
      <c r="G1953" t="s">
        <v>5947</v>
      </c>
      <c r="H1953" t="s">
        <v>136</v>
      </c>
      <c r="I1953" s="11">
        <v>46295</v>
      </c>
      <c r="J1953" s="12">
        <v>46266</v>
      </c>
      <c r="K1953" s="13">
        <f>INDEX(Assumptions!$B$4:$B$23,MATCH(F1953,Assumptions!$A$4:$A$23,0))</f>
        <v>1.0869565217391299</v>
      </c>
      <c r="L1953" s="14">
        <f t="shared" si="60"/>
        <v>1.8586956521739122</v>
      </c>
      <c r="M1953" t="str">
        <f t="shared" si="61"/>
        <v>No</v>
      </c>
    </row>
    <row r="1954" spans="1:13" x14ac:dyDescent="0.25">
      <c r="A1954">
        <v>337656</v>
      </c>
      <c r="B1954" t="s">
        <v>271</v>
      </c>
      <c r="C1954" t="s">
        <v>6071</v>
      </c>
      <c r="D1954" t="s">
        <v>6220</v>
      </c>
      <c r="E1954">
        <v>1.93</v>
      </c>
      <c r="F1954" t="s">
        <v>50</v>
      </c>
      <c r="G1954" t="s">
        <v>5947</v>
      </c>
      <c r="H1954" t="s">
        <v>136</v>
      </c>
      <c r="I1954" s="11">
        <v>46295</v>
      </c>
      <c r="J1954" s="12">
        <v>46266</v>
      </c>
      <c r="K1954" s="13">
        <f>INDEX(Assumptions!$B$4:$B$23,MATCH(F1954,Assumptions!$A$4:$A$23,0))</f>
        <v>1.0869565217391299</v>
      </c>
      <c r="L1954" s="14">
        <f t="shared" si="60"/>
        <v>2.0978260869565206</v>
      </c>
      <c r="M1954" t="str">
        <f t="shared" si="61"/>
        <v>No</v>
      </c>
    </row>
    <row r="1955" spans="1:13" x14ac:dyDescent="0.25">
      <c r="A1955">
        <v>337655</v>
      </c>
      <c r="B1955" t="s">
        <v>6073</v>
      </c>
      <c r="C1955" t="s">
        <v>6074</v>
      </c>
      <c r="D1955" t="s">
        <v>6220</v>
      </c>
      <c r="E1955">
        <v>4.26</v>
      </c>
      <c r="F1955" t="s">
        <v>50</v>
      </c>
      <c r="G1955" t="s">
        <v>5947</v>
      </c>
      <c r="H1955" t="s">
        <v>136</v>
      </c>
      <c r="I1955" s="11">
        <v>46295</v>
      </c>
      <c r="J1955" s="12">
        <v>46266</v>
      </c>
      <c r="K1955" s="13">
        <f>INDEX(Assumptions!$B$4:$B$23,MATCH(F1955,Assumptions!$A$4:$A$23,0))</f>
        <v>1.0869565217391299</v>
      </c>
      <c r="L1955" s="14">
        <f t="shared" si="60"/>
        <v>4.6304347826086936</v>
      </c>
      <c r="M1955" t="str">
        <f t="shared" si="61"/>
        <v>No</v>
      </c>
    </row>
    <row r="1956" spans="1:13" x14ac:dyDescent="0.25">
      <c r="A1956">
        <v>337654</v>
      </c>
      <c r="B1956" t="s">
        <v>6077</v>
      </c>
      <c r="C1956" t="s">
        <v>6078</v>
      </c>
      <c r="D1956" t="s">
        <v>6220</v>
      </c>
      <c r="E1956">
        <v>4.0599999999999996</v>
      </c>
      <c r="F1956" t="s">
        <v>50</v>
      </c>
      <c r="G1956" t="s">
        <v>5947</v>
      </c>
      <c r="H1956" t="s">
        <v>136</v>
      </c>
      <c r="I1956" s="11">
        <v>46295</v>
      </c>
      <c r="J1956" s="12">
        <v>46266</v>
      </c>
      <c r="K1956" s="13">
        <f>INDEX(Assumptions!$B$4:$B$23,MATCH(F1956,Assumptions!$A$4:$A$23,0))</f>
        <v>1.0869565217391299</v>
      </c>
      <c r="L1956" s="14">
        <f t="shared" si="60"/>
        <v>4.4130434782608674</v>
      </c>
      <c r="M1956" t="str">
        <f t="shared" si="61"/>
        <v>No</v>
      </c>
    </row>
    <row r="1957" spans="1:13" x14ac:dyDescent="0.25">
      <c r="A1957">
        <v>337653</v>
      </c>
      <c r="B1957" t="s">
        <v>6080</v>
      </c>
      <c r="C1957" t="s">
        <v>6081</v>
      </c>
      <c r="D1957" t="s">
        <v>6220</v>
      </c>
      <c r="E1957">
        <v>3.63</v>
      </c>
      <c r="F1957" t="s">
        <v>50</v>
      </c>
      <c r="G1957" t="s">
        <v>5947</v>
      </c>
      <c r="H1957" t="s">
        <v>136</v>
      </c>
      <c r="I1957" s="11">
        <v>46295</v>
      </c>
      <c r="J1957" s="12">
        <v>46266</v>
      </c>
      <c r="K1957" s="13">
        <f>INDEX(Assumptions!$B$4:$B$23,MATCH(F1957,Assumptions!$A$4:$A$23,0))</f>
        <v>1.0869565217391299</v>
      </c>
      <c r="L1957" s="14">
        <f t="shared" si="60"/>
        <v>3.9456521739130417</v>
      </c>
      <c r="M1957" t="str">
        <f t="shared" si="61"/>
        <v>No</v>
      </c>
    </row>
    <row r="1958" spans="1:13" x14ac:dyDescent="0.25">
      <c r="A1958">
        <v>337652</v>
      </c>
      <c r="B1958" t="s">
        <v>6083</v>
      </c>
      <c r="C1958" t="s">
        <v>6084</v>
      </c>
      <c r="D1958" t="s">
        <v>6220</v>
      </c>
      <c r="E1958">
        <v>1.67</v>
      </c>
      <c r="F1958" t="s">
        <v>50</v>
      </c>
      <c r="G1958" t="s">
        <v>5947</v>
      </c>
      <c r="H1958" t="s">
        <v>136</v>
      </c>
      <c r="I1958" s="11">
        <v>46295</v>
      </c>
      <c r="J1958" s="12">
        <v>46266</v>
      </c>
      <c r="K1958" s="13">
        <f>INDEX(Assumptions!$B$4:$B$23,MATCH(F1958,Assumptions!$A$4:$A$23,0))</f>
        <v>1.0869565217391299</v>
      </c>
      <c r="L1958" s="14">
        <f t="shared" si="60"/>
        <v>1.815217391304347</v>
      </c>
      <c r="M1958" t="str">
        <f t="shared" si="61"/>
        <v>No</v>
      </c>
    </row>
    <row r="1959" spans="1:13" x14ac:dyDescent="0.25">
      <c r="A1959">
        <v>337651</v>
      </c>
      <c r="B1959" t="s">
        <v>6086</v>
      </c>
      <c r="C1959" t="s">
        <v>6087</v>
      </c>
      <c r="D1959" t="s">
        <v>6220</v>
      </c>
      <c r="E1959">
        <v>2.92</v>
      </c>
      <c r="F1959" t="s">
        <v>50</v>
      </c>
      <c r="G1959" t="s">
        <v>5947</v>
      </c>
      <c r="H1959" t="s">
        <v>136</v>
      </c>
      <c r="I1959" s="11">
        <v>46295</v>
      </c>
      <c r="J1959" s="12">
        <v>46266</v>
      </c>
      <c r="K1959" s="13">
        <f>INDEX(Assumptions!$B$4:$B$23,MATCH(F1959,Assumptions!$A$4:$A$23,0))</f>
        <v>1.0869565217391299</v>
      </c>
      <c r="L1959" s="14">
        <f t="shared" si="60"/>
        <v>3.1739130434782594</v>
      </c>
      <c r="M1959" t="str">
        <f t="shared" si="61"/>
        <v>No</v>
      </c>
    </row>
    <row r="1960" spans="1:13" x14ac:dyDescent="0.25">
      <c r="A1960">
        <v>337650</v>
      </c>
      <c r="B1960" t="s">
        <v>549</v>
      </c>
      <c r="C1960" t="s">
        <v>5326</v>
      </c>
      <c r="D1960" t="s">
        <v>6220</v>
      </c>
      <c r="E1960">
        <v>3.26</v>
      </c>
      <c r="F1960" t="s">
        <v>50</v>
      </c>
      <c r="G1960" t="s">
        <v>5947</v>
      </c>
      <c r="H1960" t="s">
        <v>136</v>
      </c>
      <c r="I1960" s="11">
        <v>46295</v>
      </c>
      <c r="J1960" s="12">
        <v>46266</v>
      </c>
      <c r="K1960" s="13">
        <f>INDEX(Assumptions!$B$4:$B$23,MATCH(F1960,Assumptions!$A$4:$A$23,0))</f>
        <v>1.0869565217391299</v>
      </c>
      <c r="L1960" s="14">
        <f t="shared" si="60"/>
        <v>3.5434782608695632</v>
      </c>
      <c r="M1960" t="str">
        <f t="shared" si="61"/>
        <v>No</v>
      </c>
    </row>
    <row r="1961" spans="1:13" x14ac:dyDescent="0.25">
      <c r="A1961">
        <v>337649</v>
      </c>
      <c r="B1961" t="s">
        <v>6091</v>
      </c>
      <c r="C1961" t="s">
        <v>6092</v>
      </c>
      <c r="D1961" t="s">
        <v>6220</v>
      </c>
      <c r="E1961">
        <v>6.55</v>
      </c>
      <c r="F1961" t="s">
        <v>50</v>
      </c>
      <c r="G1961" t="s">
        <v>5947</v>
      </c>
      <c r="H1961" t="s">
        <v>136</v>
      </c>
      <c r="I1961" s="11">
        <v>46295</v>
      </c>
      <c r="J1961" s="12">
        <v>46266</v>
      </c>
      <c r="K1961" s="13">
        <f>INDEX(Assumptions!$B$4:$B$23,MATCH(F1961,Assumptions!$A$4:$A$23,0))</f>
        <v>1.0869565217391299</v>
      </c>
      <c r="L1961" s="14">
        <f t="shared" si="60"/>
        <v>7.1195652173913011</v>
      </c>
      <c r="M1961" t="str">
        <f t="shared" si="61"/>
        <v>No</v>
      </c>
    </row>
    <row r="1962" spans="1:13" x14ac:dyDescent="0.25">
      <c r="A1962">
        <v>337648</v>
      </c>
      <c r="B1962" t="s">
        <v>6095</v>
      </c>
      <c r="C1962" t="s">
        <v>6096</v>
      </c>
      <c r="D1962" t="s">
        <v>6220</v>
      </c>
      <c r="E1962">
        <v>4.03</v>
      </c>
      <c r="F1962" t="s">
        <v>50</v>
      </c>
      <c r="G1962" t="s">
        <v>5947</v>
      </c>
      <c r="H1962" t="s">
        <v>136</v>
      </c>
      <c r="I1962" s="11">
        <v>46295</v>
      </c>
      <c r="J1962" s="12">
        <v>46266</v>
      </c>
      <c r="K1962" s="13">
        <f>INDEX(Assumptions!$B$4:$B$23,MATCH(F1962,Assumptions!$A$4:$A$23,0))</f>
        <v>1.0869565217391299</v>
      </c>
      <c r="L1962" s="14">
        <f t="shared" si="60"/>
        <v>4.3804347826086936</v>
      </c>
      <c r="M1962" t="str">
        <f t="shared" si="61"/>
        <v>No</v>
      </c>
    </row>
    <row r="1963" spans="1:13" x14ac:dyDescent="0.25">
      <c r="A1963">
        <v>337647</v>
      </c>
      <c r="B1963" t="s">
        <v>6099</v>
      </c>
      <c r="C1963" t="s">
        <v>6100</v>
      </c>
      <c r="D1963" t="s">
        <v>6220</v>
      </c>
      <c r="E1963">
        <v>1.89</v>
      </c>
      <c r="F1963" t="s">
        <v>50</v>
      </c>
      <c r="G1963" t="s">
        <v>5947</v>
      </c>
      <c r="H1963" t="s">
        <v>136</v>
      </c>
      <c r="I1963" s="11">
        <v>46295</v>
      </c>
      <c r="J1963" s="12">
        <v>46266</v>
      </c>
      <c r="K1963" s="13">
        <f>INDEX(Assumptions!$B$4:$B$23,MATCH(F1963,Assumptions!$A$4:$A$23,0))</f>
        <v>1.0869565217391299</v>
      </c>
      <c r="L1963" s="14">
        <f t="shared" si="60"/>
        <v>2.0543478260869557</v>
      </c>
      <c r="M1963" t="str">
        <f t="shared" si="61"/>
        <v>No</v>
      </c>
    </row>
    <row r="1964" spans="1:13" x14ac:dyDescent="0.25">
      <c r="A1964">
        <v>337646</v>
      </c>
      <c r="B1964" t="s">
        <v>6102</v>
      </c>
      <c r="C1964" t="s">
        <v>6103</v>
      </c>
      <c r="D1964" t="s">
        <v>6220</v>
      </c>
      <c r="E1964">
        <v>2.4700000000000002</v>
      </c>
      <c r="F1964" t="s">
        <v>50</v>
      </c>
      <c r="G1964" t="s">
        <v>5947</v>
      </c>
      <c r="H1964" t="s">
        <v>136</v>
      </c>
      <c r="I1964" s="11">
        <v>46295</v>
      </c>
      <c r="J1964" s="12">
        <v>46266</v>
      </c>
      <c r="K1964" s="13">
        <f>INDEX(Assumptions!$B$4:$B$23,MATCH(F1964,Assumptions!$A$4:$A$23,0))</f>
        <v>1.0869565217391299</v>
      </c>
      <c r="L1964" s="14">
        <f t="shared" si="60"/>
        <v>2.684782608695651</v>
      </c>
      <c r="M1964" t="str">
        <f t="shared" si="61"/>
        <v>No</v>
      </c>
    </row>
    <row r="1965" spans="1:13" x14ac:dyDescent="0.25">
      <c r="A1965">
        <v>337645</v>
      </c>
      <c r="B1965" t="s">
        <v>6106</v>
      </c>
      <c r="C1965" t="s">
        <v>6107</v>
      </c>
      <c r="D1965" t="s">
        <v>6220</v>
      </c>
      <c r="E1965">
        <v>2.82</v>
      </c>
      <c r="F1965" t="s">
        <v>50</v>
      </c>
      <c r="G1965" t="s">
        <v>5947</v>
      </c>
      <c r="H1965" t="s">
        <v>136</v>
      </c>
      <c r="I1965" s="11">
        <v>46295</v>
      </c>
      <c r="J1965" s="12">
        <v>46266</v>
      </c>
      <c r="K1965" s="13">
        <f>INDEX(Assumptions!$B$4:$B$23,MATCH(F1965,Assumptions!$A$4:$A$23,0))</f>
        <v>1.0869565217391299</v>
      </c>
      <c r="L1965" s="14">
        <f t="shared" si="60"/>
        <v>3.0652173913043463</v>
      </c>
      <c r="M1965" t="str">
        <f t="shared" si="61"/>
        <v>No</v>
      </c>
    </row>
    <row r="1966" spans="1:13" x14ac:dyDescent="0.25">
      <c r="A1966">
        <v>337644</v>
      </c>
      <c r="B1966" t="s">
        <v>6109</v>
      </c>
      <c r="C1966" t="s">
        <v>6110</v>
      </c>
      <c r="D1966" t="s">
        <v>6220</v>
      </c>
      <c r="E1966">
        <v>3.03</v>
      </c>
      <c r="F1966" t="s">
        <v>50</v>
      </c>
      <c r="G1966" t="s">
        <v>5947</v>
      </c>
      <c r="H1966" t="s">
        <v>136</v>
      </c>
      <c r="I1966" s="11">
        <v>46295</v>
      </c>
      <c r="J1966" s="12">
        <v>46266</v>
      </c>
      <c r="K1966" s="13">
        <f>INDEX(Assumptions!$B$4:$B$23,MATCH(F1966,Assumptions!$A$4:$A$23,0))</f>
        <v>1.0869565217391299</v>
      </c>
      <c r="L1966" s="14">
        <f t="shared" si="60"/>
        <v>3.2934782608695636</v>
      </c>
      <c r="M1966" t="str">
        <f t="shared" si="61"/>
        <v>No</v>
      </c>
    </row>
    <row r="1967" spans="1:13" x14ac:dyDescent="0.25">
      <c r="A1967">
        <v>337643</v>
      </c>
      <c r="B1967" t="s">
        <v>6113</v>
      </c>
      <c r="C1967" t="s">
        <v>6114</v>
      </c>
      <c r="D1967" t="s">
        <v>6220</v>
      </c>
      <c r="E1967">
        <v>3.21</v>
      </c>
      <c r="F1967" t="s">
        <v>50</v>
      </c>
      <c r="G1967" t="s">
        <v>5947</v>
      </c>
      <c r="H1967" t="s">
        <v>136</v>
      </c>
      <c r="I1967" s="11">
        <v>46295</v>
      </c>
      <c r="J1967" s="12">
        <v>46266</v>
      </c>
      <c r="K1967" s="13">
        <f>INDEX(Assumptions!$B$4:$B$23,MATCH(F1967,Assumptions!$A$4:$A$23,0))</f>
        <v>1.0869565217391299</v>
      </c>
      <c r="L1967" s="14">
        <f t="shared" si="60"/>
        <v>3.4891304347826071</v>
      </c>
      <c r="M1967" t="str">
        <f t="shared" si="61"/>
        <v>No</v>
      </c>
    </row>
    <row r="1968" spans="1:13" x14ac:dyDescent="0.25">
      <c r="A1968">
        <v>337642</v>
      </c>
      <c r="B1968" t="s">
        <v>6117</v>
      </c>
      <c r="C1968" t="s">
        <v>6118</v>
      </c>
      <c r="D1968" t="s">
        <v>6220</v>
      </c>
      <c r="E1968">
        <v>3.28</v>
      </c>
      <c r="F1968" t="s">
        <v>50</v>
      </c>
      <c r="G1968" t="s">
        <v>5947</v>
      </c>
      <c r="H1968" t="s">
        <v>136</v>
      </c>
      <c r="I1968" s="11">
        <v>46295</v>
      </c>
      <c r="J1968" s="12">
        <v>46266</v>
      </c>
      <c r="K1968" s="13">
        <f>INDEX(Assumptions!$B$4:$B$23,MATCH(F1968,Assumptions!$A$4:$A$23,0))</f>
        <v>1.0869565217391299</v>
      </c>
      <c r="L1968" s="14">
        <f t="shared" si="60"/>
        <v>3.5652173913043459</v>
      </c>
      <c r="M1968" t="str">
        <f t="shared" si="61"/>
        <v>No</v>
      </c>
    </row>
    <row r="1969" spans="1:13" x14ac:dyDescent="0.25">
      <c r="A1969">
        <v>337641</v>
      </c>
      <c r="B1969" t="s">
        <v>6120</v>
      </c>
      <c r="C1969" t="s">
        <v>6121</v>
      </c>
      <c r="D1969" t="s">
        <v>6220</v>
      </c>
      <c r="E1969">
        <v>2.5099999999999998</v>
      </c>
      <c r="F1969" t="s">
        <v>50</v>
      </c>
      <c r="G1969" t="s">
        <v>5947</v>
      </c>
      <c r="H1969" t="s">
        <v>136</v>
      </c>
      <c r="I1969" s="11">
        <v>46295</v>
      </c>
      <c r="J1969" s="12">
        <v>46266</v>
      </c>
      <c r="K1969" s="13">
        <f>INDEX(Assumptions!$B$4:$B$23,MATCH(F1969,Assumptions!$A$4:$A$23,0))</f>
        <v>1.0869565217391299</v>
      </c>
      <c r="L1969" s="14">
        <f t="shared" si="60"/>
        <v>2.728260869565216</v>
      </c>
      <c r="M1969" t="str">
        <f t="shared" si="61"/>
        <v>No</v>
      </c>
    </row>
    <row r="1970" spans="1:13" x14ac:dyDescent="0.25">
      <c r="A1970">
        <v>337640</v>
      </c>
      <c r="B1970" t="s">
        <v>6123</v>
      </c>
      <c r="C1970" t="s">
        <v>6124</v>
      </c>
      <c r="D1970" t="s">
        <v>6220</v>
      </c>
      <c r="E1970">
        <v>2.12</v>
      </c>
      <c r="F1970" t="s">
        <v>50</v>
      </c>
      <c r="G1970" t="s">
        <v>5947</v>
      </c>
      <c r="H1970" t="s">
        <v>136</v>
      </c>
      <c r="I1970" s="11">
        <v>46295</v>
      </c>
      <c r="J1970" s="12">
        <v>46266</v>
      </c>
      <c r="K1970" s="13">
        <f>INDEX(Assumptions!$B$4:$B$23,MATCH(F1970,Assumptions!$A$4:$A$23,0))</f>
        <v>1.0869565217391299</v>
      </c>
      <c r="L1970" s="14">
        <f t="shared" si="60"/>
        <v>2.3043478260869557</v>
      </c>
      <c r="M1970" t="str">
        <f t="shared" si="61"/>
        <v>No</v>
      </c>
    </row>
    <row r="1971" spans="1:13" x14ac:dyDescent="0.25">
      <c r="A1971">
        <v>337639</v>
      </c>
      <c r="B1971" t="s">
        <v>6126</v>
      </c>
      <c r="C1971" t="s">
        <v>6127</v>
      </c>
      <c r="D1971" t="s">
        <v>6220</v>
      </c>
      <c r="E1971">
        <v>2.72</v>
      </c>
      <c r="F1971" t="s">
        <v>50</v>
      </c>
      <c r="G1971" t="s">
        <v>5947</v>
      </c>
      <c r="H1971" t="s">
        <v>136</v>
      </c>
      <c r="I1971" s="11">
        <v>46295</v>
      </c>
      <c r="J1971" s="12">
        <v>46266</v>
      </c>
      <c r="K1971" s="13">
        <f>INDEX(Assumptions!$B$4:$B$23,MATCH(F1971,Assumptions!$A$4:$A$23,0))</f>
        <v>1.0869565217391299</v>
      </c>
      <c r="L1971" s="14">
        <f t="shared" si="60"/>
        <v>2.9565217391304337</v>
      </c>
      <c r="M1971" t="str">
        <f t="shared" si="61"/>
        <v>No</v>
      </c>
    </row>
    <row r="1972" spans="1:13" x14ac:dyDescent="0.25">
      <c r="A1972">
        <v>337638</v>
      </c>
      <c r="B1972" t="s">
        <v>6130</v>
      </c>
      <c r="C1972" t="s">
        <v>6131</v>
      </c>
      <c r="D1972" t="s">
        <v>6220</v>
      </c>
      <c r="E1972">
        <v>1.58</v>
      </c>
      <c r="F1972" t="s">
        <v>50</v>
      </c>
      <c r="G1972" t="s">
        <v>5947</v>
      </c>
      <c r="H1972" t="s">
        <v>136</v>
      </c>
      <c r="I1972" s="11">
        <v>46295</v>
      </c>
      <c r="J1972" s="12">
        <v>46266</v>
      </c>
      <c r="K1972" s="13">
        <f>INDEX(Assumptions!$B$4:$B$23,MATCH(F1972,Assumptions!$A$4:$A$23,0))</f>
        <v>1.0869565217391299</v>
      </c>
      <c r="L1972" s="14">
        <f t="shared" si="60"/>
        <v>1.7173913043478253</v>
      </c>
      <c r="M1972" t="str">
        <f t="shared" si="61"/>
        <v>No</v>
      </c>
    </row>
    <row r="1973" spans="1:13" x14ac:dyDescent="0.25">
      <c r="A1973">
        <v>337637</v>
      </c>
      <c r="B1973" t="s">
        <v>6133</v>
      </c>
      <c r="C1973" t="s">
        <v>6134</v>
      </c>
      <c r="D1973" t="s">
        <v>6220</v>
      </c>
      <c r="E1973">
        <v>2.0499999999999998</v>
      </c>
      <c r="F1973" t="s">
        <v>50</v>
      </c>
      <c r="G1973" t="s">
        <v>5947</v>
      </c>
      <c r="H1973" t="s">
        <v>136</v>
      </c>
      <c r="I1973" s="11">
        <v>46295</v>
      </c>
      <c r="J1973" s="12">
        <v>46266</v>
      </c>
      <c r="K1973" s="13">
        <f>INDEX(Assumptions!$B$4:$B$23,MATCH(F1973,Assumptions!$A$4:$A$23,0))</f>
        <v>1.0869565217391299</v>
      </c>
      <c r="L1973" s="14">
        <f t="shared" si="60"/>
        <v>2.228260869565216</v>
      </c>
      <c r="M1973" t="str">
        <f t="shared" si="61"/>
        <v>No</v>
      </c>
    </row>
    <row r="1974" spans="1:13" x14ac:dyDescent="0.25">
      <c r="A1974">
        <v>337636</v>
      </c>
      <c r="B1974" t="s">
        <v>6136</v>
      </c>
      <c r="C1974" t="s">
        <v>6137</v>
      </c>
      <c r="D1974" t="s">
        <v>6220</v>
      </c>
      <c r="E1974">
        <v>3.81</v>
      </c>
      <c r="F1974" t="s">
        <v>50</v>
      </c>
      <c r="G1974" t="s">
        <v>5947</v>
      </c>
      <c r="H1974" t="s">
        <v>136</v>
      </c>
      <c r="I1974" s="11">
        <v>46295</v>
      </c>
      <c r="J1974" s="12">
        <v>46266</v>
      </c>
      <c r="K1974" s="13">
        <f>INDEX(Assumptions!$B$4:$B$23,MATCH(F1974,Assumptions!$A$4:$A$23,0))</f>
        <v>1.0869565217391299</v>
      </c>
      <c r="L1974" s="14">
        <f t="shared" si="60"/>
        <v>4.1413043478260851</v>
      </c>
      <c r="M1974" t="str">
        <f t="shared" si="61"/>
        <v>No</v>
      </c>
    </row>
    <row r="1975" spans="1:13" x14ac:dyDescent="0.25">
      <c r="A1975">
        <v>337635</v>
      </c>
      <c r="B1975" t="s">
        <v>6139</v>
      </c>
      <c r="C1975" t="s">
        <v>6140</v>
      </c>
      <c r="D1975" t="s">
        <v>6220</v>
      </c>
      <c r="E1975">
        <v>2.08</v>
      </c>
      <c r="F1975" t="s">
        <v>50</v>
      </c>
      <c r="G1975" t="s">
        <v>5947</v>
      </c>
      <c r="H1975" t="s">
        <v>136</v>
      </c>
      <c r="I1975" s="11">
        <v>46295</v>
      </c>
      <c r="J1975" s="12">
        <v>46266</v>
      </c>
      <c r="K1975" s="13">
        <f>INDEX(Assumptions!$B$4:$B$23,MATCH(F1975,Assumptions!$A$4:$A$23,0))</f>
        <v>1.0869565217391299</v>
      </c>
      <c r="L1975" s="14">
        <f t="shared" si="60"/>
        <v>2.2608695652173902</v>
      </c>
      <c r="M1975" t="str">
        <f t="shared" si="61"/>
        <v>No</v>
      </c>
    </row>
    <row r="1976" spans="1:13" x14ac:dyDescent="0.25">
      <c r="A1976">
        <v>337634</v>
      </c>
      <c r="B1976" t="s">
        <v>6142</v>
      </c>
      <c r="C1976" t="s">
        <v>6143</v>
      </c>
      <c r="D1976" t="s">
        <v>6220</v>
      </c>
      <c r="E1976">
        <v>2.1</v>
      </c>
      <c r="F1976" t="s">
        <v>50</v>
      </c>
      <c r="G1976" t="s">
        <v>5947</v>
      </c>
      <c r="H1976" t="s">
        <v>136</v>
      </c>
      <c r="I1976" s="11">
        <v>46295</v>
      </c>
      <c r="J1976" s="12">
        <v>46266</v>
      </c>
      <c r="K1976" s="13">
        <f>INDEX(Assumptions!$B$4:$B$23,MATCH(F1976,Assumptions!$A$4:$A$23,0))</f>
        <v>1.0869565217391299</v>
      </c>
      <c r="L1976" s="14">
        <f t="shared" si="60"/>
        <v>2.2826086956521729</v>
      </c>
      <c r="M1976" t="str">
        <f t="shared" si="61"/>
        <v>No</v>
      </c>
    </row>
    <row r="1977" spans="1:13" x14ac:dyDescent="0.25">
      <c r="A1977">
        <v>337633</v>
      </c>
      <c r="B1977" t="s">
        <v>3312</v>
      </c>
      <c r="C1977" t="s">
        <v>6145</v>
      </c>
      <c r="D1977" t="s">
        <v>6220</v>
      </c>
      <c r="E1977">
        <v>2.48</v>
      </c>
      <c r="F1977" t="s">
        <v>50</v>
      </c>
      <c r="G1977" t="s">
        <v>5947</v>
      </c>
      <c r="H1977" t="s">
        <v>136</v>
      </c>
      <c r="I1977" s="11">
        <v>46295</v>
      </c>
      <c r="J1977" s="12">
        <v>46266</v>
      </c>
      <c r="K1977" s="13">
        <f>INDEX(Assumptions!$B$4:$B$23,MATCH(F1977,Assumptions!$A$4:$A$23,0))</f>
        <v>1.0869565217391299</v>
      </c>
      <c r="L1977" s="14">
        <f t="shared" si="60"/>
        <v>2.6956521739130421</v>
      </c>
      <c r="M1977" t="str">
        <f t="shared" si="61"/>
        <v>No</v>
      </c>
    </row>
    <row r="1978" spans="1:13" x14ac:dyDescent="0.25">
      <c r="A1978">
        <v>337632</v>
      </c>
      <c r="B1978" t="s">
        <v>6147</v>
      </c>
      <c r="C1978" t="s">
        <v>6148</v>
      </c>
      <c r="D1978" t="s">
        <v>6220</v>
      </c>
      <c r="E1978">
        <v>3.66</v>
      </c>
      <c r="F1978" t="s">
        <v>50</v>
      </c>
      <c r="G1978" t="s">
        <v>5947</v>
      </c>
      <c r="H1978" t="s">
        <v>136</v>
      </c>
      <c r="I1978" s="11">
        <v>46295</v>
      </c>
      <c r="J1978" s="12">
        <v>46266</v>
      </c>
      <c r="K1978" s="13">
        <f>INDEX(Assumptions!$B$4:$B$23,MATCH(F1978,Assumptions!$A$4:$A$23,0))</f>
        <v>1.0869565217391299</v>
      </c>
      <c r="L1978" s="14">
        <f t="shared" si="60"/>
        <v>3.9782608695652155</v>
      </c>
      <c r="M1978" t="str">
        <f t="shared" si="61"/>
        <v>No</v>
      </c>
    </row>
    <row r="1979" spans="1:13" x14ac:dyDescent="0.25">
      <c r="A1979">
        <v>337631</v>
      </c>
      <c r="B1979" t="s">
        <v>6151</v>
      </c>
      <c r="C1979" t="s">
        <v>6152</v>
      </c>
      <c r="D1979" t="s">
        <v>6220</v>
      </c>
      <c r="E1979">
        <v>1.66</v>
      </c>
      <c r="F1979" t="s">
        <v>50</v>
      </c>
      <c r="G1979" t="s">
        <v>5947</v>
      </c>
      <c r="H1979" t="s">
        <v>136</v>
      </c>
      <c r="I1979" s="11">
        <v>46295</v>
      </c>
      <c r="J1979" s="12">
        <v>46266</v>
      </c>
      <c r="K1979" s="13">
        <f>INDEX(Assumptions!$B$4:$B$23,MATCH(F1979,Assumptions!$A$4:$A$23,0))</f>
        <v>1.0869565217391299</v>
      </c>
      <c r="L1979" s="14">
        <f t="shared" si="60"/>
        <v>1.8043478260869557</v>
      </c>
      <c r="M1979" t="str">
        <f t="shared" si="61"/>
        <v>No</v>
      </c>
    </row>
    <row r="1980" spans="1:13" x14ac:dyDescent="0.25">
      <c r="A1980">
        <v>337630</v>
      </c>
      <c r="B1980" t="s">
        <v>6154</v>
      </c>
      <c r="C1980" t="s">
        <v>6155</v>
      </c>
      <c r="D1980" t="s">
        <v>6220</v>
      </c>
      <c r="E1980">
        <v>3.06</v>
      </c>
      <c r="F1980" t="s">
        <v>50</v>
      </c>
      <c r="G1980" t="s">
        <v>5947</v>
      </c>
      <c r="H1980" t="s">
        <v>136</v>
      </c>
      <c r="I1980" s="11">
        <v>46295</v>
      </c>
      <c r="J1980" s="12">
        <v>46266</v>
      </c>
      <c r="K1980" s="13">
        <f>INDEX(Assumptions!$B$4:$B$23,MATCH(F1980,Assumptions!$A$4:$A$23,0))</f>
        <v>1.0869565217391299</v>
      </c>
      <c r="L1980" s="14">
        <f t="shared" si="60"/>
        <v>3.3260869565217375</v>
      </c>
      <c r="M1980" t="str">
        <f t="shared" si="61"/>
        <v>No</v>
      </c>
    </row>
    <row r="1981" spans="1:13" x14ac:dyDescent="0.25">
      <c r="A1981">
        <v>337629</v>
      </c>
      <c r="B1981" t="s">
        <v>316</v>
      </c>
      <c r="C1981" t="s">
        <v>6158</v>
      </c>
      <c r="D1981" t="s">
        <v>6220</v>
      </c>
      <c r="E1981">
        <v>2.72</v>
      </c>
      <c r="F1981" t="s">
        <v>50</v>
      </c>
      <c r="G1981" t="s">
        <v>5947</v>
      </c>
      <c r="H1981" t="s">
        <v>136</v>
      </c>
      <c r="I1981" s="11">
        <v>46295</v>
      </c>
      <c r="J1981" s="12">
        <v>46266</v>
      </c>
      <c r="K1981" s="13">
        <f>INDEX(Assumptions!$B$4:$B$23,MATCH(F1981,Assumptions!$A$4:$A$23,0))</f>
        <v>1.0869565217391299</v>
      </c>
      <c r="L1981" s="14">
        <f t="shared" si="60"/>
        <v>2.9565217391304337</v>
      </c>
      <c r="M1981" t="str">
        <f t="shared" si="61"/>
        <v>No</v>
      </c>
    </row>
    <row r="1982" spans="1:13" x14ac:dyDescent="0.25">
      <c r="A1982">
        <v>337628</v>
      </c>
      <c r="B1982" t="s">
        <v>611</v>
      </c>
      <c r="C1982" t="s">
        <v>6160</v>
      </c>
      <c r="D1982" t="s">
        <v>6220</v>
      </c>
      <c r="E1982">
        <v>3.85</v>
      </c>
      <c r="F1982" t="s">
        <v>50</v>
      </c>
      <c r="G1982" t="s">
        <v>5947</v>
      </c>
      <c r="H1982" t="s">
        <v>136</v>
      </c>
      <c r="I1982" s="11">
        <v>46295</v>
      </c>
      <c r="J1982" s="12">
        <v>46266</v>
      </c>
      <c r="K1982" s="13">
        <f>INDEX(Assumptions!$B$4:$B$23,MATCH(F1982,Assumptions!$A$4:$A$23,0))</f>
        <v>1.0869565217391299</v>
      </c>
      <c r="L1982" s="14">
        <f t="shared" si="60"/>
        <v>4.1847826086956506</v>
      </c>
      <c r="M1982" t="str">
        <f t="shared" si="61"/>
        <v>No</v>
      </c>
    </row>
    <row r="1983" spans="1:13" x14ac:dyDescent="0.25">
      <c r="A1983">
        <v>337627</v>
      </c>
      <c r="B1983" t="s">
        <v>320</v>
      </c>
      <c r="C1983" t="s">
        <v>6162</v>
      </c>
      <c r="D1983" t="s">
        <v>6220</v>
      </c>
      <c r="E1983">
        <v>3.89</v>
      </c>
      <c r="F1983" t="s">
        <v>50</v>
      </c>
      <c r="G1983" t="s">
        <v>5947</v>
      </c>
      <c r="H1983" t="s">
        <v>136</v>
      </c>
      <c r="I1983" s="11">
        <v>46295</v>
      </c>
      <c r="J1983" s="12">
        <v>46266</v>
      </c>
      <c r="K1983" s="13">
        <f>INDEX(Assumptions!$B$4:$B$23,MATCH(F1983,Assumptions!$A$4:$A$23,0))</f>
        <v>1.0869565217391299</v>
      </c>
      <c r="L1983" s="14">
        <f t="shared" si="60"/>
        <v>4.228260869565216</v>
      </c>
      <c r="M1983" t="str">
        <f t="shared" si="61"/>
        <v>No</v>
      </c>
    </row>
    <row r="1984" spans="1:13" x14ac:dyDescent="0.25">
      <c r="A1984">
        <v>337626</v>
      </c>
      <c r="B1984" t="s">
        <v>1097</v>
      </c>
      <c r="C1984" t="s">
        <v>6164</v>
      </c>
      <c r="D1984" t="s">
        <v>6220</v>
      </c>
      <c r="E1984">
        <v>3.91</v>
      </c>
      <c r="F1984" t="s">
        <v>50</v>
      </c>
      <c r="G1984" t="s">
        <v>5947</v>
      </c>
      <c r="H1984" t="s">
        <v>136</v>
      </c>
      <c r="I1984" s="11">
        <v>46295</v>
      </c>
      <c r="J1984" s="12">
        <v>46266</v>
      </c>
      <c r="K1984" s="13">
        <f>INDEX(Assumptions!$B$4:$B$23,MATCH(F1984,Assumptions!$A$4:$A$23,0))</f>
        <v>1.0869565217391299</v>
      </c>
      <c r="L1984" s="14">
        <f t="shared" si="60"/>
        <v>4.2499999999999982</v>
      </c>
      <c r="M1984" t="str">
        <f t="shared" si="61"/>
        <v>No</v>
      </c>
    </row>
    <row r="1985" spans="1:13" x14ac:dyDescent="0.25">
      <c r="A1985">
        <v>337625</v>
      </c>
      <c r="B1985" t="s">
        <v>6167</v>
      </c>
      <c r="C1985" t="s">
        <v>6168</v>
      </c>
      <c r="D1985" t="s">
        <v>6220</v>
      </c>
      <c r="E1985">
        <v>4.13</v>
      </c>
      <c r="F1985" t="s">
        <v>50</v>
      </c>
      <c r="G1985" t="s">
        <v>5947</v>
      </c>
      <c r="H1985" t="s">
        <v>136</v>
      </c>
      <c r="I1985" s="11">
        <v>46295</v>
      </c>
      <c r="J1985" s="12">
        <v>46266</v>
      </c>
      <c r="K1985" s="13">
        <f>INDEX(Assumptions!$B$4:$B$23,MATCH(F1985,Assumptions!$A$4:$A$23,0))</f>
        <v>1.0869565217391299</v>
      </c>
      <c r="L1985" s="14">
        <f t="shared" si="60"/>
        <v>4.4891304347826066</v>
      </c>
      <c r="M1985" t="str">
        <f t="shared" si="61"/>
        <v>No</v>
      </c>
    </row>
    <row r="1986" spans="1:13" x14ac:dyDescent="0.25">
      <c r="A1986">
        <v>337624</v>
      </c>
      <c r="B1986" t="s">
        <v>773</v>
      </c>
      <c r="C1986" t="s">
        <v>6170</v>
      </c>
      <c r="D1986" t="s">
        <v>6220</v>
      </c>
      <c r="E1986">
        <v>1.65</v>
      </c>
      <c r="F1986" t="s">
        <v>50</v>
      </c>
      <c r="G1986" t="s">
        <v>5947</v>
      </c>
      <c r="H1986" t="s">
        <v>136</v>
      </c>
      <c r="I1986" s="11">
        <v>46295</v>
      </c>
      <c r="J1986" s="12">
        <v>46266</v>
      </c>
      <c r="K1986" s="13">
        <f>INDEX(Assumptions!$B$4:$B$23,MATCH(F1986,Assumptions!$A$4:$A$23,0))</f>
        <v>1.0869565217391299</v>
      </c>
      <c r="L1986" s="14">
        <f t="shared" ref="L1986:L2001" si="62">E1986*K1986</f>
        <v>1.7934782608695643</v>
      </c>
      <c r="M1986" t="str">
        <f t="shared" ref="M1986:M2001" si="63">IF(C1986="Unnamed product","Yes","No")</f>
        <v>No</v>
      </c>
    </row>
    <row r="1987" spans="1:13" x14ac:dyDescent="0.25">
      <c r="A1987">
        <v>337623</v>
      </c>
      <c r="B1987" t="s">
        <v>6172</v>
      </c>
      <c r="C1987" t="s">
        <v>6173</v>
      </c>
      <c r="D1987" t="s">
        <v>6220</v>
      </c>
      <c r="E1987">
        <v>4.13</v>
      </c>
      <c r="F1987" t="s">
        <v>50</v>
      </c>
      <c r="G1987" t="s">
        <v>5947</v>
      </c>
      <c r="H1987" t="s">
        <v>136</v>
      </c>
      <c r="I1987" s="11">
        <v>46295</v>
      </c>
      <c r="J1987" s="12">
        <v>46266</v>
      </c>
      <c r="K1987" s="13">
        <f>INDEX(Assumptions!$B$4:$B$23,MATCH(F1987,Assumptions!$A$4:$A$23,0))</f>
        <v>1.0869565217391299</v>
      </c>
      <c r="L1987" s="14">
        <f t="shared" si="62"/>
        <v>4.4891304347826066</v>
      </c>
      <c r="M1987" t="str">
        <f t="shared" si="63"/>
        <v>No</v>
      </c>
    </row>
    <row r="1988" spans="1:13" x14ac:dyDescent="0.25">
      <c r="A1988">
        <v>337622</v>
      </c>
      <c r="B1988" t="s">
        <v>6175</v>
      </c>
      <c r="C1988" t="s">
        <v>6176</v>
      </c>
      <c r="D1988" t="s">
        <v>6220</v>
      </c>
      <c r="E1988">
        <v>2.37</v>
      </c>
      <c r="F1988" t="s">
        <v>50</v>
      </c>
      <c r="G1988" t="s">
        <v>5947</v>
      </c>
      <c r="H1988" t="s">
        <v>136</v>
      </c>
      <c r="I1988" s="11">
        <v>46295</v>
      </c>
      <c r="J1988" s="12">
        <v>46266</v>
      </c>
      <c r="K1988" s="13">
        <f>INDEX(Assumptions!$B$4:$B$23,MATCH(F1988,Assumptions!$A$4:$A$23,0))</f>
        <v>1.0869565217391299</v>
      </c>
      <c r="L1988" s="14">
        <f t="shared" si="62"/>
        <v>2.5760869565217379</v>
      </c>
      <c r="M1988" t="str">
        <f t="shared" si="63"/>
        <v>No</v>
      </c>
    </row>
    <row r="1989" spans="1:13" x14ac:dyDescent="0.25">
      <c r="A1989">
        <v>337621</v>
      </c>
      <c r="B1989" t="s">
        <v>6178</v>
      </c>
      <c r="C1989" t="s">
        <v>6179</v>
      </c>
      <c r="D1989" t="s">
        <v>6220</v>
      </c>
      <c r="E1989">
        <v>25.39</v>
      </c>
      <c r="F1989" t="s">
        <v>50</v>
      </c>
      <c r="G1989" t="s">
        <v>5947</v>
      </c>
      <c r="H1989" t="s">
        <v>136</v>
      </c>
      <c r="I1989" s="11">
        <v>46295</v>
      </c>
      <c r="J1989" s="12">
        <v>46266</v>
      </c>
      <c r="K1989" s="13">
        <f>INDEX(Assumptions!$B$4:$B$23,MATCH(F1989,Assumptions!$A$4:$A$23,0))</f>
        <v>1.0869565217391299</v>
      </c>
      <c r="L1989" s="14">
        <f t="shared" si="62"/>
        <v>27.597826086956509</v>
      </c>
      <c r="M1989" t="str">
        <f t="shared" si="63"/>
        <v>No</v>
      </c>
    </row>
    <row r="1990" spans="1:13" x14ac:dyDescent="0.25">
      <c r="A1990">
        <v>337620</v>
      </c>
      <c r="B1990" t="s">
        <v>6182</v>
      </c>
      <c r="C1990" t="s">
        <v>6221</v>
      </c>
      <c r="D1990" t="s">
        <v>6220</v>
      </c>
      <c r="E1990">
        <v>2.7</v>
      </c>
      <c r="F1990" t="s">
        <v>50</v>
      </c>
      <c r="G1990" t="s">
        <v>5947</v>
      </c>
      <c r="H1990" t="s">
        <v>136</v>
      </c>
      <c r="I1990" s="11">
        <v>46295</v>
      </c>
      <c r="J1990" s="12">
        <v>46266</v>
      </c>
      <c r="K1990" s="13">
        <f>INDEX(Assumptions!$B$4:$B$23,MATCH(F1990,Assumptions!$A$4:$A$23,0))</f>
        <v>1.0869565217391299</v>
      </c>
      <c r="L1990" s="14">
        <f t="shared" si="62"/>
        <v>2.934782608695651</v>
      </c>
      <c r="M1990" t="str">
        <f t="shared" si="63"/>
        <v>Yes</v>
      </c>
    </row>
    <row r="1991" spans="1:13" x14ac:dyDescent="0.25">
      <c r="A1991">
        <v>337619</v>
      </c>
      <c r="B1991" t="s">
        <v>6184</v>
      </c>
      <c r="C1991" t="s">
        <v>6185</v>
      </c>
      <c r="D1991" t="s">
        <v>6220</v>
      </c>
      <c r="E1991">
        <v>2.75</v>
      </c>
      <c r="F1991" t="s">
        <v>50</v>
      </c>
      <c r="G1991" t="s">
        <v>5947</v>
      </c>
      <c r="H1991" t="s">
        <v>136</v>
      </c>
      <c r="I1991" s="11">
        <v>46295</v>
      </c>
      <c r="J1991" s="12">
        <v>46266</v>
      </c>
      <c r="K1991" s="13">
        <f>INDEX(Assumptions!$B$4:$B$23,MATCH(F1991,Assumptions!$A$4:$A$23,0))</f>
        <v>1.0869565217391299</v>
      </c>
      <c r="L1991" s="14">
        <f t="shared" si="62"/>
        <v>2.9891304347826075</v>
      </c>
      <c r="M1991" t="str">
        <f t="shared" si="63"/>
        <v>No</v>
      </c>
    </row>
    <row r="1992" spans="1:13" x14ac:dyDescent="0.25">
      <c r="A1992">
        <v>337618</v>
      </c>
      <c r="B1992" t="s">
        <v>776</v>
      </c>
      <c r="C1992" t="s">
        <v>6187</v>
      </c>
      <c r="D1992" t="s">
        <v>6220</v>
      </c>
      <c r="E1992">
        <v>1.71</v>
      </c>
      <c r="F1992" t="s">
        <v>50</v>
      </c>
      <c r="G1992" t="s">
        <v>5947</v>
      </c>
      <c r="H1992" t="s">
        <v>136</v>
      </c>
      <c r="I1992" s="11">
        <v>46295</v>
      </c>
      <c r="J1992" s="12">
        <v>46266</v>
      </c>
      <c r="K1992" s="13">
        <f>INDEX(Assumptions!$B$4:$B$23,MATCH(F1992,Assumptions!$A$4:$A$23,0))</f>
        <v>1.0869565217391299</v>
      </c>
      <c r="L1992" s="14">
        <f t="shared" si="62"/>
        <v>1.8586956521739122</v>
      </c>
      <c r="M1992" t="str">
        <f t="shared" si="63"/>
        <v>No</v>
      </c>
    </row>
    <row r="1993" spans="1:13" x14ac:dyDescent="0.25">
      <c r="A1993">
        <v>337617</v>
      </c>
      <c r="B1993" t="s">
        <v>459</v>
      </c>
      <c r="C1993" t="s">
        <v>6189</v>
      </c>
      <c r="D1993" t="s">
        <v>6220</v>
      </c>
      <c r="E1993">
        <v>1.77</v>
      </c>
      <c r="F1993" t="s">
        <v>50</v>
      </c>
      <c r="G1993" t="s">
        <v>5947</v>
      </c>
      <c r="H1993" t="s">
        <v>136</v>
      </c>
      <c r="I1993" s="11">
        <v>46295</v>
      </c>
      <c r="J1993" s="12">
        <v>46266</v>
      </c>
      <c r="K1993" s="13">
        <f>INDEX(Assumptions!$B$4:$B$23,MATCH(F1993,Assumptions!$A$4:$A$23,0))</f>
        <v>1.0869565217391299</v>
      </c>
      <c r="L1993" s="14">
        <f t="shared" si="62"/>
        <v>1.9239130434782601</v>
      </c>
      <c r="M1993" t="str">
        <f t="shared" si="63"/>
        <v>No</v>
      </c>
    </row>
    <row r="1994" spans="1:13" x14ac:dyDescent="0.25">
      <c r="A1994">
        <v>337616</v>
      </c>
      <c r="B1994" t="s">
        <v>6191</v>
      </c>
      <c r="C1994" t="s">
        <v>6192</v>
      </c>
      <c r="D1994" t="s">
        <v>6220</v>
      </c>
      <c r="E1994">
        <v>1.85</v>
      </c>
      <c r="F1994" t="s">
        <v>50</v>
      </c>
      <c r="G1994" t="s">
        <v>5947</v>
      </c>
      <c r="H1994" t="s">
        <v>136</v>
      </c>
      <c r="I1994" s="11">
        <v>46295</v>
      </c>
      <c r="J1994" s="12">
        <v>46266</v>
      </c>
      <c r="K1994" s="13">
        <f>INDEX(Assumptions!$B$4:$B$23,MATCH(F1994,Assumptions!$A$4:$A$23,0))</f>
        <v>1.0869565217391299</v>
      </c>
      <c r="L1994" s="14">
        <f t="shared" si="62"/>
        <v>2.0108695652173907</v>
      </c>
      <c r="M1994" t="str">
        <f t="shared" si="63"/>
        <v>No</v>
      </c>
    </row>
    <row r="1995" spans="1:13" x14ac:dyDescent="0.25">
      <c r="A1995">
        <v>337615</v>
      </c>
      <c r="B1995" t="s">
        <v>615</v>
      </c>
      <c r="C1995" t="s">
        <v>6056</v>
      </c>
      <c r="D1995" t="s">
        <v>6220</v>
      </c>
      <c r="E1995">
        <v>3.8</v>
      </c>
      <c r="F1995" t="s">
        <v>50</v>
      </c>
      <c r="G1995" t="s">
        <v>5947</v>
      </c>
      <c r="H1995" t="s">
        <v>136</v>
      </c>
      <c r="I1995" s="11">
        <v>46295</v>
      </c>
      <c r="J1995" s="12">
        <v>46266</v>
      </c>
      <c r="K1995" s="13">
        <f>INDEX(Assumptions!$B$4:$B$23,MATCH(F1995,Assumptions!$A$4:$A$23,0))</f>
        <v>1.0869565217391299</v>
      </c>
      <c r="L1995" s="14">
        <f t="shared" si="62"/>
        <v>4.1304347826086936</v>
      </c>
      <c r="M1995" t="str">
        <f t="shared" si="63"/>
        <v>No</v>
      </c>
    </row>
    <row r="1996" spans="1:13" x14ac:dyDescent="0.25">
      <c r="A1996">
        <v>337614</v>
      </c>
      <c r="B1996" t="s">
        <v>6167</v>
      </c>
      <c r="C1996" t="s">
        <v>6168</v>
      </c>
      <c r="D1996" t="s">
        <v>6220</v>
      </c>
      <c r="E1996">
        <v>4.13</v>
      </c>
      <c r="F1996" t="s">
        <v>50</v>
      </c>
      <c r="G1996" t="s">
        <v>5947</v>
      </c>
      <c r="H1996" t="s">
        <v>136</v>
      </c>
      <c r="I1996" s="11">
        <v>46295</v>
      </c>
      <c r="J1996" s="12">
        <v>46266</v>
      </c>
      <c r="K1996" s="13">
        <f>INDEX(Assumptions!$B$4:$B$23,MATCH(F1996,Assumptions!$A$4:$A$23,0))</f>
        <v>1.0869565217391299</v>
      </c>
      <c r="L1996" s="14">
        <f t="shared" si="62"/>
        <v>4.4891304347826066</v>
      </c>
      <c r="M1996" t="str">
        <f t="shared" si="63"/>
        <v>No</v>
      </c>
    </row>
    <row r="1997" spans="1:13" x14ac:dyDescent="0.25">
      <c r="A1997">
        <v>337613</v>
      </c>
      <c r="B1997" t="s">
        <v>3454</v>
      </c>
      <c r="C1997" t="s">
        <v>6196</v>
      </c>
      <c r="D1997" t="s">
        <v>6220</v>
      </c>
      <c r="E1997">
        <v>1.1200000000000001</v>
      </c>
      <c r="F1997" t="s">
        <v>50</v>
      </c>
      <c r="G1997" t="s">
        <v>5947</v>
      </c>
      <c r="H1997" t="s">
        <v>136</v>
      </c>
      <c r="I1997" s="11">
        <v>46295</v>
      </c>
      <c r="J1997" s="12">
        <v>46266</v>
      </c>
      <c r="K1997" s="13">
        <f>INDEX(Assumptions!$B$4:$B$23,MATCH(F1997,Assumptions!$A$4:$A$23,0))</f>
        <v>1.0869565217391299</v>
      </c>
      <c r="L1997" s="14">
        <f t="shared" si="62"/>
        <v>1.2173913043478257</v>
      </c>
      <c r="M1997" t="str">
        <f t="shared" si="63"/>
        <v>No</v>
      </c>
    </row>
    <row r="1998" spans="1:13" x14ac:dyDescent="0.25">
      <c r="A1998">
        <v>337612</v>
      </c>
      <c r="B1998" t="s">
        <v>6198</v>
      </c>
      <c r="C1998" t="s">
        <v>6199</v>
      </c>
      <c r="D1998" t="s">
        <v>6220</v>
      </c>
      <c r="E1998">
        <v>2.96</v>
      </c>
      <c r="F1998" t="s">
        <v>50</v>
      </c>
      <c r="G1998" t="s">
        <v>5947</v>
      </c>
      <c r="H1998" t="s">
        <v>136</v>
      </c>
      <c r="I1998" s="11">
        <v>46295</v>
      </c>
      <c r="J1998" s="12">
        <v>46266</v>
      </c>
      <c r="K1998" s="13">
        <f>INDEX(Assumptions!$B$4:$B$23,MATCH(F1998,Assumptions!$A$4:$A$23,0))</f>
        <v>1.0869565217391299</v>
      </c>
      <c r="L1998" s="14">
        <f t="shared" si="62"/>
        <v>3.2173913043478244</v>
      </c>
      <c r="M1998" t="str">
        <f t="shared" si="63"/>
        <v>No</v>
      </c>
    </row>
    <row r="1999" spans="1:13" x14ac:dyDescent="0.25">
      <c r="A1999">
        <v>337611</v>
      </c>
      <c r="B1999" t="s">
        <v>6201</v>
      </c>
      <c r="C1999" t="s">
        <v>6202</v>
      </c>
      <c r="D1999" t="s">
        <v>6220</v>
      </c>
      <c r="E1999">
        <v>2.88</v>
      </c>
      <c r="F1999" t="s">
        <v>50</v>
      </c>
      <c r="G1999" t="s">
        <v>5947</v>
      </c>
      <c r="H1999" t="s">
        <v>136</v>
      </c>
      <c r="I1999" s="11">
        <v>46295</v>
      </c>
      <c r="J1999" s="12">
        <v>46266</v>
      </c>
      <c r="K1999" s="13">
        <f>INDEX(Assumptions!$B$4:$B$23,MATCH(F1999,Assumptions!$A$4:$A$23,0))</f>
        <v>1.0869565217391299</v>
      </c>
      <c r="L1999" s="14">
        <f t="shared" si="62"/>
        <v>3.130434782608694</v>
      </c>
      <c r="M1999" t="str">
        <f t="shared" si="63"/>
        <v>No</v>
      </c>
    </row>
    <row r="2000" spans="1:13" x14ac:dyDescent="0.25">
      <c r="A2000">
        <v>337610</v>
      </c>
      <c r="B2000" t="s">
        <v>6204</v>
      </c>
      <c r="C2000" t="s">
        <v>6205</v>
      </c>
      <c r="D2000" t="s">
        <v>6220</v>
      </c>
      <c r="E2000">
        <v>2.44</v>
      </c>
      <c r="F2000" t="s">
        <v>50</v>
      </c>
      <c r="G2000" t="s">
        <v>5947</v>
      </c>
      <c r="H2000" t="s">
        <v>136</v>
      </c>
      <c r="I2000" s="11">
        <v>46295</v>
      </c>
      <c r="J2000" s="12">
        <v>46266</v>
      </c>
      <c r="K2000" s="13">
        <f>INDEX(Assumptions!$B$4:$B$23,MATCH(F2000,Assumptions!$A$4:$A$23,0))</f>
        <v>1.0869565217391299</v>
      </c>
      <c r="L2000" s="14">
        <f t="shared" si="62"/>
        <v>2.6521739130434772</v>
      </c>
      <c r="M2000" t="str">
        <f t="shared" si="63"/>
        <v>No</v>
      </c>
    </row>
    <row r="2001" spans="1:13" x14ac:dyDescent="0.25">
      <c r="A2001">
        <v>337609</v>
      </c>
      <c r="B2001" t="s">
        <v>6207</v>
      </c>
      <c r="C2001" t="s">
        <v>6208</v>
      </c>
      <c r="D2001" t="s">
        <v>6220</v>
      </c>
      <c r="E2001">
        <v>2.12</v>
      </c>
      <c r="F2001" t="s">
        <v>50</v>
      </c>
      <c r="G2001" t="s">
        <v>5947</v>
      </c>
      <c r="H2001" t="s">
        <v>136</v>
      </c>
      <c r="I2001" s="11">
        <v>46295</v>
      </c>
      <c r="J2001" s="12">
        <v>46266</v>
      </c>
      <c r="K2001" s="13">
        <f>INDEX(Assumptions!$B$4:$B$23,MATCH(F2001,Assumptions!$A$4:$A$23,0))</f>
        <v>1.0869565217391299</v>
      </c>
      <c r="L2001" s="14">
        <f t="shared" si="62"/>
        <v>2.3043478260869557</v>
      </c>
      <c r="M2001" t="str">
        <f t="shared" si="63"/>
        <v>No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7"/>
  <sheetViews>
    <sheetView workbookViewId="0"/>
  </sheetViews>
  <sheetFormatPr defaultRowHeight="15" x14ac:dyDescent="0.25"/>
  <cols>
    <col min="1" max="1" width="5" customWidth="1"/>
    <col min="2" max="2" width="18" customWidth="1"/>
    <col min="3" max="3" width="48" customWidth="1"/>
    <col min="4" max="4" width="18" customWidth="1"/>
    <col min="5" max="5" width="14" customWidth="1"/>
    <col min="6" max="6" width="60" customWidth="1"/>
  </cols>
  <sheetData>
    <row r="1" spans="1:6" x14ac:dyDescent="0.25">
      <c r="A1" s="9" t="s">
        <v>6223</v>
      </c>
    </row>
    <row r="3" spans="1:6" ht="30" customHeight="1" x14ac:dyDescent="0.25">
      <c r="A3" s="8" t="s">
        <v>6224</v>
      </c>
      <c r="B3" s="8" t="s">
        <v>6225</v>
      </c>
      <c r="C3" s="8" t="s">
        <v>6226</v>
      </c>
      <c r="D3" s="8" t="s">
        <v>6227</v>
      </c>
      <c r="E3" s="8" t="s">
        <v>6228</v>
      </c>
      <c r="F3" s="8" t="s">
        <v>6229</v>
      </c>
    </row>
    <row r="4" spans="1:6" x14ac:dyDescent="0.25">
      <c r="A4">
        <v>1</v>
      </c>
      <c r="B4" t="s">
        <v>37</v>
      </c>
      <c r="C4" s="3" t="s">
        <v>6230</v>
      </c>
      <c r="D4">
        <f>COUNTBLANK(tblRaw[brand])</f>
        <v>2000</v>
      </c>
      <c r="E4" s="15">
        <f>D4/COUNTA(tblRaw[price_record_id])</f>
        <v>1</v>
      </c>
      <c r="F4" s="3" t="s">
        <v>6231</v>
      </c>
    </row>
    <row r="5" spans="1:6" ht="30" customHeight="1" x14ac:dyDescent="0.25">
      <c r="A5">
        <v>2</v>
      </c>
      <c r="B5" t="s">
        <v>44</v>
      </c>
      <c r="C5" s="3" t="s">
        <v>6232</v>
      </c>
      <c r="D5">
        <f>COUNTBLANK(tblRaw[country_code])</f>
        <v>2000</v>
      </c>
      <c r="E5" s="15">
        <f>D5/COUNTA(tblRaw[price_record_id])</f>
        <v>1</v>
      </c>
      <c r="F5" s="3" t="s">
        <v>6233</v>
      </c>
    </row>
    <row r="6" spans="1:6" x14ac:dyDescent="0.25">
      <c r="A6">
        <v>3</v>
      </c>
      <c r="B6" t="s">
        <v>41</v>
      </c>
      <c r="C6" s="3" t="s">
        <v>6234</v>
      </c>
      <c r="D6">
        <f>SUMPRODUCT(--(tblRaw[price_is_discounted]="False"))</f>
        <v>2000</v>
      </c>
      <c r="E6" s="15">
        <f>D6/COUNTA(tblRaw[price_record_id])</f>
        <v>1</v>
      </c>
      <c r="F6" s="3" t="s">
        <v>6235</v>
      </c>
    </row>
    <row r="7" spans="1:6" ht="30" customHeight="1" x14ac:dyDescent="0.25">
      <c r="A7">
        <v>4</v>
      </c>
      <c r="B7" t="s">
        <v>38</v>
      </c>
      <c r="C7" s="3" t="s">
        <v>6236</v>
      </c>
      <c r="D7">
        <f>COUNTBLANK(tblRaw[category])</f>
        <v>1866</v>
      </c>
      <c r="E7" s="15">
        <f>D7/COUNTA(tblRaw[price_record_id])</f>
        <v>0.93300000000000005</v>
      </c>
      <c r="F7" s="3" t="s">
        <v>6237</v>
      </c>
    </row>
    <row r="8" spans="1:6" ht="30" customHeight="1" x14ac:dyDescent="0.25">
      <c r="A8">
        <v>5</v>
      </c>
      <c r="B8" t="s">
        <v>36</v>
      </c>
      <c r="C8" s="3" t="s">
        <v>6238</v>
      </c>
      <c r="D8">
        <f>COUNTBLANK(tblRaw[product_name])</f>
        <v>461</v>
      </c>
      <c r="E8" s="15">
        <f>D8/COUNTA(tblRaw[price_record_id])</f>
        <v>0.23050000000000001</v>
      </c>
      <c r="F8" s="3" t="s">
        <v>6239</v>
      </c>
    </row>
    <row r="9" spans="1:6" x14ac:dyDescent="0.25">
      <c r="A9">
        <v>6</v>
      </c>
      <c r="B9" t="s">
        <v>35</v>
      </c>
      <c r="C9" s="3" t="s">
        <v>6240</v>
      </c>
      <c r="D9">
        <f>COUNTBLANK(tblRaw[product_code])</f>
        <v>134</v>
      </c>
      <c r="E9" s="15">
        <f>D9/COUNTA(tblRaw[price_record_id])</f>
        <v>6.7000000000000004E-2</v>
      </c>
      <c r="F9" s="3" t="s">
        <v>6241</v>
      </c>
    </row>
    <row r="10" spans="1:6" ht="45" x14ac:dyDescent="0.25">
      <c r="A10">
        <v>7</v>
      </c>
      <c r="B10" t="s">
        <v>42</v>
      </c>
      <c r="C10" s="3" t="s">
        <v>6242</v>
      </c>
      <c r="D10">
        <f>COUNTA(tblRaw[store_name])</f>
        <v>2000</v>
      </c>
      <c r="E10" s="15">
        <f>D10/COUNTA(tblRaw[price_record_id])</f>
        <v>1</v>
      </c>
      <c r="F10" s="3" t="s">
        <v>6243</v>
      </c>
    </row>
    <row r="11" spans="1:6" ht="45" x14ac:dyDescent="0.25">
      <c r="A11">
        <v>8</v>
      </c>
      <c r="B11" t="s">
        <v>43</v>
      </c>
      <c r="C11" s="3" t="s">
        <v>6244</v>
      </c>
      <c r="D11">
        <f>COUNTA(tblRaw[city])</f>
        <v>2000</v>
      </c>
      <c r="E11" s="15">
        <f>D11/COUNTA(tblRaw[price_record_id])</f>
        <v>1</v>
      </c>
      <c r="F11" s="3" t="s">
        <v>6245</v>
      </c>
    </row>
    <row r="12" spans="1:6" ht="30" customHeight="1" x14ac:dyDescent="0.25">
      <c r="A12">
        <v>9</v>
      </c>
      <c r="B12" t="s">
        <v>40</v>
      </c>
      <c r="C12" s="3" t="s">
        <v>6246</v>
      </c>
      <c r="D12">
        <f>COUNTA(tblRaw[currency])-COUNTIF(tblRaw[currency],"EUR")-COUNTIF(tblRaw[currency],"USD")</f>
        <v>599</v>
      </c>
      <c r="E12" s="15">
        <f>D12/COUNTA(tblRaw[price_record_id])</f>
        <v>0.29949999999999999</v>
      </c>
      <c r="F12" s="3" t="s">
        <v>6247</v>
      </c>
    </row>
    <row r="13" spans="1:6" ht="30" customHeight="1" x14ac:dyDescent="0.25">
      <c r="A13">
        <v>10</v>
      </c>
      <c r="B13" t="s">
        <v>39</v>
      </c>
      <c r="C13" s="3" t="s">
        <v>6248</v>
      </c>
      <c r="D13">
        <f>COUNTIFS(tblRaw[currency],"BIF")+COUNTIFS(tblRaw[currency],"KZT")</f>
        <v>37</v>
      </c>
      <c r="E13" s="15">
        <f>D13/COUNTA(tblRaw[price_record_id])</f>
        <v>1.8499999999999999E-2</v>
      </c>
      <c r="F13" s="3" t="s">
        <v>6249</v>
      </c>
    </row>
    <row r="14" spans="1:6" x14ac:dyDescent="0.25">
      <c r="A14">
        <v>11</v>
      </c>
      <c r="B14" t="s">
        <v>45</v>
      </c>
      <c r="C14" s="3" t="s">
        <v>6250</v>
      </c>
      <c r="D14">
        <f>COUNTA(tblRaw[date_recorded])</f>
        <v>2000</v>
      </c>
      <c r="E14" s="15">
        <f>D14/COUNTA(tblRaw[price_record_id])</f>
        <v>1</v>
      </c>
      <c r="F14" s="3" t="s">
        <v>6251</v>
      </c>
    </row>
    <row r="15" spans="1:6" x14ac:dyDescent="0.25">
      <c r="A15">
        <v>12</v>
      </c>
      <c r="B15" t="s">
        <v>34</v>
      </c>
      <c r="C15" s="3" t="s">
        <v>6252</v>
      </c>
      <c r="D15">
        <v>0</v>
      </c>
      <c r="E15" s="15">
        <f>D15/COUNTA(tblRaw[price_record_id])</f>
        <v>0</v>
      </c>
      <c r="F15" s="3" t="s">
        <v>6253</v>
      </c>
    </row>
    <row r="16" spans="1:6" ht="30" x14ac:dyDescent="0.25">
      <c r="A16">
        <v>13</v>
      </c>
      <c r="B16" t="s">
        <v>42</v>
      </c>
      <c r="C16" s="3" t="s">
        <v>6254</v>
      </c>
      <c r="D16">
        <f>COUNTIF(tblRaw[store_name],"vanished")</f>
        <v>35</v>
      </c>
      <c r="E16" s="15">
        <f>D16/COUNTA(tblRaw[price_record_id])</f>
        <v>1.7500000000000002E-2</v>
      </c>
      <c r="F16" s="3" t="s">
        <v>6255</v>
      </c>
    </row>
    <row r="17" spans="1:6" ht="60" x14ac:dyDescent="0.25">
      <c r="A17">
        <v>14</v>
      </c>
      <c r="B17" t="s">
        <v>43</v>
      </c>
      <c r="C17" s="3" t="s">
        <v>6256</v>
      </c>
      <c r="D17">
        <v>192</v>
      </c>
      <c r="E17" s="15">
        <f>D17/COUNTA(tblRaw[price_record_id])</f>
        <v>9.6000000000000002E-2</v>
      </c>
      <c r="F17" s="3" t="s">
        <v>6257</v>
      </c>
    </row>
  </sheetData>
  <conditionalFormatting sqref="E4:E17">
    <cfRule type="cellIs" dxfId="0" priority="1" operator="greaterThan">
      <formula>0.1</formula>
    </cfRule>
  </conditionalFormatting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"/>
  <sheetViews>
    <sheetView topLeftCell="A4" workbookViewId="0"/>
  </sheetViews>
  <sheetFormatPr defaultRowHeight="15" x14ac:dyDescent="0.25"/>
  <cols>
    <col min="1" max="1" width="26" customWidth="1"/>
    <col min="2" max="2" width="14" customWidth="1"/>
    <col min="3" max="3" width="18" customWidth="1"/>
    <col min="4" max="5" width="26" customWidth="1"/>
  </cols>
  <sheetData>
    <row r="1" spans="1:5" x14ac:dyDescent="0.25">
      <c r="A1" s="9" t="s">
        <v>6258</v>
      </c>
    </row>
    <row r="3" spans="1:5" x14ac:dyDescent="0.25">
      <c r="A3" s="9" t="s">
        <v>6259</v>
      </c>
    </row>
    <row r="4" spans="1:5" x14ac:dyDescent="0.25">
      <c r="A4" s="8" t="s">
        <v>6211</v>
      </c>
      <c r="B4" s="8" t="s">
        <v>27</v>
      </c>
      <c r="C4" s="8" t="s">
        <v>6260</v>
      </c>
      <c r="D4" s="8" t="s">
        <v>6261</v>
      </c>
      <c r="E4" s="8" t="s">
        <v>6262</v>
      </c>
    </row>
    <row r="5" spans="1:5" x14ac:dyDescent="0.25">
      <c r="A5" t="s">
        <v>50</v>
      </c>
      <c r="B5">
        <f t="shared" ref="B5:B24" si="0">COUNTIFS(c_currency,A5)</f>
        <v>994</v>
      </c>
      <c r="C5" s="15">
        <f t="shared" ref="C5:C24" si="1">B5/COUNTA(c_currency)</f>
        <v>0.497</v>
      </c>
      <c r="D5" s="16">
        <f>AVERAGEIFS(Clean!$E$2:$E$2001,c_currency,A5)</f>
        <v>3.1998088531187077</v>
      </c>
      <c r="E5" s="14">
        <f t="shared" ref="E5:E24" si="2">AVERAGEIFS(c_usd,c_currency,A5)</f>
        <v>3.4780531012159859</v>
      </c>
    </row>
    <row r="6" spans="1:5" x14ac:dyDescent="0.25">
      <c r="A6" t="s">
        <v>1722</v>
      </c>
      <c r="B6">
        <f t="shared" si="0"/>
        <v>407</v>
      </c>
      <c r="C6" s="15">
        <f t="shared" si="1"/>
        <v>0.20349999999999999</v>
      </c>
      <c r="D6" s="16">
        <f>AVERAGEIFS(Clean!$E$2:$E$2001,c_currency,A6)</f>
        <v>10.877739557739446</v>
      </c>
      <c r="E6" s="14">
        <f t="shared" si="2"/>
        <v>10.877739557739446</v>
      </c>
    </row>
    <row r="7" spans="1:5" x14ac:dyDescent="0.25">
      <c r="A7" t="s">
        <v>1681</v>
      </c>
      <c r="B7">
        <f t="shared" si="0"/>
        <v>190</v>
      </c>
      <c r="C7" s="15">
        <f t="shared" si="1"/>
        <v>9.5000000000000001E-2</v>
      </c>
      <c r="D7" s="16">
        <f>AVERAGEIFS(Clean!$E$2:$E$2001,c_currency,A7)</f>
        <v>34.934368421052561</v>
      </c>
      <c r="E7" s="14">
        <f t="shared" si="2"/>
        <v>3.5287240829346054</v>
      </c>
    </row>
    <row r="8" spans="1:5" x14ac:dyDescent="0.25">
      <c r="A8" t="s">
        <v>1836</v>
      </c>
      <c r="B8">
        <f t="shared" si="0"/>
        <v>122</v>
      </c>
      <c r="C8" s="15">
        <f t="shared" si="1"/>
        <v>6.0999999999999999E-2</v>
      </c>
      <c r="D8" s="16">
        <f>AVERAGEIFS(Clean!$E$2:$E$2001,c_currency,A8)</f>
        <v>4.3531147540983621</v>
      </c>
      <c r="E8" s="14">
        <f t="shared" si="2"/>
        <v>2.5162513029470297</v>
      </c>
    </row>
    <row r="9" spans="1:5" x14ac:dyDescent="0.25">
      <c r="A9" t="s">
        <v>123</v>
      </c>
      <c r="B9">
        <f t="shared" si="0"/>
        <v>118</v>
      </c>
      <c r="C9" s="15">
        <f t="shared" si="1"/>
        <v>5.8999999999999997E-2</v>
      </c>
      <c r="D9" s="16">
        <f>AVERAGEIFS(Clean!$E$2:$E$2001,c_currency,A9)</f>
        <v>23.973644067796638</v>
      </c>
      <c r="E9" s="14">
        <f t="shared" si="2"/>
        <v>2.5235414808206955</v>
      </c>
    </row>
    <row r="10" spans="1:5" x14ac:dyDescent="0.25">
      <c r="A10" t="s">
        <v>5194</v>
      </c>
      <c r="B10">
        <f t="shared" si="0"/>
        <v>73</v>
      </c>
      <c r="C10" s="15">
        <f t="shared" si="1"/>
        <v>3.6499999999999998E-2</v>
      </c>
      <c r="D10" s="16">
        <f>AVERAGEIFS(Clean!$E$2:$E$2001,c_currency,A10)</f>
        <v>73.130136986301338</v>
      </c>
      <c r="E10" s="14">
        <f t="shared" si="2"/>
        <v>3.2502283105022838</v>
      </c>
    </row>
    <row r="11" spans="1:5" x14ac:dyDescent="0.25">
      <c r="A11" t="s">
        <v>1467</v>
      </c>
      <c r="B11">
        <f t="shared" si="0"/>
        <v>35</v>
      </c>
      <c r="C11" s="15">
        <f t="shared" si="1"/>
        <v>1.7500000000000002E-2</v>
      </c>
      <c r="D11" s="16">
        <f>AVERAGEIFS(Clean!$E$2:$E$2001,c_currency,A11)</f>
        <v>1047.3142857142857</v>
      </c>
      <c r="E11" s="14">
        <f t="shared" si="2"/>
        <v>2.1819047619047618</v>
      </c>
    </row>
    <row r="12" spans="1:5" x14ac:dyDescent="0.25">
      <c r="A12" t="s">
        <v>1663</v>
      </c>
      <c r="B12">
        <f t="shared" si="0"/>
        <v>21</v>
      </c>
      <c r="C12" s="15">
        <f t="shared" si="1"/>
        <v>1.0500000000000001E-2</v>
      </c>
      <c r="D12" s="16">
        <f>AVERAGEIFS(Clean!$E$2:$E$2001,c_currency,A12)</f>
        <v>9.7961904761904766</v>
      </c>
      <c r="E12" s="14">
        <f t="shared" si="2"/>
        <v>2.5779448621553875</v>
      </c>
    </row>
    <row r="13" spans="1:5" x14ac:dyDescent="0.25">
      <c r="A13" t="s">
        <v>1426</v>
      </c>
      <c r="B13">
        <f t="shared" si="0"/>
        <v>16</v>
      </c>
      <c r="C13" s="15">
        <f t="shared" si="1"/>
        <v>8.0000000000000002E-3</v>
      </c>
      <c r="D13" s="16">
        <f>AVERAGEIFS(Clean!$E$2:$E$2001,c_currency,A13)</f>
        <v>3.3245624999999994</v>
      </c>
      <c r="E13" s="14">
        <f t="shared" si="2"/>
        <v>2.4626388888888888</v>
      </c>
    </row>
    <row r="14" spans="1:5" x14ac:dyDescent="0.25">
      <c r="A14" t="s">
        <v>2435</v>
      </c>
      <c r="B14">
        <f t="shared" si="0"/>
        <v>5</v>
      </c>
      <c r="C14" s="15">
        <f t="shared" si="1"/>
        <v>2.5000000000000001E-3</v>
      </c>
      <c r="D14" s="16">
        <f>AVERAGEIFS(Clean!$E$2:$E$2001,c_currency,A14)</f>
        <v>6.339999999999999</v>
      </c>
      <c r="E14" s="14">
        <f t="shared" si="2"/>
        <v>1.7135135135135129</v>
      </c>
    </row>
    <row r="15" spans="1:5" x14ac:dyDescent="0.25">
      <c r="A15" t="s">
        <v>2530</v>
      </c>
      <c r="B15">
        <f t="shared" si="0"/>
        <v>4</v>
      </c>
      <c r="C15" s="15">
        <f t="shared" si="1"/>
        <v>2E-3</v>
      </c>
      <c r="D15" s="16">
        <f>AVERAGEIFS(Clean!$E$2:$E$2001,c_currency,A15)</f>
        <v>53.75</v>
      </c>
      <c r="E15" s="14">
        <f t="shared" si="2"/>
        <v>0.55989583333333348</v>
      </c>
    </row>
    <row r="16" spans="1:5" x14ac:dyDescent="0.25">
      <c r="A16" t="s">
        <v>1460</v>
      </c>
      <c r="B16">
        <f t="shared" si="0"/>
        <v>3</v>
      </c>
      <c r="C16" s="15">
        <f t="shared" si="1"/>
        <v>1.5E-3</v>
      </c>
      <c r="D16" s="16">
        <f>AVERAGEIFS(Clean!$E$2:$E$2001,c_currency,A16)</f>
        <v>129.33333333333334</v>
      </c>
      <c r="E16" s="14">
        <f t="shared" si="2"/>
        <v>1.5396825396825389</v>
      </c>
    </row>
    <row r="17" spans="1:5" x14ac:dyDescent="0.25">
      <c r="A17" t="s">
        <v>2419</v>
      </c>
      <c r="B17">
        <f t="shared" si="0"/>
        <v>3</v>
      </c>
      <c r="C17" s="15">
        <f t="shared" si="1"/>
        <v>1.5E-3</v>
      </c>
      <c r="D17" s="16">
        <f>AVERAGEIFS(Clean!$E$2:$E$2001,c_currency,A17)</f>
        <v>9</v>
      </c>
      <c r="E17" s="14">
        <f t="shared" si="2"/>
        <v>0.91836734693877542</v>
      </c>
    </row>
    <row r="18" spans="1:5" x14ac:dyDescent="0.25">
      <c r="A18" t="s">
        <v>949</v>
      </c>
      <c r="B18">
        <f t="shared" si="0"/>
        <v>2</v>
      </c>
      <c r="C18" s="15">
        <f t="shared" si="1"/>
        <v>1E-3</v>
      </c>
      <c r="D18" s="16">
        <f>AVERAGEIFS(Clean!$E$2:$E$2001,c_currency,A18)</f>
        <v>1.895</v>
      </c>
      <c r="E18" s="14">
        <f t="shared" si="2"/>
        <v>2.3987341772151889</v>
      </c>
    </row>
    <row r="19" spans="1:5" x14ac:dyDescent="0.25">
      <c r="A19" t="s">
        <v>5647</v>
      </c>
      <c r="B19">
        <f t="shared" si="0"/>
        <v>2</v>
      </c>
      <c r="C19" s="15">
        <f t="shared" si="1"/>
        <v>1E-3</v>
      </c>
      <c r="D19" s="16">
        <f>AVERAGEIFS(Clean!$E$2:$E$2001,c_currency,A19)</f>
        <v>2000</v>
      </c>
      <c r="E19" s="14">
        <f t="shared" si="2"/>
        <v>0.67796610169491522</v>
      </c>
    </row>
    <row r="20" spans="1:5" x14ac:dyDescent="0.25">
      <c r="A20" t="s">
        <v>938</v>
      </c>
      <c r="B20">
        <f t="shared" si="0"/>
        <v>1</v>
      </c>
      <c r="C20" s="15">
        <f t="shared" si="1"/>
        <v>5.0000000000000001E-4</v>
      </c>
      <c r="D20" s="16">
        <f>AVERAGEIFS(Clean!$E$2:$E$2001,c_currency,A20)</f>
        <v>1390</v>
      </c>
      <c r="E20" s="14">
        <f t="shared" si="2"/>
        <v>1.4787234042553197</v>
      </c>
    </row>
    <row r="21" spans="1:5" x14ac:dyDescent="0.25">
      <c r="A21" t="s">
        <v>1585</v>
      </c>
      <c r="B21">
        <f t="shared" si="0"/>
        <v>1</v>
      </c>
      <c r="C21" s="15">
        <f t="shared" si="1"/>
        <v>5.0000000000000001E-4</v>
      </c>
      <c r="D21" s="16">
        <f>AVERAGEIFS(Clean!$E$2:$E$2001,c_currency,A21)</f>
        <v>169</v>
      </c>
      <c r="E21" s="14">
        <f t="shared" si="2"/>
        <v>1.5648148148148147</v>
      </c>
    </row>
    <row r="22" spans="1:5" x14ac:dyDescent="0.25">
      <c r="A22" t="s">
        <v>5451</v>
      </c>
      <c r="B22">
        <f t="shared" si="0"/>
        <v>1</v>
      </c>
      <c r="C22" s="15">
        <f t="shared" si="1"/>
        <v>5.0000000000000001E-4</v>
      </c>
      <c r="D22" s="16">
        <f>AVERAGEIFS(Clean!$E$2:$E$2001,c_currency,A22)</f>
        <v>6.99</v>
      </c>
      <c r="E22" s="14">
        <f t="shared" si="2"/>
        <v>1.2709090909090908</v>
      </c>
    </row>
    <row r="23" spans="1:5" x14ac:dyDescent="0.25">
      <c r="A23" t="s">
        <v>5579</v>
      </c>
      <c r="B23">
        <f t="shared" si="0"/>
        <v>1</v>
      </c>
      <c r="C23" s="15">
        <f t="shared" si="1"/>
        <v>5.0000000000000001E-4</v>
      </c>
      <c r="D23" s="16">
        <f>AVERAGEIFS(Clean!$E$2:$E$2001,c_currency,A23)</f>
        <v>1090</v>
      </c>
      <c r="E23" s="14">
        <f t="shared" si="2"/>
        <v>32.058823529411761</v>
      </c>
    </row>
    <row r="24" spans="1:5" x14ac:dyDescent="0.25">
      <c r="A24" t="s">
        <v>5633</v>
      </c>
      <c r="B24">
        <f t="shared" si="0"/>
        <v>1</v>
      </c>
      <c r="C24" s="15">
        <f t="shared" si="1"/>
        <v>5.0000000000000001E-4</v>
      </c>
      <c r="D24" s="16">
        <f>AVERAGEIFS(Clean!$E$2:$E$2001,c_currency,A24)</f>
        <v>1299</v>
      </c>
      <c r="E24" s="14">
        <f t="shared" si="2"/>
        <v>3.6591549295774644</v>
      </c>
    </row>
    <row r="26" spans="1:5" x14ac:dyDescent="0.25">
      <c r="A26" s="9" t="s">
        <v>6263</v>
      </c>
    </row>
    <row r="27" spans="1:5" ht="30" customHeight="1" x14ac:dyDescent="0.25">
      <c r="A27" s="8" t="s">
        <v>6264</v>
      </c>
      <c r="B27" s="8" t="s">
        <v>27</v>
      </c>
      <c r="C27" s="8" t="s">
        <v>6260</v>
      </c>
      <c r="D27" s="8" t="s">
        <v>6262</v>
      </c>
      <c r="E27" s="8" t="s">
        <v>6265</v>
      </c>
    </row>
    <row r="28" spans="1:5" x14ac:dyDescent="0.25">
      <c r="A28" t="s">
        <v>2289</v>
      </c>
      <c r="B28">
        <f t="shared" ref="B28:B39" si="3">COUNTIFS(c_store,A28)</f>
        <v>289</v>
      </c>
      <c r="C28" s="15">
        <f t="shared" ref="C28:C39" si="4">B28/COUNTA(c_store)</f>
        <v>0.14449999999999999</v>
      </c>
      <c r="D28" s="14">
        <f t="shared" ref="D28:D39" si="5">AVERAGEIFS(c_usd,c_store,A28)</f>
        <v>10.976193771626226</v>
      </c>
      <c r="E28">
        <f t="shared" ref="E28:E39" si="6">COUNTIFS(c_store,A28,c_name_flag,"Yes")</f>
        <v>0</v>
      </c>
    </row>
    <row r="29" spans="1:5" x14ac:dyDescent="0.25">
      <c r="A29" t="s">
        <v>137</v>
      </c>
      <c r="B29">
        <f t="shared" si="3"/>
        <v>214</v>
      </c>
      <c r="C29" s="15">
        <f t="shared" si="4"/>
        <v>0.107</v>
      </c>
      <c r="D29" s="14">
        <f t="shared" si="5"/>
        <v>2.8615908167411623</v>
      </c>
      <c r="E29">
        <f t="shared" si="6"/>
        <v>0</v>
      </c>
    </row>
    <row r="30" spans="1:5" x14ac:dyDescent="0.25">
      <c r="A30" t="s">
        <v>2545</v>
      </c>
      <c r="B30">
        <f t="shared" si="3"/>
        <v>202</v>
      </c>
      <c r="C30" s="15">
        <f t="shared" si="4"/>
        <v>0.10100000000000001</v>
      </c>
      <c r="D30" s="14">
        <f t="shared" si="5"/>
        <v>3.8909814894532917</v>
      </c>
      <c r="E30">
        <f t="shared" si="6"/>
        <v>0</v>
      </c>
    </row>
    <row r="31" spans="1:5" x14ac:dyDescent="0.25">
      <c r="A31" t="s">
        <v>4916</v>
      </c>
      <c r="B31">
        <f t="shared" si="3"/>
        <v>151</v>
      </c>
      <c r="C31" s="15">
        <f t="shared" si="4"/>
        <v>7.5499999999999998E-2</v>
      </c>
      <c r="D31" s="14">
        <f t="shared" si="5"/>
        <v>3.353224877627409</v>
      </c>
      <c r="E31">
        <f t="shared" si="6"/>
        <v>0</v>
      </c>
    </row>
    <row r="32" spans="1:5" x14ac:dyDescent="0.25">
      <c r="A32" t="s">
        <v>961</v>
      </c>
      <c r="B32">
        <f t="shared" si="3"/>
        <v>128</v>
      </c>
      <c r="C32" s="15">
        <f t="shared" si="4"/>
        <v>6.4000000000000001E-2</v>
      </c>
      <c r="D32" s="14">
        <f t="shared" si="5"/>
        <v>4.2206182065217384</v>
      </c>
      <c r="E32">
        <f t="shared" si="6"/>
        <v>54</v>
      </c>
    </row>
    <row r="33" spans="1:5" x14ac:dyDescent="0.25">
      <c r="A33" t="s">
        <v>125</v>
      </c>
      <c r="B33">
        <f t="shared" si="3"/>
        <v>111</v>
      </c>
      <c r="C33" s="15">
        <f t="shared" si="4"/>
        <v>5.5500000000000001E-2</v>
      </c>
      <c r="D33" s="14">
        <f t="shared" si="5"/>
        <v>2.4177619724988149</v>
      </c>
      <c r="E33">
        <f t="shared" si="6"/>
        <v>111</v>
      </c>
    </row>
    <row r="34" spans="1:5" x14ac:dyDescent="0.25">
      <c r="A34" t="s">
        <v>5947</v>
      </c>
      <c r="B34">
        <f t="shared" si="3"/>
        <v>87</v>
      </c>
      <c r="C34" s="15">
        <f t="shared" si="4"/>
        <v>4.3499999999999997E-2</v>
      </c>
      <c r="D34" s="14">
        <f t="shared" si="5"/>
        <v>3.7814842578710626</v>
      </c>
      <c r="E34">
        <f t="shared" si="6"/>
        <v>1</v>
      </c>
    </row>
    <row r="35" spans="1:5" x14ac:dyDescent="0.25">
      <c r="A35" t="s">
        <v>1683</v>
      </c>
      <c r="B35">
        <f t="shared" si="3"/>
        <v>70</v>
      </c>
      <c r="C35" s="15">
        <f t="shared" si="4"/>
        <v>3.5000000000000003E-2</v>
      </c>
      <c r="D35" s="14">
        <f t="shared" si="5"/>
        <v>3.7524242424242402</v>
      </c>
      <c r="E35">
        <f t="shared" si="6"/>
        <v>2</v>
      </c>
    </row>
    <row r="36" spans="1:5" x14ac:dyDescent="0.25">
      <c r="A36" t="s">
        <v>1724</v>
      </c>
      <c r="B36">
        <f t="shared" si="3"/>
        <v>67</v>
      </c>
      <c r="C36" s="15">
        <f t="shared" si="4"/>
        <v>3.3500000000000002E-2</v>
      </c>
      <c r="D36" s="14">
        <f t="shared" si="5"/>
        <v>14.520597014925375</v>
      </c>
      <c r="E36">
        <f t="shared" si="6"/>
        <v>0</v>
      </c>
    </row>
    <row r="37" spans="1:5" x14ac:dyDescent="0.25">
      <c r="A37" t="s">
        <v>1838</v>
      </c>
      <c r="B37">
        <f t="shared" si="3"/>
        <v>64</v>
      </c>
      <c r="C37" s="15">
        <f t="shared" si="4"/>
        <v>3.2000000000000001E-2</v>
      </c>
      <c r="D37" s="14">
        <f t="shared" si="5"/>
        <v>2.5438041907514446</v>
      </c>
      <c r="E37">
        <f t="shared" si="6"/>
        <v>64</v>
      </c>
    </row>
    <row r="38" spans="1:5" x14ac:dyDescent="0.25">
      <c r="A38" t="s">
        <v>5731</v>
      </c>
      <c r="B38">
        <f t="shared" si="3"/>
        <v>60</v>
      </c>
      <c r="C38" s="15">
        <f t="shared" si="4"/>
        <v>0.03</v>
      </c>
      <c r="D38" s="14">
        <f t="shared" si="5"/>
        <v>3.3739259259259256</v>
      </c>
      <c r="E38">
        <f t="shared" si="6"/>
        <v>0</v>
      </c>
    </row>
    <row r="39" spans="1:5" x14ac:dyDescent="0.25">
      <c r="A39" t="s">
        <v>1691</v>
      </c>
      <c r="B39">
        <f t="shared" si="3"/>
        <v>58</v>
      </c>
      <c r="C39" s="15">
        <f t="shared" si="4"/>
        <v>2.9000000000000001E-2</v>
      </c>
      <c r="D39" s="14">
        <f t="shared" si="5"/>
        <v>3.5202020202020194</v>
      </c>
      <c r="E39">
        <f t="shared" si="6"/>
        <v>2</v>
      </c>
    </row>
    <row r="41" spans="1:5" x14ac:dyDescent="0.25">
      <c r="A41" s="9" t="s">
        <v>6266</v>
      </c>
    </row>
    <row r="42" spans="1:5" ht="30" customHeight="1" x14ac:dyDescent="0.25">
      <c r="A42" s="8" t="s">
        <v>6267</v>
      </c>
      <c r="B42" s="8" t="s">
        <v>27</v>
      </c>
      <c r="C42" s="8" t="s">
        <v>6262</v>
      </c>
      <c r="D42" s="8" t="s">
        <v>6268</v>
      </c>
    </row>
    <row r="43" spans="1:5" x14ac:dyDescent="0.25">
      <c r="A43" s="12">
        <v>46054</v>
      </c>
      <c r="B43">
        <f t="shared" ref="B43:B50" si="7">COUNTIFS(c_month,A43)</f>
        <v>15</v>
      </c>
      <c r="C43" s="14">
        <f t="shared" ref="C43:C50" si="8">AVERAGEIFS(c_usd,c_month,A43)</f>
        <v>5.2766666666666664</v>
      </c>
      <c r="D43" s="14">
        <f t="shared" ref="D43:D50" si="9">AVERAGEIFS(c_usd,c_month,A43,c_usd,"&lt;10")</f>
        <v>4.8685714285714292</v>
      </c>
    </row>
    <row r="44" spans="1:5" x14ac:dyDescent="0.25">
      <c r="A44" s="12">
        <v>46082</v>
      </c>
      <c r="B44">
        <f t="shared" si="7"/>
        <v>8</v>
      </c>
      <c r="C44" s="14">
        <f t="shared" si="8"/>
        <v>1.278179190751445</v>
      </c>
      <c r="D44" s="14">
        <f t="shared" si="9"/>
        <v>1.278179190751445</v>
      </c>
    </row>
    <row r="45" spans="1:5" x14ac:dyDescent="0.25">
      <c r="A45" s="12">
        <v>46113</v>
      </c>
      <c r="B45">
        <f t="shared" si="7"/>
        <v>6</v>
      </c>
      <c r="C45" s="14">
        <f t="shared" si="8"/>
        <v>3.3342967244701351</v>
      </c>
      <c r="D45" s="14">
        <f t="shared" si="9"/>
        <v>3.3342967244701351</v>
      </c>
    </row>
    <row r="46" spans="1:5" x14ac:dyDescent="0.25">
      <c r="A46" s="12">
        <v>46143</v>
      </c>
      <c r="B46">
        <f t="shared" si="7"/>
        <v>88</v>
      </c>
      <c r="C46" s="14">
        <f t="shared" si="8"/>
        <v>2.6313058328954289</v>
      </c>
      <c r="D46" s="14">
        <f t="shared" si="9"/>
        <v>2.4755830177396856</v>
      </c>
    </row>
    <row r="47" spans="1:5" x14ac:dyDescent="0.25">
      <c r="A47" s="12">
        <v>46174</v>
      </c>
      <c r="B47">
        <f t="shared" si="7"/>
        <v>14</v>
      </c>
      <c r="C47" s="14">
        <f t="shared" si="8"/>
        <v>1.9426094137076799</v>
      </c>
      <c r="D47" s="14">
        <f t="shared" si="9"/>
        <v>1.9426094137076799</v>
      </c>
    </row>
    <row r="48" spans="1:5" x14ac:dyDescent="0.25">
      <c r="A48" s="12">
        <v>46204</v>
      </c>
      <c r="B48">
        <f t="shared" si="7"/>
        <v>1</v>
      </c>
      <c r="C48" s="14">
        <f t="shared" si="8"/>
        <v>5.7745664739884397</v>
      </c>
      <c r="D48" s="14">
        <f t="shared" si="9"/>
        <v>5.7745664739884397</v>
      </c>
    </row>
    <row r="49" spans="1:4" x14ac:dyDescent="0.25">
      <c r="A49" s="12">
        <v>46266</v>
      </c>
      <c r="B49">
        <f t="shared" si="7"/>
        <v>686</v>
      </c>
      <c r="C49" s="14">
        <f t="shared" si="8"/>
        <v>6.7786815796794997</v>
      </c>
      <c r="D49" s="14">
        <f t="shared" si="9"/>
        <v>4.0291816489030658</v>
      </c>
    </row>
    <row r="50" spans="1:4" x14ac:dyDescent="0.25">
      <c r="A50" s="12">
        <v>46296</v>
      </c>
      <c r="B50">
        <f t="shared" si="7"/>
        <v>1182</v>
      </c>
      <c r="C50" s="14">
        <f t="shared" si="8"/>
        <v>3.897715437831911</v>
      </c>
      <c r="D50" s="14">
        <f t="shared" si="9"/>
        <v>3.069587701895915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7</vt:i4>
      </vt:variant>
    </vt:vector>
  </HeadingPairs>
  <TitlesOfParts>
    <vt:vector size="14" baseType="lpstr">
      <vt:lpstr>README</vt:lpstr>
      <vt:lpstr>Dashboard</vt:lpstr>
      <vt:lpstr>Raw</vt:lpstr>
      <vt:lpstr>Assumptions</vt:lpstr>
      <vt:lpstr>Clean</vt:lpstr>
      <vt:lpstr>Cleaning_Log</vt:lpstr>
      <vt:lpstr>Analysis</vt:lpstr>
      <vt:lpstr>c_category</vt:lpstr>
      <vt:lpstr>c_contributor</vt:lpstr>
      <vt:lpstr>c_currency</vt:lpstr>
      <vt:lpstr>c_month</vt:lpstr>
      <vt:lpstr>c_name_flag</vt:lpstr>
      <vt:lpstr>c_store</vt:lpstr>
      <vt:lpstr>c_usd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SANJAY K</cp:lastModifiedBy>
  <dcterms:created xsi:type="dcterms:W3CDTF">2026-10-20T00:01:43Z</dcterms:created>
  <dcterms:modified xsi:type="dcterms:W3CDTF">2026-10-20T00:18:05Z</dcterms:modified>
</cp:coreProperties>
</file>